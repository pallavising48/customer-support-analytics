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tables/table3.xml" ContentType="application/vnd.openxmlformats-officedocument.spreadsheetml.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ALLAVI SINGH\Desktop\Personal\resume\Interview\New folder\"/>
    </mc:Choice>
  </mc:AlternateContent>
  <xr:revisionPtr revIDLastSave="0" documentId="13_ncr:1_{04221A54-D11E-4334-83A5-0DEB2696CC7C}" xr6:coauthVersionLast="47" xr6:coauthVersionMax="47" xr10:uidLastSave="{00000000-0000-0000-0000-000000000000}"/>
  <bookViews>
    <workbookView xWindow="-108" yWindow="-108" windowWidth="23256" windowHeight="12576" tabRatio="932" activeTab="1" xr2:uid="{435D232D-1334-4C9A-B7A4-D6C141134DE6}"/>
  </bookViews>
  <sheets>
    <sheet name="INDEX" sheetId="21" r:id="rId1"/>
    <sheet name="Data Cleaning Steps" sheetId="3" r:id="rId2"/>
    <sheet name="CleanedData" sheetId="1" r:id="rId3"/>
    <sheet name="2024 Summary Metrics" sheetId="4" r:id="rId4"/>
    <sheet name="Charts 2024 " sheetId="10" r:id="rId5"/>
    <sheet name="2025 Forecast" sheetId="18" r:id="rId6"/>
    <sheet name="2025 Forecasted Metrics" sheetId="20" r:id="rId7"/>
    <sheet name="2025 Forecasted Call Data" sheetId="19" r:id="rId8"/>
    <sheet name="Forecast Pivot" sheetId="17" r:id="rId9"/>
  </sheets>
  <calcPr calcId="191029"/>
  <pivotCaches>
    <pivotCache cacheId="77" r:id="rId10"/>
    <pivotCache cacheId="78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20" l="1"/>
  <c r="I5" i="20"/>
  <c r="H5" i="20"/>
  <c r="J5" i="20" s="1"/>
  <c r="H6" i="20"/>
  <c r="G6" i="20"/>
  <c r="I6" i="20" s="1"/>
  <c r="G7" i="20"/>
  <c r="I7" i="20" s="1"/>
  <c r="G8" i="20"/>
  <c r="I8" i="20" s="1"/>
  <c r="G9" i="20"/>
  <c r="I9" i="20" s="1"/>
  <c r="G10" i="20"/>
  <c r="G5" i="20"/>
  <c r="F5" i="20"/>
  <c r="F6" i="20"/>
  <c r="F7" i="20"/>
  <c r="H7" i="20" s="1"/>
  <c r="F8" i="20"/>
  <c r="H8" i="20" s="1"/>
  <c r="F9" i="20"/>
  <c r="H9" i="20" s="1"/>
  <c r="F10" i="20"/>
  <c r="H10" i="20" s="1"/>
  <c r="J10" i="20" s="1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151" i="19"/>
  <c r="F152" i="19"/>
  <c r="F153" i="19"/>
  <c r="F154" i="19"/>
  <c r="F155" i="19"/>
  <c r="F156" i="19"/>
  <c r="F157" i="19"/>
  <c r="F158" i="19"/>
  <c r="F159" i="19"/>
  <c r="F160" i="19"/>
  <c r="F161" i="19"/>
  <c r="F162" i="19"/>
  <c r="F163" i="19"/>
  <c r="F164" i="19"/>
  <c r="F165" i="19"/>
  <c r="F166" i="19"/>
  <c r="F167" i="19"/>
  <c r="F168" i="19"/>
  <c r="F169" i="19"/>
  <c r="F170" i="19"/>
  <c r="F171" i="19"/>
  <c r="F172" i="19"/>
  <c r="F173" i="19"/>
  <c r="F174" i="19"/>
  <c r="F175" i="19"/>
  <c r="F176" i="19"/>
  <c r="F177" i="19"/>
  <c r="F178" i="19"/>
  <c r="F179" i="19"/>
  <c r="F180" i="19"/>
  <c r="F181" i="19"/>
  <c r="F182" i="19"/>
  <c r="F2" i="19"/>
  <c r="N41" i="4"/>
  <c r="N42" i="4"/>
  <c r="N43" i="4"/>
  <c r="N44" i="4"/>
  <c r="N45" i="4"/>
  <c r="N46" i="4"/>
  <c r="N40" i="4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Q5" i="4"/>
  <c r="Q4" i="4"/>
  <c r="P5" i="4"/>
  <c r="P4" i="4"/>
  <c r="M41" i="4"/>
  <c r="M42" i="4"/>
  <c r="M43" i="4"/>
  <c r="M44" i="4"/>
  <c r="M45" i="4"/>
  <c r="M46" i="4"/>
  <c r="M47" i="4"/>
  <c r="M40" i="4"/>
  <c r="L41" i="4"/>
  <c r="L42" i="4"/>
  <c r="L43" i="4"/>
  <c r="L44" i="4"/>
  <c r="L45" i="4"/>
  <c r="L46" i="4"/>
  <c r="L47" i="4"/>
  <c r="L40" i="4"/>
  <c r="K32" i="4"/>
  <c r="K31" i="4"/>
  <c r="J32" i="4"/>
  <c r="J33" i="4"/>
  <c r="J31" i="4"/>
  <c r="O5" i="4"/>
  <c r="O6" i="4"/>
  <c r="O4" i="4"/>
  <c r="N5" i="4"/>
  <c r="N6" i="4"/>
  <c r="N4" i="4"/>
  <c r="M5" i="4"/>
  <c r="M6" i="4"/>
  <c r="M4" i="4"/>
  <c r="L5" i="4"/>
  <c r="L6" i="4"/>
  <c r="L4" i="4"/>
  <c r="C368" i="18"/>
  <c r="C376" i="18"/>
  <c r="C384" i="18"/>
  <c r="C392" i="18"/>
  <c r="C400" i="18"/>
  <c r="C408" i="18"/>
  <c r="C416" i="18"/>
  <c r="C424" i="18"/>
  <c r="C432" i="18"/>
  <c r="C440" i="18"/>
  <c r="C448" i="18"/>
  <c r="C456" i="18"/>
  <c r="C464" i="18"/>
  <c r="C472" i="18"/>
  <c r="C480" i="18"/>
  <c r="C488" i="18"/>
  <c r="C496" i="18"/>
  <c r="C504" i="18"/>
  <c r="C512" i="18"/>
  <c r="C520" i="18"/>
  <c r="C528" i="18"/>
  <c r="C536" i="18"/>
  <c r="C544" i="18"/>
  <c r="C369" i="18"/>
  <c r="C370" i="18"/>
  <c r="C378" i="18"/>
  <c r="C386" i="18"/>
  <c r="C394" i="18"/>
  <c r="C402" i="18"/>
  <c r="C410" i="18"/>
  <c r="C418" i="18"/>
  <c r="C426" i="18"/>
  <c r="C434" i="18"/>
  <c r="C442" i="18"/>
  <c r="C450" i="18"/>
  <c r="C458" i="18"/>
  <c r="C466" i="18"/>
  <c r="C474" i="18"/>
  <c r="C482" i="18"/>
  <c r="C490" i="18"/>
  <c r="C498" i="18"/>
  <c r="C506" i="18"/>
  <c r="C514" i="18"/>
  <c r="C522" i="18"/>
  <c r="C530" i="18"/>
  <c r="C538" i="18"/>
  <c r="C546" i="18"/>
  <c r="C371" i="18"/>
  <c r="C379" i="18"/>
  <c r="C387" i="18"/>
  <c r="C395" i="18"/>
  <c r="C403" i="18"/>
  <c r="C411" i="18"/>
  <c r="C419" i="18"/>
  <c r="C427" i="18"/>
  <c r="C435" i="18"/>
  <c r="C443" i="18"/>
  <c r="C451" i="18"/>
  <c r="C459" i="18"/>
  <c r="C467" i="18"/>
  <c r="C475" i="18"/>
  <c r="C483" i="18"/>
  <c r="C491" i="18"/>
  <c r="C499" i="18"/>
  <c r="C507" i="18"/>
  <c r="C515" i="18"/>
  <c r="C523" i="18"/>
  <c r="C531" i="18"/>
  <c r="C539" i="18"/>
  <c r="C547" i="18"/>
  <c r="C398" i="18"/>
  <c r="C422" i="18"/>
  <c r="C430" i="18"/>
  <c r="C446" i="18"/>
  <c r="C454" i="18"/>
  <c r="C478" i="18"/>
  <c r="C372" i="18"/>
  <c r="C380" i="18"/>
  <c r="C388" i="18"/>
  <c r="C396" i="18"/>
  <c r="C404" i="18"/>
  <c r="C412" i="18"/>
  <c r="C420" i="18"/>
  <c r="C428" i="18"/>
  <c r="C436" i="18"/>
  <c r="C444" i="18"/>
  <c r="C452" i="18"/>
  <c r="C460" i="18"/>
  <c r="C468" i="18"/>
  <c r="C476" i="18"/>
  <c r="C484" i="18"/>
  <c r="C492" i="18"/>
  <c r="C500" i="18"/>
  <c r="C508" i="18"/>
  <c r="C516" i="18"/>
  <c r="C524" i="18"/>
  <c r="C532" i="18"/>
  <c r="C540" i="18"/>
  <c r="C548" i="18"/>
  <c r="C390" i="18"/>
  <c r="C534" i="18"/>
  <c r="C373" i="18"/>
  <c r="C381" i="18"/>
  <c r="C389" i="18"/>
  <c r="C397" i="18"/>
  <c r="C405" i="18"/>
  <c r="C413" i="18"/>
  <c r="C421" i="18"/>
  <c r="C429" i="18"/>
  <c r="C437" i="18"/>
  <c r="C445" i="18"/>
  <c r="C453" i="18"/>
  <c r="C461" i="18"/>
  <c r="C469" i="18"/>
  <c r="C477" i="18"/>
  <c r="C485" i="18"/>
  <c r="C493" i="18"/>
  <c r="C501" i="18"/>
  <c r="C509" i="18"/>
  <c r="C517" i="18"/>
  <c r="C525" i="18"/>
  <c r="C533" i="18"/>
  <c r="C541" i="18"/>
  <c r="C382" i="18"/>
  <c r="C406" i="18"/>
  <c r="C414" i="18"/>
  <c r="C438" i="18"/>
  <c r="C462" i="18"/>
  <c r="C470" i="18"/>
  <c r="C486" i="18"/>
  <c r="C494" i="18"/>
  <c r="C510" i="18"/>
  <c r="C518" i="18"/>
  <c r="C526" i="18"/>
  <c r="C542" i="18"/>
  <c r="C374" i="18"/>
  <c r="C375" i="18"/>
  <c r="C377" i="18"/>
  <c r="C409" i="18"/>
  <c r="C441" i="18"/>
  <c r="C473" i="18"/>
  <c r="C503" i="18"/>
  <c r="C535" i="18"/>
  <c r="C495" i="18"/>
  <c r="C383" i="18"/>
  <c r="C415" i="18"/>
  <c r="C447" i="18"/>
  <c r="C479" i="18"/>
  <c r="C505" i="18"/>
  <c r="C537" i="18"/>
  <c r="C385" i="18"/>
  <c r="C417" i="18"/>
  <c r="C449" i="18"/>
  <c r="C481" i="18"/>
  <c r="C511" i="18"/>
  <c r="C543" i="18"/>
  <c r="C463" i="18"/>
  <c r="C391" i="18"/>
  <c r="C423" i="18"/>
  <c r="C455" i="18"/>
  <c r="C487" i="18"/>
  <c r="C513" i="18"/>
  <c r="C545" i="18"/>
  <c r="C431" i="18"/>
  <c r="C393" i="18"/>
  <c r="C425" i="18"/>
  <c r="C457" i="18"/>
  <c r="C489" i="18"/>
  <c r="C519" i="18"/>
  <c r="C399" i="18"/>
  <c r="C401" i="18"/>
  <c r="C433" i="18"/>
  <c r="C465" i="18"/>
  <c r="C497" i="18"/>
  <c r="C527" i="18"/>
  <c r="C521" i="18"/>
  <c r="C407" i="18"/>
  <c r="C439" i="18"/>
  <c r="C471" i="18"/>
  <c r="C502" i="18"/>
  <c r="C529" i="18"/>
  <c r="J6" i="20" l="1"/>
  <c r="J8" i="20"/>
  <c r="J7" i="20"/>
  <c r="J9" i="20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E529" i="18"/>
  <c r="D407" i="18"/>
  <c r="E465" i="18"/>
  <c r="D519" i="18"/>
  <c r="E393" i="18"/>
  <c r="D487" i="18"/>
  <c r="D463" i="18"/>
  <c r="E449" i="18"/>
  <c r="E505" i="18"/>
  <c r="D383" i="18"/>
  <c r="E473" i="18"/>
  <c r="D375" i="18"/>
  <c r="D518" i="18"/>
  <c r="D470" i="18"/>
  <c r="E406" i="18"/>
  <c r="E525" i="18"/>
  <c r="D493" i="18"/>
  <c r="D461" i="18"/>
  <c r="D429" i="18"/>
  <c r="D397" i="18"/>
  <c r="D534" i="18"/>
  <c r="E532" i="18"/>
  <c r="E500" i="18"/>
  <c r="E468" i="18"/>
  <c r="E436" i="18"/>
  <c r="E404" i="18"/>
  <c r="E372" i="18"/>
  <c r="E430" i="18"/>
  <c r="D539" i="18"/>
  <c r="D507" i="18"/>
  <c r="D475" i="18"/>
  <c r="D443" i="18"/>
  <c r="D411" i="18"/>
  <c r="D379" i="18"/>
  <c r="E530" i="18"/>
  <c r="E498" i="18"/>
  <c r="E466" i="18"/>
  <c r="E434" i="18"/>
  <c r="E402" i="18"/>
  <c r="E370" i="18"/>
  <c r="D528" i="18"/>
  <c r="D496" i="18"/>
  <c r="D464" i="18"/>
  <c r="D432" i="18"/>
  <c r="D400" i="18"/>
  <c r="D368" i="18"/>
  <c r="E407" i="18"/>
  <c r="E539" i="18"/>
  <c r="D434" i="18"/>
  <c r="E432" i="18"/>
  <c r="D529" i="18"/>
  <c r="D502" i="18"/>
  <c r="E521" i="18"/>
  <c r="E433" i="18"/>
  <c r="E489" i="18"/>
  <c r="D431" i="18"/>
  <c r="D455" i="18"/>
  <c r="D543" i="18"/>
  <c r="E417" i="18"/>
  <c r="D479" i="18"/>
  <c r="D495" i="18"/>
  <c r="E441" i="18"/>
  <c r="E374" i="18"/>
  <c r="D510" i="18"/>
  <c r="D462" i="18"/>
  <c r="E382" i="18"/>
  <c r="D517" i="18"/>
  <c r="D485" i="18"/>
  <c r="D453" i="18"/>
  <c r="D421" i="18"/>
  <c r="D389" i="18"/>
  <c r="E390" i="18"/>
  <c r="D524" i="18"/>
  <c r="D492" i="18"/>
  <c r="E460" i="18"/>
  <c r="E428" i="18"/>
  <c r="E396" i="18"/>
  <c r="D478" i="18"/>
  <c r="E422" i="18"/>
  <c r="D531" i="18"/>
  <c r="D499" i="18"/>
  <c r="D467" i="18"/>
  <c r="D435" i="18"/>
  <c r="D403" i="18"/>
  <c r="D371" i="18"/>
  <c r="E522" i="18"/>
  <c r="E490" i="18"/>
  <c r="E458" i="18"/>
  <c r="E426" i="18"/>
  <c r="E394" i="18"/>
  <c r="E369" i="18"/>
  <c r="D520" i="18"/>
  <c r="D488" i="18"/>
  <c r="D456" i="18"/>
  <c r="D424" i="18"/>
  <c r="D392" i="18"/>
  <c r="E463" i="18"/>
  <c r="D505" i="18"/>
  <c r="E518" i="18"/>
  <c r="E493" i="18"/>
  <c r="E397" i="18"/>
  <c r="D500" i="18"/>
  <c r="D372" i="18"/>
  <c r="E443" i="18"/>
  <c r="D498" i="18"/>
  <c r="D370" i="18"/>
  <c r="E400" i="18"/>
  <c r="E502" i="18"/>
  <c r="D521" i="18"/>
  <c r="D433" i="18"/>
  <c r="D489" i="18"/>
  <c r="E431" i="18"/>
  <c r="E455" i="18"/>
  <c r="E543" i="18"/>
  <c r="D417" i="18"/>
  <c r="E479" i="18"/>
  <c r="E495" i="18"/>
  <c r="D441" i="18"/>
  <c r="D374" i="18"/>
  <c r="E510" i="18"/>
  <c r="E462" i="18"/>
  <c r="D382" i="18"/>
  <c r="E517" i="18"/>
  <c r="E485" i="18"/>
  <c r="E453" i="18"/>
  <c r="E421" i="18"/>
  <c r="E389" i="18"/>
  <c r="D390" i="18"/>
  <c r="E524" i="18"/>
  <c r="E492" i="18"/>
  <c r="D460" i="18"/>
  <c r="D428" i="18"/>
  <c r="D396" i="18"/>
  <c r="E478" i="18"/>
  <c r="D422" i="18"/>
  <c r="E531" i="18"/>
  <c r="E499" i="18"/>
  <c r="E467" i="18"/>
  <c r="E435" i="18"/>
  <c r="E403" i="18"/>
  <c r="E371" i="18"/>
  <c r="D522" i="18"/>
  <c r="D490" i="18"/>
  <c r="D458" i="18"/>
  <c r="D426" i="18"/>
  <c r="D394" i="18"/>
  <c r="D369" i="18"/>
  <c r="E520" i="18"/>
  <c r="E488" i="18"/>
  <c r="E456" i="18"/>
  <c r="E424" i="18"/>
  <c r="E392" i="18"/>
  <c r="E487" i="18"/>
  <c r="D473" i="18"/>
  <c r="D406" i="18"/>
  <c r="E429" i="18"/>
  <c r="D436" i="18"/>
  <c r="E507" i="18"/>
  <c r="E379" i="18"/>
  <c r="E528" i="18"/>
  <c r="D471" i="18"/>
  <c r="D527" i="18"/>
  <c r="E401" i="18"/>
  <c r="E457" i="18"/>
  <c r="E545" i="18"/>
  <c r="D423" i="18"/>
  <c r="D511" i="18"/>
  <c r="E385" i="18"/>
  <c r="D447" i="18"/>
  <c r="D535" i="18"/>
  <c r="E409" i="18"/>
  <c r="D542" i="18"/>
  <c r="D494" i="18"/>
  <c r="D438" i="18"/>
  <c r="D541" i="18"/>
  <c r="D509" i="18"/>
  <c r="D477" i="18"/>
  <c r="D445" i="18"/>
  <c r="D413" i="18"/>
  <c r="D381" i="18"/>
  <c r="D548" i="18"/>
  <c r="D516" i="18"/>
  <c r="E484" i="18"/>
  <c r="E452" i="18"/>
  <c r="E420" i="18"/>
  <c r="E388" i="18"/>
  <c r="D454" i="18"/>
  <c r="E398" i="18"/>
  <c r="D523" i="18"/>
  <c r="D491" i="18"/>
  <c r="D459" i="18"/>
  <c r="D427" i="18"/>
  <c r="D395" i="18"/>
  <c r="E546" i="18"/>
  <c r="E514" i="18"/>
  <c r="E482" i="18"/>
  <c r="E450" i="18"/>
  <c r="E418" i="18"/>
  <c r="E386" i="18"/>
  <c r="D544" i="18"/>
  <c r="D512" i="18"/>
  <c r="D480" i="18"/>
  <c r="D448" i="18"/>
  <c r="D416" i="18"/>
  <c r="D384" i="18"/>
  <c r="D393" i="18"/>
  <c r="E471" i="18"/>
  <c r="E527" i="18"/>
  <c r="D401" i="18"/>
  <c r="D457" i="18"/>
  <c r="D545" i="18"/>
  <c r="E423" i="18"/>
  <c r="E511" i="18"/>
  <c r="D385" i="18"/>
  <c r="E447" i="18"/>
  <c r="E535" i="18"/>
  <c r="D409" i="18"/>
  <c r="E542" i="18"/>
  <c r="E494" i="18"/>
  <c r="E438" i="18"/>
  <c r="E541" i="18"/>
  <c r="E509" i="18"/>
  <c r="E477" i="18"/>
  <c r="E445" i="18"/>
  <c r="E413" i="18"/>
  <c r="E381" i="18"/>
  <c r="E548" i="18"/>
  <c r="E516" i="18"/>
  <c r="D484" i="18"/>
  <c r="D452" i="18"/>
  <c r="D420" i="18"/>
  <c r="D388" i="18"/>
  <c r="E454" i="18"/>
  <c r="D398" i="18"/>
  <c r="E523" i="18"/>
  <c r="E491" i="18"/>
  <c r="E459" i="18"/>
  <c r="E427" i="18"/>
  <c r="E395" i="18"/>
  <c r="D546" i="18"/>
  <c r="D514" i="18"/>
  <c r="D482" i="18"/>
  <c r="D450" i="18"/>
  <c r="D418" i="18"/>
  <c r="D386" i="18"/>
  <c r="E544" i="18"/>
  <c r="E512" i="18"/>
  <c r="E480" i="18"/>
  <c r="E448" i="18"/>
  <c r="E416" i="18"/>
  <c r="E384" i="18"/>
  <c r="D449" i="18"/>
  <c r="D402" i="18"/>
  <c r="D439" i="18"/>
  <c r="E497" i="18"/>
  <c r="D399" i="18"/>
  <c r="E425" i="18"/>
  <c r="E513" i="18"/>
  <c r="D391" i="18"/>
  <c r="E481" i="18"/>
  <c r="E537" i="18"/>
  <c r="D415" i="18"/>
  <c r="D503" i="18"/>
  <c r="E377" i="18"/>
  <c r="D526" i="18"/>
  <c r="D486" i="18"/>
  <c r="E414" i="18"/>
  <c r="E533" i="18"/>
  <c r="D501" i="18"/>
  <c r="D469" i="18"/>
  <c r="D437" i="18"/>
  <c r="D405" i="18"/>
  <c r="D373" i="18"/>
  <c r="D540" i="18"/>
  <c r="E508" i="18"/>
  <c r="E476" i="18"/>
  <c r="E444" i="18"/>
  <c r="E412" i="18"/>
  <c r="E380" i="18"/>
  <c r="D446" i="18"/>
  <c r="D547" i="18"/>
  <c r="D515" i="18"/>
  <c r="D483" i="18"/>
  <c r="D451" i="18"/>
  <c r="D419" i="18"/>
  <c r="D387" i="18"/>
  <c r="E538" i="18"/>
  <c r="E506" i="18"/>
  <c r="E474" i="18"/>
  <c r="E442" i="18"/>
  <c r="E410" i="18"/>
  <c r="E378" i="18"/>
  <c r="D536" i="18"/>
  <c r="D504" i="18"/>
  <c r="D472" i="18"/>
  <c r="D440" i="18"/>
  <c r="D408" i="18"/>
  <c r="D376" i="18"/>
  <c r="E519" i="18"/>
  <c r="E375" i="18"/>
  <c r="D525" i="18"/>
  <c r="D532" i="18"/>
  <c r="D404" i="18"/>
  <c r="E475" i="18"/>
  <c r="D530" i="18"/>
  <c r="E496" i="18"/>
  <c r="E439" i="18"/>
  <c r="D497" i="18"/>
  <c r="E399" i="18"/>
  <c r="D425" i="18"/>
  <c r="D513" i="18"/>
  <c r="E391" i="18"/>
  <c r="D481" i="18"/>
  <c r="D537" i="18"/>
  <c r="E415" i="18"/>
  <c r="E503" i="18"/>
  <c r="D377" i="18"/>
  <c r="E526" i="18"/>
  <c r="E486" i="18"/>
  <c r="D414" i="18"/>
  <c r="D533" i="18"/>
  <c r="E501" i="18"/>
  <c r="E469" i="18"/>
  <c r="E437" i="18"/>
  <c r="E405" i="18"/>
  <c r="E373" i="18"/>
  <c r="E540" i="18"/>
  <c r="D508" i="18"/>
  <c r="D476" i="18"/>
  <c r="D444" i="18"/>
  <c r="D412" i="18"/>
  <c r="D380" i="18"/>
  <c r="E446" i="18"/>
  <c r="E547" i="18"/>
  <c r="E515" i="18"/>
  <c r="E483" i="18"/>
  <c r="E451" i="18"/>
  <c r="E419" i="18"/>
  <c r="E387" i="18"/>
  <c r="D538" i="18"/>
  <c r="D506" i="18"/>
  <c r="D474" i="18"/>
  <c r="D442" i="18"/>
  <c r="D410" i="18"/>
  <c r="D378" i="18"/>
  <c r="E536" i="18"/>
  <c r="E504" i="18"/>
  <c r="E472" i="18"/>
  <c r="E440" i="18"/>
  <c r="E408" i="18"/>
  <c r="E376" i="18"/>
  <c r="D465" i="18"/>
  <c r="E383" i="18"/>
  <c r="E470" i="18"/>
  <c r="E461" i="18"/>
  <c r="E534" i="18"/>
  <c r="D468" i="18"/>
  <c r="D430" i="18"/>
  <c r="E411" i="18"/>
  <c r="D466" i="18"/>
  <c r="E464" i="18"/>
  <c r="E368" i="18"/>
  <c r="M1598" i="1"/>
  <c r="L1598" i="1"/>
  <c r="M1597" i="1"/>
  <c r="L1597" i="1"/>
  <c r="M1596" i="1"/>
  <c r="L1596" i="1"/>
  <c r="M1595" i="1"/>
  <c r="L1595" i="1"/>
  <c r="M1594" i="1"/>
  <c r="L1594" i="1"/>
  <c r="M1593" i="1"/>
  <c r="L1593" i="1"/>
  <c r="M1592" i="1"/>
  <c r="L1592" i="1"/>
  <c r="M1591" i="1"/>
  <c r="L1591" i="1"/>
  <c r="M1590" i="1"/>
  <c r="L1590" i="1"/>
  <c r="M1589" i="1"/>
  <c r="L1589" i="1"/>
  <c r="M1588" i="1"/>
  <c r="L1588" i="1"/>
  <c r="M1587" i="1"/>
  <c r="L1587" i="1"/>
  <c r="M1586" i="1"/>
  <c r="L1586" i="1"/>
  <c r="M1585" i="1"/>
  <c r="L1585" i="1"/>
  <c r="M1584" i="1"/>
  <c r="L1584" i="1"/>
  <c r="M1583" i="1"/>
  <c r="L1583" i="1"/>
  <c r="M1582" i="1"/>
  <c r="L1582" i="1"/>
  <c r="M1581" i="1"/>
  <c r="L1581" i="1"/>
  <c r="M1580" i="1"/>
  <c r="L1580" i="1"/>
  <c r="M1579" i="1"/>
  <c r="L1579" i="1"/>
  <c r="M1578" i="1"/>
  <c r="L1578" i="1"/>
  <c r="M1577" i="1"/>
  <c r="L1577" i="1"/>
  <c r="M1576" i="1"/>
  <c r="L1576" i="1"/>
  <c r="M1575" i="1"/>
  <c r="L1575" i="1"/>
  <c r="M1574" i="1"/>
  <c r="L1574" i="1"/>
  <c r="M1573" i="1"/>
  <c r="L1573" i="1"/>
  <c r="M1572" i="1"/>
  <c r="L1572" i="1"/>
  <c r="M1571" i="1"/>
  <c r="L1571" i="1"/>
  <c r="M1570" i="1"/>
  <c r="L1570" i="1"/>
  <c r="M1569" i="1"/>
  <c r="L1569" i="1"/>
  <c r="M1568" i="1"/>
  <c r="L1568" i="1"/>
  <c r="M1567" i="1"/>
  <c r="L1567" i="1"/>
  <c r="M1566" i="1"/>
  <c r="L1566" i="1"/>
  <c r="M1565" i="1"/>
  <c r="L1565" i="1"/>
  <c r="M1564" i="1"/>
  <c r="L1564" i="1"/>
  <c r="M1563" i="1"/>
  <c r="L1563" i="1"/>
  <c r="M1562" i="1"/>
  <c r="L1562" i="1"/>
  <c r="M1561" i="1"/>
  <c r="L1561" i="1"/>
  <c r="M1560" i="1"/>
  <c r="L1560" i="1"/>
  <c r="M1559" i="1"/>
  <c r="L1559" i="1"/>
  <c r="M1558" i="1"/>
  <c r="L1558" i="1"/>
  <c r="M1557" i="1"/>
  <c r="L1557" i="1"/>
  <c r="M1556" i="1"/>
  <c r="L1556" i="1"/>
  <c r="M1555" i="1"/>
  <c r="L1555" i="1"/>
  <c r="M1554" i="1"/>
  <c r="L1554" i="1"/>
  <c r="M1553" i="1"/>
  <c r="L1553" i="1"/>
  <c r="M1552" i="1"/>
  <c r="L1552" i="1"/>
  <c r="M1551" i="1"/>
  <c r="L1551" i="1"/>
  <c r="M1550" i="1"/>
  <c r="L1550" i="1"/>
  <c r="M1549" i="1"/>
  <c r="L1549" i="1"/>
  <c r="M1548" i="1"/>
  <c r="L1548" i="1"/>
  <c r="M1547" i="1"/>
  <c r="L1547" i="1"/>
  <c r="M1546" i="1"/>
  <c r="L1546" i="1"/>
  <c r="M1545" i="1"/>
  <c r="L1545" i="1"/>
  <c r="M1544" i="1"/>
  <c r="L1544" i="1"/>
  <c r="M1543" i="1"/>
  <c r="L1543" i="1"/>
  <c r="M1542" i="1"/>
  <c r="L1542" i="1"/>
  <c r="M1541" i="1"/>
  <c r="L1541" i="1"/>
  <c r="M1540" i="1"/>
  <c r="L1540" i="1"/>
  <c r="M1539" i="1"/>
  <c r="L1539" i="1"/>
  <c r="M1538" i="1"/>
  <c r="L1538" i="1"/>
  <c r="M1537" i="1"/>
  <c r="L1537" i="1"/>
  <c r="M1536" i="1"/>
  <c r="L1536" i="1"/>
  <c r="M1535" i="1"/>
  <c r="L1535" i="1"/>
  <c r="M1534" i="1"/>
  <c r="L1534" i="1"/>
  <c r="M1533" i="1"/>
  <c r="L1533" i="1"/>
  <c r="M1532" i="1"/>
  <c r="L1532" i="1"/>
  <c r="M1531" i="1"/>
  <c r="L1531" i="1"/>
  <c r="M1530" i="1"/>
  <c r="L1530" i="1"/>
  <c r="M1529" i="1"/>
  <c r="L1529" i="1"/>
  <c r="M1528" i="1"/>
  <c r="L1528" i="1"/>
  <c r="M1527" i="1"/>
  <c r="L1527" i="1"/>
  <c r="M1526" i="1"/>
  <c r="L1526" i="1"/>
  <c r="M1525" i="1"/>
  <c r="L1525" i="1"/>
  <c r="M1524" i="1"/>
  <c r="L1524" i="1"/>
  <c r="M1523" i="1"/>
  <c r="L1523" i="1"/>
  <c r="M1522" i="1"/>
  <c r="L1522" i="1"/>
  <c r="M1521" i="1"/>
  <c r="L1521" i="1"/>
  <c r="M1520" i="1"/>
  <c r="L1520" i="1"/>
  <c r="M1519" i="1"/>
  <c r="L1519" i="1"/>
  <c r="M1518" i="1"/>
  <c r="L1518" i="1"/>
  <c r="M1517" i="1"/>
  <c r="L1517" i="1"/>
  <c r="M1516" i="1"/>
  <c r="L1516" i="1"/>
  <c r="M1515" i="1"/>
  <c r="L1515" i="1"/>
  <c r="M1514" i="1"/>
  <c r="L1514" i="1"/>
  <c r="M1513" i="1"/>
  <c r="L1513" i="1"/>
  <c r="M1512" i="1"/>
  <c r="L1512" i="1"/>
  <c r="M1511" i="1"/>
  <c r="L1511" i="1"/>
  <c r="M1510" i="1"/>
  <c r="L1510" i="1"/>
  <c r="M1509" i="1"/>
  <c r="L1509" i="1"/>
  <c r="M1508" i="1"/>
  <c r="L1508" i="1"/>
  <c r="M1507" i="1"/>
  <c r="L1507" i="1"/>
  <c r="M1506" i="1"/>
  <c r="L1506" i="1"/>
  <c r="M1505" i="1"/>
  <c r="L1505" i="1"/>
  <c r="M1504" i="1"/>
  <c r="L1504" i="1"/>
  <c r="M1503" i="1"/>
  <c r="L1503" i="1"/>
  <c r="M1502" i="1"/>
  <c r="L1502" i="1"/>
  <c r="M1501" i="1"/>
  <c r="L1501" i="1"/>
  <c r="M1500" i="1"/>
  <c r="L1500" i="1"/>
  <c r="M1499" i="1"/>
  <c r="L1499" i="1"/>
  <c r="M1498" i="1"/>
  <c r="L1498" i="1"/>
  <c r="M1497" i="1"/>
  <c r="L1497" i="1"/>
  <c r="M1496" i="1"/>
  <c r="L1496" i="1"/>
  <c r="M1495" i="1"/>
  <c r="L1495" i="1"/>
  <c r="M1494" i="1"/>
  <c r="L1494" i="1"/>
  <c r="M1493" i="1"/>
  <c r="L1493" i="1"/>
  <c r="M1492" i="1"/>
  <c r="L1492" i="1"/>
  <c r="M1491" i="1"/>
  <c r="L1491" i="1"/>
  <c r="M1490" i="1"/>
  <c r="L1490" i="1"/>
  <c r="M1489" i="1"/>
  <c r="L1489" i="1"/>
  <c r="M1488" i="1"/>
  <c r="L1488" i="1"/>
  <c r="M1487" i="1"/>
  <c r="L1487" i="1"/>
  <c r="M1486" i="1"/>
  <c r="L1486" i="1"/>
  <c r="M1485" i="1"/>
  <c r="L1485" i="1"/>
  <c r="M1484" i="1"/>
  <c r="L1484" i="1"/>
  <c r="M1483" i="1"/>
  <c r="L1483" i="1"/>
  <c r="M1482" i="1"/>
  <c r="L1482" i="1"/>
  <c r="M1481" i="1"/>
  <c r="L1481" i="1"/>
  <c r="M1480" i="1"/>
  <c r="L1480" i="1"/>
  <c r="M1479" i="1"/>
  <c r="L1479" i="1"/>
  <c r="M1478" i="1"/>
  <c r="L1478" i="1"/>
  <c r="M1477" i="1"/>
  <c r="L1477" i="1"/>
  <c r="M1476" i="1"/>
  <c r="L1476" i="1"/>
  <c r="M1475" i="1"/>
  <c r="L1475" i="1"/>
  <c r="M1474" i="1"/>
  <c r="L1474" i="1"/>
  <c r="M1473" i="1"/>
  <c r="L1473" i="1"/>
  <c r="M1472" i="1"/>
  <c r="L1472" i="1"/>
  <c r="M1471" i="1"/>
  <c r="L1471" i="1"/>
  <c r="M1470" i="1"/>
  <c r="L1470" i="1"/>
  <c r="M1469" i="1"/>
  <c r="L1469" i="1"/>
  <c r="M1468" i="1"/>
  <c r="L1468" i="1"/>
  <c r="M1467" i="1"/>
  <c r="L1467" i="1"/>
  <c r="M1466" i="1"/>
  <c r="L1466" i="1"/>
  <c r="M1465" i="1"/>
  <c r="L1465" i="1"/>
  <c r="M1464" i="1"/>
  <c r="L1464" i="1"/>
  <c r="M1463" i="1"/>
  <c r="L1463" i="1"/>
  <c r="M1462" i="1"/>
  <c r="L1462" i="1"/>
  <c r="M1461" i="1"/>
  <c r="L1461" i="1"/>
  <c r="M1460" i="1"/>
  <c r="L1460" i="1"/>
  <c r="M1459" i="1"/>
  <c r="L1459" i="1"/>
  <c r="M1458" i="1"/>
  <c r="L1458" i="1"/>
  <c r="M1457" i="1"/>
  <c r="L1457" i="1"/>
  <c r="M1456" i="1"/>
  <c r="L1456" i="1"/>
  <c r="M1455" i="1"/>
  <c r="L1455" i="1"/>
  <c r="M1454" i="1"/>
  <c r="L1454" i="1"/>
  <c r="M1453" i="1"/>
  <c r="L1453" i="1"/>
  <c r="M1452" i="1"/>
  <c r="L1452" i="1"/>
  <c r="M1451" i="1"/>
  <c r="L1451" i="1"/>
  <c r="M1450" i="1"/>
  <c r="L1450" i="1"/>
  <c r="M1449" i="1"/>
  <c r="L1449" i="1"/>
  <c r="M1448" i="1"/>
  <c r="L1448" i="1"/>
  <c r="M1447" i="1"/>
  <c r="L1447" i="1"/>
  <c r="M1446" i="1"/>
  <c r="L1446" i="1"/>
  <c r="M1445" i="1"/>
  <c r="L1445" i="1"/>
  <c r="M1444" i="1"/>
  <c r="L1444" i="1"/>
  <c r="M1443" i="1"/>
  <c r="L1443" i="1"/>
  <c r="M1442" i="1"/>
  <c r="L1442" i="1"/>
  <c r="M1441" i="1"/>
  <c r="L1441" i="1"/>
  <c r="M1440" i="1"/>
  <c r="L1440" i="1"/>
  <c r="M1439" i="1"/>
  <c r="L1439" i="1"/>
  <c r="M1438" i="1"/>
  <c r="L1438" i="1"/>
  <c r="M1437" i="1"/>
  <c r="L1437" i="1"/>
  <c r="M1436" i="1"/>
  <c r="L1436" i="1"/>
  <c r="M1435" i="1"/>
  <c r="L1435" i="1"/>
  <c r="M1434" i="1"/>
  <c r="L1434" i="1"/>
  <c r="M1433" i="1"/>
  <c r="L1433" i="1"/>
  <c r="M1432" i="1"/>
  <c r="L1432" i="1"/>
  <c r="M1431" i="1"/>
  <c r="L1431" i="1"/>
  <c r="M1430" i="1"/>
  <c r="L1430" i="1"/>
  <c r="M1429" i="1"/>
  <c r="L1429" i="1"/>
  <c r="M1428" i="1"/>
  <c r="L1428" i="1"/>
  <c r="M1427" i="1"/>
  <c r="L1427" i="1"/>
  <c r="M1426" i="1"/>
  <c r="L1426" i="1"/>
  <c r="M1425" i="1"/>
  <c r="L1425" i="1"/>
  <c r="M1424" i="1"/>
  <c r="L1424" i="1"/>
  <c r="M1423" i="1"/>
  <c r="L1423" i="1"/>
  <c r="M1422" i="1"/>
  <c r="L1422" i="1"/>
  <c r="M1421" i="1"/>
  <c r="L1421" i="1"/>
  <c r="M1420" i="1"/>
  <c r="L1420" i="1"/>
  <c r="M1419" i="1"/>
  <c r="L1419" i="1"/>
  <c r="M1418" i="1"/>
  <c r="L1418" i="1"/>
  <c r="M1417" i="1"/>
  <c r="L1417" i="1"/>
  <c r="M1416" i="1"/>
  <c r="L1416" i="1"/>
  <c r="M1415" i="1"/>
  <c r="L1415" i="1"/>
  <c r="M1414" i="1"/>
  <c r="L1414" i="1"/>
  <c r="M1413" i="1"/>
  <c r="L1413" i="1"/>
  <c r="M1412" i="1"/>
  <c r="L1412" i="1"/>
  <c r="M1411" i="1"/>
  <c r="L1411" i="1"/>
  <c r="M1410" i="1"/>
  <c r="L1410" i="1"/>
  <c r="M1409" i="1"/>
  <c r="L1409" i="1"/>
  <c r="M1408" i="1"/>
  <c r="L1408" i="1"/>
  <c r="M1407" i="1"/>
  <c r="L1407" i="1"/>
  <c r="M1406" i="1"/>
  <c r="L1406" i="1"/>
  <c r="M1405" i="1"/>
  <c r="L1405" i="1"/>
  <c r="M1404" i="1"/>
  <c r="L1404" i="1"/>
  <c r="M1403" i="1"/>
  <c r="L1403" i="1"/>
  <c r="M1402" i="1"/>
  <c r="L1402" i="1"/>
  <c r="M1401" i="1"/>
  <c r="L1401" i="1"/>
  <c r="M1400" i="1"/>
  <c r="L1400" i="1"/>
  <c r="M1399" i="1"/>
  <c r="L1399" i="1"/>
  <c r="M1398" i="1"/>
  <c r="L1398" i="1"/>
  <c r="M1397" i="1"/>
  <c r="L1397" i="1"/>
  <c r="M1396" i="1"/>
  <c r="L1396" i="1"/>
  <c r="M1395" i="1"/>
  <c r="L1395" i="1"/>
  <c r="M1394" i="1"/>
  <c r="L1394" i="1"/>
  <c r="M1393" i="1"/>
  <c r="L1393" i="1"/>
  <c r="M1392" i="1"/>
  <c r="L1392" i="1"/>
  <c r="M1391" i="1"/>
  <c r="L1391" i="1"/>
  <c r="M1390" i="1"/>
  <c r="L1390" i="1"/>
  <c r="M1389" i="1"/>
  <c r="L1389" i="1"/>
  <c r="M1388" i="1"/>
  <c r="L1388" i="1"/>
  <c r="M1387" i="1"/>
  <c r="L1387" i="1"/>
  <c r="M1386" i="1"/>
  <c r="L1386" i="1"/>
  <c r="M1385" i="1"/>
  <c r="L1385" i="1"/>
  <c r="M1384" i="1"/>
  <c r="L1384" i="1"/>
  <c r="M1383" i="1"/>
  <c r="L1383" i="1"/>
  <c r="M1382" i="1"/>
  <c r="L1382" i="1"/>
  <c r="M1381" i="1"/>
  <c r="L1381" i="1"/>
  <c r="M1380" i="1"/>
  <c r="L1380" i="1"/>
  <c r="M1379" i="1"/>
  <c r="L1379" i="1"/>
  <c r="M1378" i="1"/>
  <c r="L1378" i="1"/>
  <c r="M1377" i="1"/>
  <c r="L1377" i="1"/>
  <c r="M1376" i="1"/>
  <c r="L1376" i="1"/>
  <c r="M1375" i="1"/>
  <c r="L1375" i="1"/>
  <c r="M1374" i="1"/>
  <c r="L1374" i="1"/>
  <c r="M1373" i="1"/>
  <c r="L1373" i="1"/>
  <c r="M1372" i="1"/>
  <c r="L1372" i="1"/>
  <c r="M1371" i="1"/>
  <c r="L1371" i="1"/>
  <c r="M1370" i="1"/>
  <c r="L1370" i="1"/>
  <c r="M1369" i="1"/>
  <c r="L1369" i="1"/>
  <c r="M1368" i="1"/>
  <c r="L1368" i="1"/>
  <c r="M1367" i="1"/>
  <c r="L1367" i="1"/>
  <c r="M1366" i="1"/>
  <c r="L1366" i="1"/>
  <c r="M1365" i="1"/>
  <c r="L1365" i="1"/>
  <c r="M1364" i="1"/>
  <c r="L1364" i="1"/>
  <c r="M1363" i="1"/>
  <c r="L1363" i="1"/>
  <c r="M1362" i="1"/>
  <c r="L1362" i="1"/>
  <c r="M1361" i="1"/>
  <c r="L1361" i="1"/>
  <c r="M1360" i="1"/>
  <c r="L1360" i="1"/>
  <c r="M1359" i="1"/>
  <c r="L1359" i="1"/>
  <c r="M1358" i="1"/>
  <c r="L1358" i="1"/>
  <c r="M1357" i="1"/>
  <c r="L1357" i="1"/>
  <c r="M1356" i="1"/>
  <c r="L1356" i="1"/>
  <c r="M1355" i="1"/>
  <c r="L1355" i="1"/>
  <c r="M1354" i="1"/>
  <c r="L1354" i="1"/>
  <c r="M1353" i="1"/>
  <c r="L1353" i="1"/>
  <c r="M1352" i="1"/>
  <c r="L1352" i="1"/>
  <c r="M1351" i="1"/>
  <c r="L1351" i="1"/>
  <c r="M1350" i="1"/>
  <c r="L1350" i="1"/>
  <c r="M1349" i="1"/>
  <c r="L1349" i="1"/>
  <c r="M1348" i="1"/>
  <c r="L1348" i="1"/>
  <c r="M1347" i="1"/>
  <c r="L1347" i="1"/>
  <c r="M1346" i="1"/>
  <c r="L1346" i="1"/>
  <c r="M1345" i="1"/>
  <c r="L1345" i="1"/>
  <c r="M1344" i="1"/>
  <c r="L1344" i="1"/>
  <c r="M1343" i="1"/>
  <c r="L1343" i="1"/>
  <c r="M1342" i="1"/>
  <c r="L1342" i="1"/>
  <c r="M1341" i="1"/>
  <c r="L1341" i="1"/>
  <c r="M1340" i="1"/>
  <c r="L1340" i="1"/>
  <c r="M1339" i="1"/>
  <c r="L1339" i="1"/>
  <c r="M1338" i="1"/>
  <c r="L1338" i="1"/>
  <c r="M1337" i="1"/>
  <c r="L1337" i="1"/>
  <c r="M1336" i="1"/>
  <c r="L1336" i="1"/>
  <c r="M1335" i="1"/>
  <c r="L1335" i="1"/>
  <c r="M1334" i="1"/>
  <c r="L1334" i="1"/>
  <c r="M1333" i="1"/>
  <c r="L1333" i="1"/>
  <c r="M1332" i="1"/>
  <c r="L1332" i="1"/>
  <c r="M1331" i="1"/>
  <c r="L1331" i="1"/>
  <c r="M1330" i="1"/>
  <c r="L1330" i="1"/>
  <c r="M1329" i="1"/>
  <c r="L1329" i="1"/>
  <c r="M1328" i="1"/>
  <c r="L1328" i="1"/>
  <c r="M1327" i="1"/>
  <c r="L1327" i="1"/>
  <c r="M1326" i="1"/>
  <c r="L1326" i="1"/>
  <c r="M1325" i="1"/>
  <c r="L1325" i="1"/>
  <c r="M1324" i="1"/>
  <c r="L1324" i="1"/>
  <c r="M1323" i="1"/>
  <c r="L1323" i="1"/>
  <c r="M1322" i="1"/>
  <c r="L1322" i="1"/>
  <c r="M1321" i="1"/>
  <c r="L1321" i="1"/>
  <c r="M1320" i="1"/>
  <c r="L1320" i="1"/>
  <c r="M1319" i="1"/>
  <c r="L1319" i="1"/>
  <c r="M1318" i="1"/>
  <c r="L1318" i="1"/>
  <c r="M1317" i="1"/>
  <c r="L1317" i="1"/>
  <c r="M1316" i="1"/>
  <c r="L1316" i="1"/>
  <c r="M1315" i="1"/>
  <c r="L1315" i="1"/>
  <c r="M1314" i="1"/>
  <c r="L1314" i="1"/>
  <c r="M1313" i="1"/>
  <c r="L1313" i="1"/>
  <c r="M1312" i="1"/>
  <c r="L1312" i="1"/>
  <c r="M1311" i="1"/>
  <c r="L1311" i="1"/>
  <c r="M1310" i="1"/>
  <c r="L1310" i="1"/>
  <c r="M1309" i="1"/>
  <c r="L1309" i="1"/>
  <c r="M1308" i="1"/>
  <c r="L1308" i="1"/>
  <c r="M1307" i="1"/>
  <c r="L1307" i="1"/>
  <c r="M1306" i="1"/>
  <c r="L1306" i="1"/>
  <c r="M1305" i="1"/>
  <c r="L1305" i="1"/>
  <c r="M1304" i="1"/>
  <c r="L1304" i="1"/>
  <c r="M1303" i="1"/>
  <c r="L1303" i="1"/>
  <c r="M1302" i="1"/>
  <c r="L1302" i="1"/>
  <c r="M1301" i="1"/>
  <c r="L1301" i="1"/>
  <c r="M1300" i="1"/>
  <c r="L1300" i="1"/>
  <c r="M1299" i="1"/>
  <c r="L1299" i="1"/>
  <c r="M1298" i="1"/>
  <c r="L1298" i="1"/>
  <c r="M1297" i="1"/>
  <c r="L1297" i="1"/>
  <c r="M1296" i="1"/>
  <c r="L1296" i="1"/>
  <c r="M1295" i="1"/>
  <c r="L1295" i="1"/>
  <c r="M1294" i="1"/>
  <c r="L1294" i="1"/>
  <c r="M1293" i="1"/>
  <c r="L1293" i="1"/>
  <c r="M1292" i="1"/>
  <c r="L1292" i="1"/>
  <c r="M1291" i="1"/>
  <c r="L1291" i="1"/>
  <c r="M1290" i="1"/>
  <c r="L1290" i="1"/>
  <c r="M1289" i="1"/>
  <c r="L1289" i="1"/>
  <c r="M1288" i="1"/>
  <c r="L1288" i="1"/>
  <c r="M1287" i="1"/>
  <c r="L1287" i="1"/>
  <c r="M1286" i="1"/>
  <c r="L1286" i="1"/>
  <c r="M1285" i="1"/>
  <c r="L1285" i="1"/>
  <c r="M1284" i="1"/>
  <c r="L1284" i="1"/>
  <c r="M1283" i="1"/>
  <c r="L1283" i="1"/>
  <c r="M1282" i="1"/>
  <c r="L1282" i="1"/>
  <c r="M1281" i="1"/>
  <c r="L1281" i="1"/>
  <c r="M1280" i="1"/>
  <c r="L1280" i="1"/>
  <c r="M1279" i="1"/>
  <c r="L1279" i="1"/>
  <c r="M1278" i="1"/>
  <c r="L1278" i="1"/>
  <c r="M1277" i="1"/>
  <c r="L1277" i="1"/>
  <c r="M1276" i="1"/>
  <c r="L1276" i="1"/>
  <c r="M1275" i="1"/>
  <c r="L1275" i="1"/>
  <c r="M1274" i="1"/>
  <c r="L1274" i="1"/>
  <c r="M1273" i="1"/>
  <c r="L1273" i="1"/>
  <c r="M1272" i="1"/>
  <c r="L1272" i="1"/>
  <c r="M1271" i="1"/>
  <c r="L1271" i="1"/>
  <c r="M1270" i="1"/>
  <c r="L1270" i="1"/>
  <c r="M1269" i="1"/>
  <c r="L1269" i="1"/>
  <c r="M1268" i="1"/>
  <c r="L1268" i="1"/>
  <c r="M1267" i="1"/>
  <c r="L1267" i="1"/>
  <c r="M1266" i="1"/>
  <c r="L1266" i="1"/>
  <c r="M1265" i="1"/>
  <c r="L1265" i="1"/>
  <c r="M1264" i="1"/>
  <c r="L1264" i="1"/>
  <c r="M1263" i="1"/>
  <c r="L1263" i="1"/>
  <c r="M1262" i="1"/>
  <c r="L1262" i="1"/>
  <c r="M1261" i="1"/>
  <c r="L1261" i="1"/>
  <c r="M1260" i="1"/>
  <c r="L1260" i="1"/>
  <c r="M1259" i="1"/>
  <c r="L1259" i="1"/>
  <c r="M1258" i="1"/>
  <c r="L1258" i="1"/>
  <c r="M1257" i="1"/>
  <c r="L1257" i="1"/>
  <c r="M1256" i="1"/>
  <c r="L1256" i="1"/>
  <c r="M1255" i="1"/>
  <c r="L1255" i="1"/>
  <c r="M1254" i="1"/>
  <c r="L1254" i="1"/>
  <c r="M1253" i="1"/>
  <c r="L1253" i="1"/>
  <c r="M1252" i="1"/>
  <c r="L1252" i="1"/>
  <c r="M1251" i="1"/>
  <c r="L1251" i="1"/>
  <c r="M1250" i="1"/>
  <c r="L1250" i="1"/>
  <c r="M1249" i="1"/>
  <c r="L1249" i="1"/>
  <c r="M1248" i="1"/>
  <c r="L1248" i="1"/>
  <c r="M1247" i="1"/>
  <c r="L1247" i="1"/>
  <c r="M1246" i="1"/>
  <c r="L1246" i="1"/>
  <c r="M1245" i="1"/>
  <c r="L1245" i="1"/>
  <c r="M1244" i="1"/>
  <c r="L1244" i="1"/>
  <c r="M1243" i="1"/>
  <c r="L1243" i="1"/>
  <c r="M1242" i="1"/>
  <c r="L1242" i="1"/>
  <c r="M1241" i="1"/>
  <c r="L1241" i="1"/>
  <c r="M1240" i="1"/>
  <c r="L1240" i="1"/>
  <c r="M1239" i="1"/>
  <c r="L1239" i="1"/>
  <c r="M1238" i="1"/>
  <c r="L1238" i="1"/>
  <c r="M1237" i="1"/>
  <c r="L1237" i="1"/>
  <c r="M1236" i="1"/>
  <c r="L1236" i="1"/>
  <c r="M1235" i="1"/>
  <c r="L1235" i="1"/>
  <c r="M1234" i="1"/>
  <c r="L1234" i="1"/>
  <c r="M1233" i="1"/>
  <c r="L1233" i="1"/>
  <c r="M1232" i="1"/>
  <c r="L1232" i="1"/>
  <c r="M1231" i="1"/>
  <c r="L1231" i="1"/>
  <c r="M1230" i="1"/>
  <c r="L1230" i="1"/>
  <c r="M1229" i="1"/>
  <c r="L1229" i="1"/>
  <c r="M1228" i="1"/>
  <c r="L1228" i="1"/>
  <c r="M1227" i="1"/>
  <c r="L1227" i="1"/>
  <c r="M1226" i="1"/>
  <c r="L1226" i="1"/>
  <c r="M1225" i="1"/>
  <c r="L1225" i="1"/>
  <c r="M1224" i="1"/>
  <c r="L1224" i="1"/>
  <c r="M1223" i="1"/>
  <c r="L1223" i="1"/>
  <c r="M1222" i="1"/>
  <c r="L1222" i="1"/>
  <c r="M1221" i="1"/>
  <c r="L1221" i="1"/>
  <c r="M1220" i="1"/>
  <c r="L1220" i="1"/>
  <c r="M1219" i="1"/>
  <c r="L1219" i="1"/>
  <c r="M1218" i="1"/>
  <c r="L1218" i="1"/>
  <c r="M1217" i="1"/>
  <c r="L1217" i="1"/>
  <c r="M1216" i="1"/>
  <c r="L1216" i="1"/>
  <c r="M1215" i="1"/>
  <c r="L1215" i="1"/>
  <c r="M1214" i="1"/>
  <c r="L1214" i="1"/>
  <c r="M1213" i="1"/>
  <c r="L1213" i="1"/>
  <c r="M1212" i="1"/>
  <c r="L1212" i="1"/>
  <c r="M1211" i="1"/>
  <c r="L1211" i="1"/>
  <c r="M1210" i="1"/>
  <c r="L1210" i="1"/>
  <c r="M1209" i="1"/>
  <c r="L1209" i="1"/>
  <c r="M1208" i="1"/>
  <c r="L1208" i="1"/>
  <c r="M1207" i="1"/>
  <c r="L1207" i="1"/>
  <c r="M1206" i="1"/>
  <c r="L1206" i="1"/>
  <c r="M1205" i="1"/>
  <c r="L1205" i="1"/>
  <c r="M1204" i="1"/>
  <c r="L1204" i="1"/>
  <c r="M1203" i="1"/>
  <c r="L1203" i="1"/>
  <c r="M1202" i="1"/>
  <c r="L1202" i="1"/>
  <c r="M1201" i="1"/>
  <c r="L1201" i="1"/>
  <c r="M1200" i="1"/>
  <c r="L1200" i="1"/>
  <c r="M1199" i="1"/>
  <c r="L1199" i="1"/>
  <c r="M1198" i="1"/>
  <c r="L1198" i="1"/>
  <c r="M1197" i="1"/>
  <c r="L1197" i="1"/>
  <c r="M1196" i="1"/>
  <c r="L1196" i="1"/>
  <c r="M1195" i="1"/>
  <c r="L1195" i="1"/>
  <c r="M1194" i="1"/>
  <c r="L1194" i="1"/>
  <c r="M1193" i="1"/>
  <c r="L1193" i="1"/>
  <c r="M1192" i="1"/>
  <c r="L1192" i="1"/>
  <c r="M1191" i="1"/>
  <c r="L1191" i="1"/>
  <c r="M1190" i="1"/>
  <c r="L1190" i="1"/>
  <c r="M1189" i="1"/>
  <c r="L1189" i="1"/>
  <c r="M1188" i="1"/>
  <c r="L1188" i="1"/>
  <c r="M1187" i="1"/>
  <c r="L1187" i="1"/>
  <c r="M1186" i="1"/>
  <c r="L1186" i="1"/>
  <c r="M1185" i="1"/>
  <c r="L1185" i="1"/>
  <c r="M1184" i="1"/>
  <c r="L1184" i="1"/>
  <c r="M1183" i="1"/>
  <c r="L1183" i="1"/>
  <c r="M1182" i="1"/>
  <c r="L1182" i="1"/>
  <c r="M1181" i="1"/>
  <c r="L1181" i="1"/>
  <c r="M1180" i="1"/>
  <c r="L1180" i="1"/>
  <c r="M1179" i="1"/>
  <c r="L1179" i="1"/>
  <c r="M1178" i="1"/>
  <c r="L1178" i="1"/>
  <c r="M1177" i="1"/>
  <c r="L1177" i="1"/>
  <c r="M1176" i="1"/>
  <c r="L1176" i="1"/>
  <c r="M1175" i="1"/>
  <c r="L1175" i="1"/>
  <c r="M1174" i="1"/>
  <c r="L1174" i="1"/>
  <c r="M1173" i="1"/>
  <c r="L1173" i="1"/>
  <c r="M1172" i="1"/>
  <c r="L1172" i="1"/>
  <c r="M1171" i="1"/>
  <c r="L1171" i="1"/>
  <c r="M1170" i="1"/>
  <c r="L1170" i="1"/>
  <c r="M1169" i="1"/>
  <c r="L1169" i="1"/>
  <c r="M1168" i="1"/>
  <c r="L1168" i="1"/>
  <c r="M1167" i="1"/>
  <c r="L1167" i="1"/>
  <c r="M1166" i="1"/>
  <c r="L1166" i="1"/>
  <c r="M1165" i="1"/>
  <c r="L1165" i="1"/>
  <c r="M1164" i="1"/>
  <c r="L1164" i="1"/>
  <c r="M1163" i="1"/>
  <c r="L1163" i="1"/>
  <c r="M1162" i="1"/>
  <c r="L1162" i="1"/>
  <c r="M1161" i="1"/>
  <c r="L1161" i="1"/>
  <c r="M1160" i="1"/>
  <c r="L1160" i="1"/>
  <c r="M1159" i="1"/>
  <c r="L1159" i="1"/>
  <c r="M1158" i="1"/>
  <c r="L1158" i="1"/>
  <c r="M1157" i="1"/>
  <c r="L1157" i="1"/>
  <c r="M1156" i="1"/>
  <c r="L1156" i="1"/>
  <c r="M1155" i="1"/>
  <c r="L1155" i="1"/>
  <c r="M1154" i="1"/>
  <c r="L1154" i="1"/>
  <c r="M1153" i="1"/>
  <c r="L1153" i="1"/>
  <c r="M1152" i="1"/>
  <c r="L1152" i="1"/>
  <c r="M1151" i="1"/>
  <c r="L1151" i="1"/>
  <c r="M1150" i="1"/>
  <c r="L1150" i="1"/>
  <c r="M1149" i="1"/>
  <c r="L1149" i="1"/>
  <c r="M1148" i="1"/>
  <c r="L1148" i="1"/>
  <c r="M1147" i="1"/>
  <c r="L1147" i="1"/>
  <c r="M1146" i="1"/>
  <c r="L1146" i="1"/>
  <c r="M1145" i="1"/>
  <c r="L1145" i="1"/>
  <c r="M1144" i="1"/>
  <c r="L1144" i="1"/>
  <c r="M1143" i="1"/>
  <c r="L1143" i="1"/>
  <c r="M1142" i="1"/>
  <c r="L1142" i="1"/>
  <c r="M1141" i="1"/>
  <c r="L1141" i="1"/>
  <c r="M1140" i="1"/>
  <c r="L1140" i="1"/>
  <c r="M1139" i="1"/>
  <c r="L1139" i="1"/>
  <c r="M1138" i="1"/>
  <c r="L1138" i="1"/>
  <c r="M1137" i="1"/>
  <c r="L1137" i="1"/>
  <c r="M1136" i="1"/>
  <c r="L1136" i="1"/>
  <c r="M1135" i="1"/>
  <c r="L1135" i="1"/>
  <c r="M1134" i="1"/>
  <c r="L1134" i="1"/>
  <c r="M1133" i="1"/>
  <c r="L1133" i="1"/>
  <c r="M1132" i="1"/>
  <c r="L1132" i="1"/>
  <c r="M1131" i="1"/>
  <c r="L1131" i="1"/>
  <c r="M1130" i="1"/>
  <c r="L1130" i="1"/>
  <c r="M1129" i="1"/>
  <c r="L1129" i="1"/>
  <c r="M1128" i="1"/>
  <c r="L1128" i="1"/>
  <c r="M1127" i="1"/>
  <c r="L1127" i="1"/>
  <c r="M1126" i="1"/>
  <c r="L1126" i="1"/>
  <c r="M1125" i="1"/>
  <c r="L1125" i="1"/>
  <c r="M1124" i="1"/>
  <c r="L1124" i="1"/>
  <c r="M1123" i="1"/>
  <c r="L1123" i="1"/>
  <c r="M1122" i="1"/>
  <c r="L1122" i="1"/>
  <c r="M1121" i="1"/>
  <c r="L1121" i="1"/>
  <c r="M1120" i="1"/>
  <c r="L1120" i="1"/>
  <c r="M1119" i="1"/>
  <c r="L1119" i="1"/>
  <c r="M1118" i="1"/>
  <c r="L1118" i="1"/>
  <c r="M1117" i="1"/>
  <c r="L1117" i="1"/>
  <c r="M1116" i="1"/>
  <c r="L1116" i="1"/>
  <c r="M1115" i="1"/>
  <c r="L1115" i="1"/>
  <c r="M1114" i="1"/>
  <c r="L1114" i="1"/>
  <c r="M1113" i="1"/>
  <c r="L1113" i="1"/>
  <c r="M1112" i="1"/>
  <c r="L1112" i="1"/>
  <c r="M1111" i="1"/>
  <c r="L1111" i="1"/>
  <c r="M1110" i="1"/>
  <c r="L1110" i="1"/>
  <c r="M1109" i="1"/>
  <c r="L1109" i="1"/>
  <c r="M1108" i="1"/>
  <c r="L1108" i="1"/>
  <c r="M1107" i="1"/>
  <c r="L1107" i="1"/>
  <c r="M1106" i="1"/>
  <c r="L1106" i="1"/>
  <c r="M1105" i="1"/>
  <c r="L1105" i="1"/>
  <c r="M1104" i="1"/>
  <c r="L1104" i="1"/>
  <c r="M1103" i="1"/>
  <c r="L1103" i="1"/>
  <c r="M1102" i="1"/>
  <c r="L1102" i="1"/>
  <c r="M1101" i="1"/>
  <c r="L1101" i="1"/>
  <c r="M1100" i="1"/>
  <c r="L1100" i="1"/>
  <c r="M1099" i="1"/>
  <c r="L1099" i="1"/>
  <c r="M1098" i="1"/>
  <c r="L1098" i="1"/>
  <c r="M1097" i="1"/>
  <c r="L1097" i="1"/>
  <c r="M1096" i="1"/>
  <c r="L1096" i="1"/>
  <c r="M1095" i="1"/>
  <c r="L1095" i="1"/>
  <c r="M1094" i="1"/>
  <c r="L1094" i="1"/>
  <c r="M1093" i="1"/>
  <c r="L1093" i="1"/>
  <c r="M1092" i="1"/>
  <c r="L1092" i="1"/>
  <c r="M1091" i="1"/>
  <c r="L1091" i="1"/>
  <c r="M1090" i="1"/>
  <c r="L1090" i="1"/>
  <c r="M1089" i="1"/>
  <c r="L1089" i="1"/>
  <c r="M1088" i="1"/>
  <c r="L1088" i="1"/>
  <c r="M1087" i="1"/>
  <c r="L1087" i="1"/>
  <c r="M1086" i="1"/>
  <c r="L1086" i="1"/>
  <c r="M1085" i="1"/>
  <c r="L1085" i="1"/>
  <c r="M1084" i="1"/>
  <c r="L1084" i="1"/>
  <c r="M1083" i="1"/>
  <c r="L1083" i="1"/>
  <c r="M1082" i="1"/>
  <c r="L1082" i="1"/>
  <c r="M1081" i="1"/>
  <c r="L1081" i="1"/>
  <c r="M1080" i="1"/>
  <c r="L1080" i="1"/>
  <c r="M1079" i="1"/>
  <c r="L1079" i="1"/>
  <c r="M1078" i="1"/>
  <c r="L1078" i="1"/>
  <c r="M1077" i="1"/>
  <c r="L1077" i="1"/>
  <c r="M1076" i="1"/>
  <c r="L1076" i="1"/>
  <c r="M1075" i="1"/>
  <c r="L1075" i="1"/>
  <c r="M1074" i="1"/>
  <c r="L1074" i="1"/>
  <c r="M1073" i="1"/>
  <c r="L1073" i="1"/>
  <c r="M1072" i="1"/>
  <c r="L1072" i="1"/>
  <c r="M1071" i="1"/>
  <c r="L1071" i="1"/>
  <c r="M1070" i="1"/>
  <c r="L1070" i="1"/>
  <c r="M1069" i="1"/>
  <c r="L1069" i="1"/>
  <c r="M1068" i="1"/>
  <c r="L1068" i="1"/>
  <c r="M1067" i="1"/>
  <c r="L1067" i="1"/>
  <c r="M1066" i="1"/>
  <c r="L1066" i="1"/>
  <c r="M1065" i="1"/>
  <c r="L1065" i="1"/>
  <c r="M1064" i="1"/>
  <c r="L1064" i="1"/>
  <c r="M1063" i="1"/>
  <c r="L1063" i="1"/>
  <c r="M1062" i="1"/>
  <c r="L1062" i="1"/>
  <c r="M1061" i="1"/>
  <c r="L1061" i="1"/>
  <c r="M1060" i="1"/>
  <c r="L1060" i="1"/>
  <c r="M1059" i="1"/>
  <c r="L1059" i="1"/>
  <c r="M1058" i="1"/>
  <c r="L1058" i="1"/>
  <c r="M1057" i="1"/>
  <c r="L1057" i="1"/>
  <c r="M1056" i="1"/>
  <c r="L1056" i="1"/>
  <c r="M1055" i="1"/>
  <c r="L1055" i="1"/>
  <c r="M1054" i="1"/>
  <c r="L1054" i="1"/>
  <c r="M1053" i="1"/>
  <c r="L1053" i="1"/>
  <c r="M1052" i="1"/>
  <c r="L1052" i="1"/>
  <c r="M1051" i="1"/>
  <c r="L1051" i="1"/>
  <c r="M1050" i="1"/>
  <c r="L1050" i="1"/>
  <c r="M1049" i="1"/>
  <c r="L1049" i="1"/>
  <c r="M1048" i="1"/>
  <c r="L1048" i="1"/>
  <c r="M1047" i="1"/>
  <c r="L1047" i="1"/>
  <c r="M1046" i="1"/>
  <c r="L1046" i="1"/>
  <c r="M1045" i="1"/>
  <c r="L1045" i="1"/>
  <c r="M1044" i="1"/>
  <c r="L1044" i="1"/>
  <c r="M1043" i="1"/>
  <c r="L1043" i="1"/>
  <c r="M1042" i="1"/>
  <c r="L1042" i="1"/>
  <c r="M1041" i="1"/>
  <c r="L1041" i="1"/>
  <c r="M1040" i="1"/>
  <c r="L1040" i="1"/>
  <c r="M1039" i="1"/>
  <c r="L1039" i="1"/>
  <c r="M1038" i="1"/>
  <c r="L1038" i="1"/>
  <c r="M1037" i="1"/>
  <c r="L1037" i="1"/>
  <c r="M1036" i="1"/>
  <c r="L1036" i="1"/>
  <c r="M1035" i="1"/>
  <c r="L1035" i="1"/>
  <c r="M1034" i="1"/>
  <c r="L1034" i="1"/>
  <c r="M1033" i="1"/>
  <c r="L1033" i="1"/>
  <c r="M1032" i="1"/>
  <c r="L1032" i="1"/>
  <c r="M1031" i="1"/>
  <c r="L1031" i="1"/>
  <c r="M1030" i="1"/>
  <c r="L1030" i="1"/>
  <c r="M1029" i="1"/>
  <c r="L1029" i="1"/>
  <c r="M1028" i="1"/>
  <c r="L1028" i="1"/>
  <c r="M1027" i="1"/>
  <c r="L1027" i="1"/>
  <c r="M1026" i="1"/>
  <c r="L1026" i="1"/>
  <c r="M1025" i="1"/>
  <c r="L1025" i="1"/>
  <c r="M1024" i="1"/>
  <c r="L1024" i="1"/>
  <c r="M1023" i="1"/>
  <c r="L1023" i="1"/>
  <c r="M1022" i="1"/>
  <c r="L1022" i="1"/>
  <c r="M1021" i="1"/>
  <c r="L1021" i="1"/>
  <c r="M1020" i="1"/>
  <c r="L1020" i="1"/>
  <c r="M1019" i="1"/>
  <c r="L1019" i="1"/>
  <c r="M1018" i="1"/>
  <c r="L1018" i="1"/>
  <c r="M1017" i="1"/>
  <c r="L1017" i="1"/>
  <c r="M1016" i="1"/>
  <c r="L1016" i="1"/>
  <c r="M1015" i="1"/>
  <c r="L1015" i="1"/>
  <c r="M1014" i="1"/>
  <c r="L1014" i="1"/>
  <c r="M1013" i="1"/>
  <c r="L1013" i="1"/>
  <c r="M1012" i="1"/>
  <c r="L1012" i="1"/>
  <c r="M1011" i="1"/>
  <c r="L1011" i="1"/>
  <c r="M1010" i="1"/>
  <c r="L1010" i="1"/>
  <c r="M1009" i="1"/>
  <c r="L1009" i="1"/>
  <c r="M1008" i="1"/>
  <c r="L1008" i="1"/>
  <c r="M1007" i="1"/>
  <c r="L1007" i="1"/>
  <c r="M1006" i="1"/>
  <c r="L1006" i="1"/>
  <c r="M1005" i="1"/>
  <c r="L1005" i="1"/>
  <c r="M1004" i="1"/>
  <c r="L1004" i="1"/>
  <c r="M1003" i="1"/>
  <c r="L1003" i="1"/>
  <c r="M1002" i="1"/>
  <c r="L1002" i="1"/>
  <c r="M1001" i="1"/>
  <c r="L1001" i="1"/>
  <c r="M1000" i="1"/>
  <c r="L1000" i="1"/>
  <c r="M999" i="1"/>
  <c r="L999" i="1"/>
  <c r="M998" i="1"/>
  <c r="L998" i="1"/>
  <c r="M997" i="1"/>
  <c r="L997" i="1"/>
  <c r="M996" i="1"/>
  <c r="L996" i="1"/>
  <c r="M995" i="1"/>
  <c r="L995" i="1"/>
  <c r="M994" i="1"/>
  <c r="L994" i="1"/>
  <c r="M993" i="1"/>
  <c r="L993" i="1"/>
  <c r="M992" i="1"/>
  <c r="L992" i="1"/>
  <c r="M991" i="1"/>
  <c r="L991" i="1"/>
  <c r="M990" i="1"/>
  <c r="L990" i="1"/>
  <c r="M989" i="1"/>
  <c r="L989" i="1"/>
  <c r="M988" i="1"/>
  <c r="L988" i="1"/>
  <c r="M987" i="1"/>
  <c r="L987" i="1"/>
  <c r="M986" i="1"/>
  <c r="L986" i="1"/>
  <c r="M985" i="1"/>
  <c r="L985" i="1"/>
  <c r="M984" i="1"/>
  <c r="L984" i="1"/>
  <c r="M983" i="1"/>
  <c r="L983" i="1"/>
  <c r="M982" i="1"/>
  <c r="L982" i="1"/>
  <c r="M981" i="1"/>
  <c r="L981" i="1"/>
  <c r="M980" i="1"/>
  <c r="L980" i="1"/>
  <c r="M979" i="1"/>
  <c r="L979" i="1"/>
  <c r="M978" i="1"/>
  <c r="L978" i="1"/>
  <c r="M977" i="1"/>
  <c r="L977" i="1"/>
  <c r="M976" i="1"/>
  <c r="L976" i="1"/>
  <c r="M975" i="1"/>
  <c r="L975" i="1"/>
  <c r="M974" i="1"/>
  <c r="L974" i="1"/>
  <c r="M973" i="1"/>
  <c r="L973" i="1"/>
  <c r="M972" i="1"/>
  <c r="L972" i="1"/>
  <c r="M971" i="1"/>
  <c r="L971" i="1"/>
  <c r="M970" i="1"/>
  <c r="L970" i="1"/>
  <c r="M969" i="1"/>
  <c r="L969" i="1"/>
  <c r="M968" i="1"/>
  <c r="L968" i="1"/>
  <c r="M967" i="1"/>
  <c r="L967" i="1"/>
  <c r="M966" i="1"/>
  <c r="L966" i="1"/>
  <c r="M965" i="1"/>
  <c r="L965" i="1"/>
  <c r="M964" i="1"/>
  <c r="L964" i="1"/>
  <c r="M963" i="1"/>
  <c r="L963" i="1"/>
  <c r="M962" i="1"/>
  <c r="L962" i="1"/>
  <c r="M961" i="1"/>
  <c r="L961" i="1"/>
  <c r="M960" i="1"/>
  <c r="L960" i="1"/>
  <c r="M959" i="1"/>
  <c r="L959" i="1"/>
  <c r="M958" i="1"/>
  <c r="L958" i="1"/>
  <c r="M957" i="1"/>
  <c r="L957" i="1"/>
  <c r="M956" i="1"/>
  <c r="L956" i="1"/>
  <c r="M955" i="1"/>
  <c r="L955" i="1"/>
  <c r="M954" i="1"/>
  <c r="L954" i="1"/>
  <c r="M953" i="1"/>
  <c r="L953" i="1"/>
  <c r="M952" i="1"/>
  <c r="L952" i="1"/>
  <c r="M951" i="1"/>
  <c r="L951" i="1"/>
  <c r="M950" i="1"/>
  <c r="L950" i="1"/>
  <c r="M949" i="1"/>
  <c r="L949" i="1"/>
  <c r="M948" i="1"/>
  <c r="L948" i="1"/>
  <c r="M947" i="1"/>
  <c r="L947" i="1"/>
  <c r="M946" i="1"/>
  <c r="L946" i="1"/>
  <c r="M945" i="1"/>
  <c r="L945" i="1"/>
  <c r="M944" i="1"/>
  <c r="L944" i="1"/>
  <c r="M943" i="1"/>
  <c r="L943" i="1"/>
  <c r="M942" i="1"/>
  <c r="L942" i="1"/>
  <c r="M941" i="1"/>
  <c r="L941" i="1"/>
  <c r="M940" i="1"/>
  <c r="L940" i="1"/>
  <c r="M939" i="1"/>
  <c r="L939" i="1"/>
  <c r="M938" i="1"/>
  <c r="L938" i="1"/>
  <c r="M937" i="1"/>
  <c r="L937" i="1"/>
  <c r="M936" i="1"/>
  <c r="L936" i="1"/>
  <c r="M935" i="1"/>
  <c r="L935" i="1"/>
  <c r="M934" i="1"/>
  <c r="L934" i="1"/>
  <c r="M933" i="1"/>
  <c r="L933" i="1"/>
  <c r="M932" i="1"/>
  <c r="L932" i="1"/>
  <c r="M931" i="1"/>
  <c r="L931" i="1"/>
  <c r="M930" i="1"/>
  <c r="L930" i="1"/>
  <c r="M929" i="1"/>
  <c r="L929" i="1"/>
  <c r="M928" i="1"/>
  <c r="L928" i="1"/>
  <c r="M927" i="1"/>
  <c r="L927" i="1"/>
  <c r="M926" i="1"/>
  <c r="L926" i="1"/>
  <c r="M925" i="1"/>
  <c r="L925" i="1"/>
  <c r="M924" i="1"/>
  <c r="L924" i="1"/>
  <c r="M923" i="1"/>
  <c r="L923" i="1"/>
  <c r="M922" i="1"/>
  <c r="L922" i="1"/>
  <c r="M921" i="1"/>
  <c r="L921" i="1"/>
  <c r="M920" i="1"/>
  <c r="L920" i="1"/>
  <c r="M919" i="1"/>
  <c r="L919" i="1"/>
  <c r="M918" i="1"/>
  <c r="L918" i="1"/>
  <c r="M917" i="1"/>
  <c r="L917" i="1"/>
  <c r="M916" i="1"/>
  <c r="L916" i="1"/>
  <c r="M915" i="1"/>
  <c r="L915" i="1"/>
  <c r="M914" i="1"/>
  <c r="L914" i="1"/>
  <c r="M913" i="1"/>
  <c r="L913" i="1"/>
  <c r="M912" i="1"/>
  <c r="L912" i="1"/>
  <c r="M911" i="1"/>
  <c r="L911" i="1"/>
  <c r="M910" i="1"/>
  <c r="L910" i="1"/>
  <c r="M909" i="1"/>
  <c r="L909" i="1"/>
  <c r="M908" i="1"/>
  <c r="L908" i="1"/>
  <c r="M907" i="1"/>
  <c r="L907" i="1"/>
  <c r="M906" i="1"/>
  <c r="L906" i="1"/>
  <c r="M905" i="1"/>
  <c r="L905" i="1"/>
  <c r="M904" i="1"/>
  <c r="L904" i="1"/>
  <c r="M903" i="1"/>
  <c r="L903" i="1"/>
  <c r="M902" i="1"/>
  <c r="L902" i="1"/>
  <c r="M901" i="1"/>
  <c r="L901" i="1"/>
  <c r="M900" i="1"/>
  <c r="L900" i="1"/>
  <c r="M899" i="1"/>
  <c r="L899" i="1"/>
  <c r="M898" i="1"/>
  <c r="L898" i="1"/>
  <c r="M897" i="1"/>
  <c r="L897" i="1"/>
  <c r="M896" i="1"/>
  <c r="L896" i="1"/>
  <c r="M895" i="1"/>
  <c r="L895" i="1"/>
  <c r="M894" i="1"/>
  <c r="L894" i="1"/>
  <c r="M893" i="1"/>
  <c r="L893" i="1"/>
  <c r="M892" i="1"/>
  <c r="L892" i="1"/>
  <c r="M891" i="1"/>
  <c r="L891" i="1"/>
  <c r="M890" i="1"/>
  <c r="L890" i="1"/>
  <c r="M889" i="1"/>
  <c r="L889" i="1"/>
  <c r="M888" i="1"/>
  <c r="L888" i="1"/>
  <c r="M887" i="1"/>
  <c r="L887" i="1"/>
  <c r="M886" i="1"/>
  <c r="L886" i="1"/>
  <c r="M885" i="1"/>
  <c r="L885" i="1"/>
  <c r="M884" i="1"/>
  <c r="L884" i="1"/>
  <c r="M883" i="1"/>
  <c r="L883" i="1"/>
  <c r="M882" i="1"/>
  <c r="L882" i="1"/>
  <c r="M881" i="1"/>
  <c r="L881" i="1"/>
  <c r="M880" i="1"/>
  <c r="L880" i="1"/>
  <c r="M879" i="1"/>
  <c r="L879" i="1"/>
  <c r="M878" i="1"/>
  <c r="L878" i="1"/>
  <c r="M877" i="1"/>
  <c r="L877" i="1"/>
  <c r="M876" i="1"/>
  <c r="L876" i="1"/>
  <c r="M875" i="1"/>
  <c r="L875" i="1"/>
  <c r="M874" i="1"/>
  <c r="L874" i="1"/>
  <c r="M873" i="1"/>
  <c r="L873" i="1"/>
  <c r="M872" i="1"/>
  <c r="L872" i="1"/>
  <c r="M871" i="1"/>
  <c r="L871" i="1"/>
  <c r="M870" i="1"/>
  <c r="L870" i="1"/>
  <c r="M869" i="1"/>
  <c r="L869" i="1"/>
  <c r="M868" i="1"/>
  <c r="L868" i="1"/>
  <c r="M867" i="1"/>
  <c r="L867" i="1"/>
  <c r="M866" i="1"/>
  <c r="L866" i="1"/>
  <c r="M865" i="1"/>
  <c r="L865" i="1"/>
  <c r="M864" i="1"/>
  <c r="L864" i="1"/>
  <c r="M863" i="1"/>
  <c r="L863" i="1"/>
  <c r="M862" i="1"/>
  <c r="L862" i="1"/>
  <c r="M861" i="1"/>
  <c r="L861" i="1"/>
  <c r="M860" i="1"/>
  <c r="L860" i="1"/>
  <c r="M859" i="1"/>
  <c r="L859" i="1"/>
  <c r="M858" i="1"/>
  <c r="L858" i="1"/>
  <c r="M857" i="1"/>
  <c r="L857" i="1"/>
  <c r="M856" i="1"/>
  <c r="L856" i="1"/>
  <c r="M855" i="1"/>
  <c r="L855" i="1"/>
  <c r="M854" i="1"/>
  <c r="L854" i="1"/>
  <c r="M853" i="1"/>
  <c r="L853" i="1"/>
  <c r="M852" i="1"/>
  <c r="L852" i="1"/>
  <c r="M851" i="1"/>
  <c r="L851" i="1"/>
  <c r="M850" i="1"/>
  <c r="L850" i="1"/>
  <c r="M849" i="1"/>
  <c r="L849" i="1"/>
  <c r="M848" i="1"/>
  <c r="L848" i="1"/>
  <c r="M847" i="1"/>
  <c r="L847" i="1"/>
  <c r="M846" i="1"/>
  <c r="L846" i="1"/>
  <c r="M845" i="1"/>
  <c r="L845" i="1"/>
  <c r="M844" i="1"/>
  <c r="L844" i="1"/>
  <c r="M843" i="1"/>
  <c r="L843" i="1"/>
  <c r="M842" i="1"/>
  <c r="L842" i="1"/>
  <c r="M841" i="1"/>
  <c r="L841" i="1"/>
  <c r="M840" i="1"/>
  <c r="L840" i="1"/>
  <c r="M839" i="1"/>
  <c r="L839" i="1"/>
  <c r="M838" i="1"/>
  <c r="L838" i="1"/>
  <c r="M837" i="1"/>
  <c r="L837" i="1"/>
  <c r="M836" i="1"/>
  <c r="L836" i="1"/>
  <c r="M835" i="1"/>
  <c r="L835" i="1"/>
  <c r="M834" i="1"/>
  <c r="L834" i="1"/>
  <c r="M833" i="1"/>
  <c r="L833" i="1"/>
  <c r="M832" i="1"/>
  <c r="L832" i="1"/>
  <c r="M831" i="1"/>
  <c r="L831" i="1"/>
  <c r="M830" i="1"/>
  <c r="L830" i="1"/>
  <c r="M829" i="1"/>
  <c r="L829" i="1"/>
  <c r="M828" i="1"/>
  <c r="L828" i="1"/>
  <c r="M827" i="1"/>
  <c r="L827" i="1"/>
  <c r="M826" i="1"/>
  <c r="L826" i="1"/>
  <c r="M825" i="1"/>
  <c r="L825" i="1"/>
  <c r="M824" i="1"/>
  <c r="L824" i="1"/>
  <c r="M823" i="1"/>
  <c r="L823" i="1"/>
  <c r="M822" i="1"/>
  <c r="L822" i="1"/>
  <c r="M821" i="1"/>
  <c r="L821" i="1"/>
  <c r="M820" i="1"/>
  <c r="L820" i="1"/>
  <c r="M819" i="1"/>
  <c r="L819" i="1"/>
  <c r="M818" i="1"/>
  <c r="L818" i="1"/>
  <c r="M817" i="1"/>
  <c r="L817" i="1"/>
  <c r="M816" i="1"/>
  <c r="L816" i="1"/>
  <c r="M815" i="1"/>
  <c r="L815" i="1"/>
  <c r="M814" i="1"/>
  <c r="L814" i="1"/>
  <c r="M813" i="1"/>
  <c r="L813" i="1"/>
  <c r="M812" i="1"/>
  <c r="L812" i="1"/>
  <c r="M811" i="1"/>
  <c r="L811" i="1"/>
  <c r="M810" i="1"/>
  <c r="L810" i="1"/>
  <c r="M809" i="1"/>
  <c r="L809" i="1"/>
  <c r="M808" i="1"/>
  <c r="L808" i="1"/>
  <c r="M807" i="1"/>
  <c r="L807" i="1"/>
  <c r="M806" i="1"/>
  <c r="L806" i="1"/>
  <c r="M805" i="1"/>
  <c r="L805" i="1"/>
  <c r="M804" i="1"/>
  <c r="L804" i="1"/>
  <c r="M803" i="1"/>
  <c r="L803" i="1"/>
  <c r="M802" i="1"/>
  <c r="L802" i="1"/>
  <c r="M801" i="1"/>
  <c r="L801" i="1"/>
  <c r="M800" i="1"/>
  <c r="L800" i="1"/>
  <c r="M799" i="1"/>
  <c r="L799" i="1"/>
  <c r="M798" i="1"/>
  <c r="L798" i="1"/>
  <c r="M797" i="1"/>
  <c r="L797" i="1"/>
  <c r="M796" i="1"/>
  <c r="L796" i="1"/>
  <c r="M795" i="1"/>
  <c r="L795" i="1"/>
  <c r="M794" i="1"/>
  <c r="L794" i="1"/>
  <c r="M793" i="1"/>
  <c r="L793" i="1"/>
  <c r="M792" i="1"/>
  <c r="L792" i="1"/>
  <c r="M791" i="1"/>
  <c r="L791" i="1"/>
  <c r="M790" i="1"/>
  <c r="L790" i="1"/>
  <c r="M789" i="1"/>
  <c r="L789" i="1"/>
  <c r="M788" i="1"/>
  <c r="L788" i="1"/>
  <c r="M787" i="1"/>
  <c r="L787" i="1"/>
  <c r="M786" i="1"/>
  <c r="L786" i="1"/>
  <c r="M785" i="1"/>
  <c r="L785" i="1"/>
  <c r="M784" i="1"/>
  <c r="L784" i="1"/>
  <c r="M783" i="1"/>
  <c r="L783" i="1"/>
  <c r="M782" i="1"/>
  <c r="L782" i="1"/>
  <c r="M781" i="1"/>
  <c r="L781" i="1"/>
  <c r="M780" i="1"/>
  <c r="L780" i="1"/>
  <c r="M779" i="1"/>
  <c r="L779" i="1"/>
  <c r="M778" i="1"/>
  <c r="L778" i="1"/>
  <c r="M777" i="1"/>
  <c r="L777" i="1"/>
  <c r="M776" i="1"/>
  <c r="L776" i="1"/>
  <c r="M775" i="1"/>
  <c r="L775" i="1"/>
  <c r="M774" i="1"/>
  <c r="L774" i="1"/>
  <c r="M773" i="1"/>
  <c r="L773" i="1"/>
  <c r="M772" i="1"/>
  <c r="L772" i="1"/>
  <c r="M771" i="1"/>
  <c r="L771" i="1"/>
  <c r="M770" i="1"/>
  <c r="L770" i="1"/>
  <c r="M769" i="1"/>
  <c r="L769" i="1"/>
  <c r="M768" i="1"/>
  <c r="L768" i="1"/>
  <c r="M767" i="1"/>
  <c r="L767" i="1"/>
  <c r="M766" i="1"/>
  <c r="L766" i="1"/>
  <c r="M765" i="1"/>
  <c r="L765" i="1"/>
  <c r="M764" i="1"/>
  <c r="L764" i="1"/>
  <c r="M763" i="1"/>
  <c r="L763" i="1"/>
  <c r="M762" i="1"/>
  <c r="L762" i="1"/>
  <c r="M761" i="1"/>
  <c r="L761" i="1"/>
  <c r="M760" i="1"/>
  <c r="L760" i="1"/>
  <c r="M759" i="1"/>
  <c r="L759" i="1"/>
  <c r="M758" i="1"/>
  <c r="L758" i="1"/>
  <c r="M757" i="1"/>
  <c r="L757" i="1"/>
  <c r="M756" i="1"/>
  <c r="L756" i="1"/>
  <c r="M755" i="1"/>
  <c r="L755" i="1"/>
  <c r="M754" i="1"/>
  <c r="L754" i="1"/>
  <c r="M753" i="1"/>
  <c r="L753" i="1"/>
  <c r="M752" i="1"/>
  <c r="L752" i="1"/>
  <c r="M751" i="1"/>
  <c r="L751" i="1"/>
  <c r="M750" i="1"/>
  <c r="L750" i="1"/>
  <c r="M749" i="1"/>
  <c r="L749" i="1"/>
  <c r="M748" i="1"/>
  <c r="L748" i="1"/>
  <c r="M747" i="1"/>
  <c r="L747" i="1"/>
  <c r="M746" i="1"/>
  <c r="L746" i="1"/>
  <c r="M745" i="1"/>
  <c r="L745" i="1"/>
  <c r="M744" i="1"/>
  <c r="L744" i="1"/>
  <c r="M743" i="1"/>
  <c r="L743" i="1"/>
  <c r="M742" i="1"/>
  <c r="L742" i="1"/>
  <c r="M741" i="1"/>
  <c r="L741" i="1"/>
  <c r="M740" i="1"/>
  <c r="L740" i="1"/>
  <c r="M739" i="1"/>
  <c r="L739" i="1"/>
  <c r="M738" i="1"/>
  <c r="L738" i="1"/>
  <c r="M737" i="1"/>
  <c r="L737" i="1"/>
  <c r="M736" i="1"/>
  <c r="L736" i="1"/>
  <c r="M735" i="1"/>
  <c r="L735" i="1"/>
  <c r="M734" i="1"/>
  <c r="L734" i="1"/>
  <c r="M733" i="1"/>
  <c r="L733" i="1"/>
  <c r="M732" i="1"/>
  <c r="L732" i="1"/>
  <c r="M731" i="1"/>
  <c r="L731" i="1"/>
  <c r="M730" i="1"/>
  <c r="L730" i="1"/>
  <c r="M729" i="1"/>
  <c r="L729" i="1"/>
  <c r="M728" i="1"/>
  <c r="L728" i="1"/>
  <c r="M727" i="1"/>
  <c r="L727" i="1"/>
  <c r="M726" i="1"/>
  <c r="L726" i="1"/>
  <c r="M725" i="1"/>
  <c r="L725" i="1"/>
  <c r="M724" i="1"/>
  <c r="L724" i="1"/>
  <c r="M723" i="1"/>
  <c r="L723" i="1"/>
  <c r="M722" i="1"/>
  <c r="L722" i="1"/>
  <c r="M721" i="1"/>
  <c r="L721" i="1"/>
  <c r="M720" i="1"/>
  <c r="L720" i="1"/>
  <c r="M719" i="1"/>
  <c r="L719" i="1"/>
  <c r="M718" i="1"/>
  <c r="L718" i="1"/>
  <c r="M717" i="1"/>
  <c r="L717" i="1"/>
  <c r="M716" i="1"/>
  <c r="L716" i="1"/>
  <c r="M715" i="1"/>
  <c r="L715" i="1"/>
  <c r="M714" i="1"/>
  <c r="L714" i="1"/>
  <c r="M713" i="1"/>
  <c r="L713" i="1"/>
  <c r="M712" i="1"/>
  <c r="L712" i="1"/>
  <c r="M711" i="1"/>
  <c r="L711" i="1"/>
  <c r="M710" i="1"/>
  <c r="L710" i="1"/>
  <c r="M709" i="1"/>
  <c r="L709" i="1"/>
  <c r="M708" i="1"/>
  <c r="L708" i="1"/>
  <c r="M707" i="1"/>
  <c r="L707" i="1"/>
  <c r="M706" i="1"/>
  <c r="L706" i="1"/>
  <c r="M705" i="1"/>
  <c r="L705" i="1"/>
  <c r="M704" i="1"/>
  <c r="L704" i="1"/>
  <c r="M703" i="1"/>
  <c r="L703" i="1"/>
  <c r="M702" i="1"/>
  <c r="L702" i="1"/>
  <c r="M701" i="1"/>
  <c r="L701" i="1"/>
  <c r="M700" i="1"/>
  <c r="L700" i="1"/>
  <c r="M699" i="1"/>
  <c r="L699" i="1"/>
  <c r="M698" i="1"/>
  <c r="L698" i="1"/>
  <c r="M697" i="1"/>
  <c r="L697" i="1"/>
  <c r="M696" i="1"/>
  <c r="L696" i="1"/>
  <c r="M695" i="1"/>
  <c r="L695" i="1"/>
  <c r="M694" i="1"/>
  <c r="L694" i="1"/>
  <c r="M693" i="1"/>
  <c r="L693" i="1"/>
  <c r="M692" i="1"/>
  <c r="L692" i="1"/>
  <c r="M691" i="1"/>
  <c r="L691" i="1"/>
  <c r="M690" i="1"/>
  <c r="L690" i="1"/>
  <c r="M689" i="1"/>
  <c r="L689" i="1"/>
  <c r="M688" i="1"/>
  <c r="L688" i="1"/>
  <c r="M687" i="1"/>
  <c r="L687" i="1"/>
  <c r="M686" i="1"/>
  <c r="L686" i="1"/>
  <c r="M685" i="1"/>
  <c r="L685" i="1"/>
  <c r="M684" i="1"/>
  <c r="L684" i="1"/>
  <c r="M683" i="1"/>
  <c r="L683" i="1"/>
  <c r="M682" i="1"/>
  <c r="L682" i="1"/>
  <c r="M681" i="1"/>
  <c r="L681" i="1"/>
  <c r="M680" i="1"/>
  <c r="L680" i="1"/>
  <c r="M679" i="1"/>
  <c r="L679" i="1"/>
  <c r="M678" i="1"/>
  <c r="L678" i="1"/>
  <c r="M677" i="1"/>
  <c r="L677" i="1"/>
  <c r="M676" i="1"/>
  <c r="L676" i="1"/>
  <c r="M675" i="1"/>
  <c r="L675" i="1"/>
  <c r="M674" i="1"/>
  <c r="L674" i="1"/>
  <c r="M673" i="1"/>
  <c r="L673" i="1"/>
  <c r="M672" i="1"/>
  <c r="L672" i="1"/>
  <c r="M671" i="1"/>
  <c r="L671" i="1"/>
  <c r="M670" i="1"/>
  <c r="L670" i="1"/>
  <c r="M669" i="1"/>
  <c r="L669" i="1"/>
  <c r="M668" i="1"/>
  <c r="L668" i="1"/>
  <c r="M667" i="1"/>
  <c r="L667" i="1"/>
  <c r="M666" i="1"/>
  <c r="L666" i="1"/>
  <c r="M665" i="1"/>
  <c r="L665" i="1"/>
  <c r="M664" i="1"/>
  <c r="L664" i="1"/>
  <c r="M663" i="1"/>
  <c r="L663" i="1"/>
  <c r="M662" i="1"/>
  <c r="L662" i="1"/>
  <c r="M661" i="1"/>
  <c r="L661" i="1"/>
  <c r="M660" i="1"/>
  <c r="L660" i="1"/>
  <c r="M659" i="1"/>
  <c r="L659" i="1"/>
  <c r="M658" i="1"/>
  <c r="L658" i="1"/>
  <c r="M657" i="1"/>
  <c r="L657" i="1"/>
  <c r="M656" i="1"/>
  <c r="L656" i="1"/>
  <c r="M655" i="1"/>
  <c r="L655" i="1"/>
  <c r="M654" i="1"/>
  <c r="L654" i="1"/>
  <c r="M653" i="1"/>
  <c r="L653" i="1"/>
  <c r="M652" i="1"/>
  <c r="L652" i="1"/>
  <c r="M651" i="1"/>
  <c r="L651" i="1"/>
  <c r="M650" i="1"/>
  <c r="L650" i="1"/>
  <c r="M649" i="1"/>
  <c r="L649" i="1"/>
  <c r="M648" i="1"/>
  <c r="L648" i="1"/>
  <c r="M647" i="1"/>
  <c r="L647" i="1"/>
  <c r="M646" i="1"/>
  <c r="L646" i="1"/>
  <c r="M645" i="1"/>
  <c r="L645" i="1"/>
  <c r="M644" i="1"/>
  <c r="L644" i="1"/>
  <c r="M643" i="1"/>
  <c r="L643" i="1"/>
  <c r="M642" i="1"/>
  <c r="L642" i="1"/>
  <c r="M641" i="1"/>
  <c r="L641" i="1"/>
  <c r="M640" i="1"/>
  <c r="L640" i="1"/>
  <c r="M639" i="1"/>
  <c r="L639" i="1"/>
  <c r="M638" i="1"/>
  <c r="L638" i="1"/>
  <c r="M637" i="1"/>
  <c r="L637" i="1"/>
  <c r="M636" i="1"/>
  <c r="L636" i="1"/>
  <c r="M635" i="1"/>
  <c r="L635" i="1"/>
  <c r="M634" i="1"/>
  <c r="L634" i="1"/>
  <c r="M633" i="1"/>
  <c r="L633" i="1"/>
  <c r="M632" i="1"/>
  <c r="L632" i="1"/>
  <c r="M631" i="1"/>
  <c r="L631" i="1"/>
  <c r="M630" i="1"/>
  <c r="L630" i="1"/>
  <c r="M629" i="1"/>
  <c r="L629" i="1"/>
  <c r="M628" i="1"/>
  <c r="L628" i="1"/>
  <c r="M627" i="1"/>
  <c r="L627" i="1"/>
  <c r="M626" i="1"/>
  <c r="L626" i="1"/>
  <c r="M625" i="1"/>
  <c r="L625" i="1"/>
  <c r="M624" i="1"/>
  <c r="L624" i="1"/>
  <c r="M623" i="1"/>
  <c r="L623" i="1"/>
  <c r="M622" i="1"/>
  <c r="L622" i="1"/>
  <c r="M621" i="1"/>
  <c r="L621" i="1"/>
  <c r="M620" i="1"/>
  <c r="L620" i="1"/>
  <c r="M619" i="1"/>
  <c r="L619" i="1"/>
  <c r="M618" i="1"/>
  <c r="L618" i="1"/>
  <c r="M617" i="1"/>
  <c r="L617" i="1"/>
  <c r="M616" i="1"/>
  <c r="L616" i="1"/>
  <c r="M615" i="1"/>
  <c r="L615" i="1"/>
  <c r="M614" i="1"/>
  <c r="L614" i="1"/>
  <c r="M613" i="1"/>
  <c r="L613" i="1"/>
  <c r="M612" i="1"/>
  <c r="L612" i="1"/>
  <c r="M611" i="1"/>
  <c r="L611" i="1"/>
  <c r="M610" i="1"/>
  <c r="L610" i="1"/>
  <c r="M609" i="1"/>
  <c r="L609" i="1"/>
  <c r="M608" i="1"/>
  <c r="L608" i="1"/>
  <c r="M607" i="1"/>
  <c r="L607" i="1"/>
  <c r="M606" i="1"/>
  <c r="L606" i="1"/>
  <c r="M605" i="1"/>
  <c r="L605" i="1"/>
  <c r="M604" i="1"/>
  <c r="L604" i="1"/>
  <c r="M603" i="1"/>
  <c r="L603" i="1"/>
  <c r="M602" i="1"/>
  <c r="L602" i="1"/>
  <c r="M601" i="1"/>
  <c r="L601" i="1"/>
  <c r="M600" i="1"/>
  <c r="L600" i="1"/>
  <c r="M599" i="1"/>
  <c r="L599" i="1"/>
  <c r="M598" i="1"/>
  <c r="L598" i="1"/>
  <c r="M597" i="1"/>
  <c r="L597" i="1"/>
  <c r="M596" i="1"/>
  <c r="L596" i="1"/>
  <c r="M595" i="1"/>
  <c r="L595" i="1"/>
  <c r="M594" i="1"/>
  <c r="L594" i="1"/>
  <c r="M593" i="1"/>
  <c r="L593" i="1"/>
  <c r="M592" i="1"/>
  <c r="L592" i="1"/>
  <c r="M591" i="1"/>
  <c r="L591" i="1"/>
  <c r="M590" i="1"/>
  <c r="L590" i="1"/>
  <c r="M589" i="1"/>
  <c r="L589" i="1"/>
  <c r="M588" i="1"/>
  <c r="L588" i="1"/>
  <c r="M587" i="1"/>
  <c r="L587" i="1"/>
  <c r="M586" i="1"/>
  <c r="L586" i="1"/>
  <c r="M585" i="1"/>
  <c r="L585" i="1"/>
  <c r="M584" i="1"/>
  <c r="L584" i="1"/>
  <c r="M583" i="1"/>
  <c r="L583" i="1"/>
  <c r="M582" i="1"/>
  <c r="L582" i="1"/>
  <c r="M581" i="1"/>
  <c r="L581" i="1"/>
  <c r="M580" i="1"/>
  <c r="L580" i="1"/>
  <c r="M579" i="1"/>
  <c r="L579" i="1"/>
  <c r="M578" i="1"/>
  <c r="L578" i="1"/>
  <c r="M577" i="1"/>
  <c r="L577" i="1"/>
  <c r="M576" i="1"/>
  <c r="L576" i="1"/>
  <c r="M575" i="1"/>
  <c r="L575" i="1"/>
  <c r="M574" i="1"/>
  <c r="L574" i="1"/>
  <c r="M573" i="1"/>
  <c r="L573" i="1"/>
  <c r="M572" i="1"/>
  <c r="L572" i="1"/>
  <c r="M571" i="1"/>
  <c r="L571" i="1"/>
  <c r="M570" i="1"/>
  <c r="L570" i="1"/>
  <c r="M569" i="1"/>
  <c r="L569" i="1"/>
  <c r="M568" i="1"/>
  <c r="L568" i="1"/>
  <c r="M567" i="1"/>
  <c r="L567" i="1"/>
  <c r="M566" i="1"/>
  <c r="L566" i="1"/>
  <c r="M565" i="1"/>
  <c r="L565" i="1"/>
  <c r="M564" i="1"/>
  <c r="L564" i="1"/>
  <c r="M563" i="1"/>
  <c r="L563" i="1"/>
  <c r="M562" i="1"/>
  <c r="L562" i="1"/>
  <c r="M561" i="1"/>
  <c r="L561" i="1"/>
  <c r="M560" i="1"/>
  <c r="L560" i="1"/>
  <c r="M559" i="1"/>
  <c r="L559" i="1"/>
  <c r="M558" i="1"/>
  <c r="L558" i="1"/>
  <c r="M557" i="1"/>
  <c r="L557" i="1"/>
  <c r="M556" i="1"/>
  <c r="L556" i="1"/>
  <c r="M555" i="1"/>
  <c r="L555" i="1"/>
  <c r="M554" i="1"/>
  <c r="L554" i="1"/>
  <c r="M553" i="1"/>
  <c r="L553" i="1"/>
  <c r="M552" i="1"/>
  <c r="L552" i="1"/>
  <c r="M551" i="1"/>
  <c r="L551" i="1"/>
  <c r="M550" i="1"/>
  <c r="L550" i="1"/>
  <c r="M549" i="1"/>
  <c r="L549" i="1"/>
  <c r="M548" i="1"/>
  <c r="L548" i="1"/>
  <c r="M547" i="1"/>
  <c r="L547" i="1"/>
  <c r="M546" i="1"/>
  <c r="L546" i="1"/>
  <c r="M545" i="1"/>
  <c r="L545" i="1"/>
  <c r="M544" i="1"/>
  <c r="L544" i="1"/>
  <c r="M543" i="1"/>
  <c r="L543" i="1"/>
  <c r="M542" i="1"/>
  <c r="L542" i="1"/>
  <c r="M541" i="1"/>
  <c r="L541" i="1"/>
  <c r="M540" i="1"/>
  <c r="L540" i="1"/>
  <c r="M539" i="1"/>
  <c r="L539" i="1"/>
  <c r="M538" i="1"/>
  <c r="L538" i="1"/>
  <c r="M537" i="1"/>
  <c r="L537" i="1"/>
  <c r="M536" i="1"/>
  <c r="L536" i="1"/>
  <c r="M535" i="1"/>
  <c r="L535" i="1"/>
  <c r="M534" i="1"/>
  <c r="L534" i="1"/>
  <c r="M533" i="1"/>
  <c r="L533" i="1"/>
  <c r="M532" i="1"/>
  <c r="L532" i="1"/>
  <c r="M531" i="1"/>
  <c r="L531" i="1"/>
  <c r="M530" i="1"/>
  <c r="L530" i="1"/>
  <c r="M529" i="1"/>
  <c r="L529" i="1"/>
  <c r="M528" i="1"/>
  <c r="L528" i="1"/>
  <c r="M527" i="1"/>
  <c r="L527" i="1"/>
  <c r="M526" i="1"/>
  <c r="L526" i="1"/>
  <c r="M525" i="1"/>
  <c r="L525" i="1"/>
  <c r="M524" i="1"/>
  <c r="L524" i="1"/>
  <c r="M523" i="1"/>
  <c r="L523" i="1"/>
  <c r="M522" i="1"/>
  <c r="L522" i="1"/>
  <c r="M521" i="1"/>
  <c r="L521" i="1"/>
  <c r="M520" i="1"/>
  <c r="L520" i="1"/>
  <c r="M519" i="1"/>
  <c r="L519" i="1"/>
  <c r="M518" i="1"/>
  <c r="L518" i="1"/>
  <c r="M517" i="1"/>
  <c r="L517" i="1"/>
  <c r="M516" i="1"/>
  <c r="L516" i="1"/>
  <c r="M515" i="1"/>
  <c r="L515" i="1"/>
  <c r="M514" i="1"/>
  <c r="L514" i="1"/>
  <c r="M513" i="1"/>
  <c r="L513" i="1"/>
  <c r="M512" i="1"/>
  <c r="L512" i="1"/>
  <c r="M511" i="1"/>
  <c r="L511" i="1"/>
  <c r="M510" i="1"/>
  <c r="L510" i="1"/>
  <c r="M509" i="1"/>
  <c r="L509" i="1"/>
  <c r="M508" i="1"/>
  <c r="L508" i="1"/>
  <c r="M507" i="1"/>
  <c r="L507" i="1"/>
  <c r="M506" i="1"/>
  <c r="L506" i="1"/>
  <c r="M505" i="1"/>
  <c r="L505" i="1"/>
  <c r="M504" i="1"/>
  <c r="L504" i="1"/>
  <c r="M503" i="1"/>
  <c r="L503" i="1"/>
  <c r="M502" i="1"/>
  <c r="L502" i="1"/>
  <c r="M501" i="1"/>
  <c r="L501" i="1"/>
  <c r="M500" i="1"/>
  <c r="L500" i="1"/>
  <c r="M499" i="1"/>
  <c r="L499" i="1"/>
  <c r="M498" i="1"/>
  <c r="L498" i="1"/>
  <c r="M497" i="1"/>
  <c r="L497" i="1"/>
  <c r="M496" i="1"/>
  <c r="L496" i="1"/>
  <c r="M495" i="1"/>
  <c r="L495" i="1"/>
  <c r="M494" i="1"/>
  <c r="L494" i="1"/>
  <c r="M493" i="1"/>
  <c r="L493" i="1"/>
  <c r="M492" i="1"/>
  <c r="L492" i="1"/>
  <c r="M491" i="1"/>
  <c r="L491" i="1"/>
  <c r="M490" i="1"/>
  <c r="L490" i="1"/>
  <c r="M489" i="1"/>
  <c r="L489" i="1"/>
  <c r="M488" i="1"/>
  <c r="L488" i="1"/>
  <c r="M487" i="1"/>
  <c r="L487" i="1"/>
  <c r="M486" i="1"/>
  <c r="L486" i="1"/>
  <c r="M485" i="1"/>
  <c r="L485" i="1"/>
  <c r="M484" i="1"/>
  <c r="L484" i="1"/>
  <c r="M483" i="1"/>
  <c r="L483" i="1"/>
  <c r="M482" i="1"/>
  <c r="L482" i="1"/>
  <c r="M481" i="1"/>
  <c r="L481" i="1"/>
  <c r="M480" i="1"/>
  <c r="L480" i="1"/>
  <c r="M479" i="1"/>
  <c r="L479" i="1"/>
  <c r="M478" i="1"/>
  <c r="L478" i="1"/>
  <c r="M477" i="1"/>
  <c r="L477" i="1"/>
  <c r="M476" i="1"/>
  <c r="L476" i="1"/>
  <c r="M475" i="1"/>
  <c r="L475" i="1"/>
  <c r="M474" i="1"/>
  <c r="L474" i="1"/>
  <c r="M473" i="1"/>
  <c r="L473" i="1"/>
  <c r="M472" i="1"/>
  <c r="L472" i="1"/>
  <c r="M471" i="1"/>
  <c r="L471" i="1"/>
  <c r="M470" i="1"/>
  <c r="L470" i="1"/>
  <c r="M469" i="1"/>
  <c r="L469" i="1"/>
  <c r="M468" i="1"/>
  <c r="L468" i="1"/>
  <c r="M467" i="1"/>
  <c r="L467" i="1"/>
  <c r="M466" i="1"/>
  <c r="L466" i="1"/>
  <c r="M465" i="1"/>
  <c r="L465" i="1"/>
  <c r="M464" i="1"/>
  <c r="L464" i="1"/>
  <c r="M463" i="1"/>
  <c r="L463" i="1"/>
  <c r="M462" i="1"/>
  <c r="L462" i="1"/>
  <c r="M461" i="1"/>
  <c r="L461" i="1"/>
  <c r="M460" i="1"/>
  <c r="L460" i="1"/>
  <c r="M459" i="1"/>
  <c r="L459" i="1"/>
  <c r="M458" i="1"/>
  <c r="L458" i="1"/>
  <c r="M457" i="1"/>
  <c r="L457" i="1"/>
  <c r="M456" i="1"/>
  <c r="L456" i="1"/>
  <c r="M455" i="1"/>
  <c r="L455" i="1"/>
  <c r="M454" i="1"/>
  <c r="L454" i="1"/>
  <c r="M453" i="1"/>
  <c r="L453" i="1"/>
  <c r="M452" i="1"/>
  <c r="L452" i="1"/>
  <c r="M451" i="1"/>
  <c r="L451" i="1"/>
  <c r="M450" i="1"/>
  <c r="L450" i="1"/>
  <c r="M449" i="1"/>
  <c r="L449" i="1"/>
  <c r="M448" i="1"/>
  <c r="L448" i="1"/>
  <c r="M447" i="1"/>
  <c r="L447" i="1"/>
  <c r="M446" i="1"/>
  <c r="L446" i="1"/>
  <c r="M445" i="1"/>
  <c r="L445" i="1"/>
  <c r="M444" i="1"/>
  <c r="L444" i="1"/>
  <c r="M443" i="1"/>
  <c r="L443" i="1"/>
  <c r="M442" i="1"/>
  <c r="L442" i="1"/>
  <c r="M441" i="1"/>
  <c r="L441" i="1"/>
  <c r="M440" i="1"/>
  <c r="L440" i="1"/>
  <c r="M439" i="1"/>
  <c r="L439" i="1"/>
  <c r="M438" i="1"/>
  <c r="L438" i="1"/>
  <c r="M437" i="1"/>
  <c r="L437" i="1"/>
  <c r="M436" i="1"/>
  <c r="L436" i="1"/>
  <c r="M435" i="1"/>
  <c r="L435" i="1"/>
  <c r="M434" i="1"/>
  <c r="L434" i="1"/>
  <c r="M433" i="1"/>
  <c r="L433" i="1"/>
  <c r="M432" i="1"/>
  <c r="L432" i="1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M415" i="1"/>
  <c r="L415" i="1"/>
  <c r="M414" i="1"/>
  <c r="L414" i="1"/>
  <c r="M413" i="1"/>
  <c r="L413" i="1"/>
  <c r="M412" i="1"/>
  <c r="L412" i="1"/>
  <c r="M411" i="1"/>
  <c r="L411" i="1"/>
  <c r="M410" i="1"/>
  <c r="L410" i="1"/>
  <c r="M409" i="1"/>
  <c r="L409" i="1"/>
  <c r="M408" i="1"/>
  <c r="L408" i="1"/>
  <c r="M407" i="1"/>
  <c r="L407" i="1"/>
  <c r="M406" i="1"/>
  <c r="L406" i="1"/>
  <c r="M405" i="1"/>
  <c r="L405" i="1"/>
  <c r="M404" i="1"/>
  <c r="L404" i="1"/>
  <c r="M403" i="1"/>
  <c r="L403" i="1"/>
  <c r="M402" i="1"/>
  <c r="L402" i="1"/>
  <c r="M401" i="1"/>
  <c r="L401" i="1"/>
  <c r="M400" i="1"/>
  <c r="L400" i="1"/>
  <c r="M399" i="1"/>
  <c r="L399" i="1"/>
  <c r="M398" i="1"/>
  <c r="L398" i="1"/>
  <c r="M397" i="1"/>
  <c r="L397" i="1"/>
  <c r="M396" i="1"/>
  <c r="L396" i="1"/>
  <c r="M395" i="1"/>
  <c r="L395" i="1"/>
  <c r="M394" i="1"/>
  <c r="L394" i="1"/>
  <c r="M393" i="1"/>
  <c r="L393" i="1"/>
  <c r="M392" i="1"/>
  <c r="L392" i="1"/>
  <c r="M391" i="1"/>
  <c r="L391" i="1"/>
  <c r="M390" i="1"/>
  <c r="L390" i="1"/>
  <c r="M389" i="1"/>
  <c r="L389" i="1"/>
  <c r="M388" i="1"/>
  <c r="L388" i="1"/>
  <c r="M387" i="1"/>
  <c r="L387" i="1"/>
  <c r="M386" i="1"/>
  <c r="L386" i="1"/>
  <c r="M385" i="1"/>
  <c r="L385" i="1"/>
  <c r="M384" i="1"/>
  <c r="L384" i="1"/>
  <c r="M383" i="1"/>
  <c r="L383" i="1"/>
  <c r="M382" i="1"/>
  <c r="L382" i="1"/>
  <c r="M381" i="1"/>
  <c r="L381" i="1"/>
  <c r="M380" i="1"/>
  <c r="L380" i="1"/>
  <c r="M379" i="1"/>
  <c r="L379" i="1"/>
  <c r="M378" i="1"/>
  <c r="L378" i="1"/>
  <c r="M377" i="1"/>
  <c r="L377" i="1"/>
  <c r="M376" i="1"/>
  <c r="L376" i="1"/>
  <c r="M375" i="1"/>
  <c r="L375" i="1"/>
  <c r="M374" i="1"/>
  <c r="L374" i="1"/>
  <c r="M373" i="1"/>
  <c r="L373" i="1"/>
  <c r="M372" i="1"/>
  <c r="L372" i="1"/>
  <c r="M371" i="1"/>
  <c r="L371" i="1"/>
  <c r="M370" i="1"/>
  <c r="L370" i="1"/>
  <c r="M369" i="1"/>
  <c r="L369" i="1"/>
  <c r="M368" i="1"/>
  <c r="L368" i="1"/>
  <c r="M367" i="1"/>
  <c r="L367" i="1"/>
  <c r="M366" i="1"/>
  <c r="L366" i="1"/>
  <c r="M365" i="1"/>
  <c r="L365" i="1"/>
  <c r="M364" i="1"/>
  <c r="L364" i="1"/>
  <c r="M363" i="1"/>
  <c r="L363" i="1"/>
  <c r="M362" i="1"/>
  <c r="L362" i="1"/>
  <c r="M361" i="1"/>
  <c r="L361" i="1"/>
  <c r="M360" i="1"/>
  <c r="L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M337" i="1"/>
  <c r="L337" i="1"/>
  <c r="M336" i="1"/>
  <c r="L336" i="1"/>
  <c r="M335" i="1"/>
  <c r="L335" i="1"/>
  <c r="M334" i="1"/>
  <c r="L334" i="1"/>
  <c r="M333" i="1"/>
  <c r="L333" i="1"/>
  <c r="M332" i="1"/>
  <c r="L332" i="1"/>
  <c r="M331" i="1"/>
  <c r="L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M323" i="1"/>
  <c r="L323" i="1"/>
  <c r="M322" i="1"/>
  <c r="L322" i="1"/>
  <c r="M321" i="1"/>
  <c r="L321" i="1"/>
  <c r="M320" i="1"/>
  <c r="L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<sst xmlns="http://schemas.openxmlformats.org/spreadsheetml/2006/main" count="3383" uniqueCount="92">
  <si>
    <t>DAY</t>
  </si>
  <si>
    <t>QUEUE</t>
  </si>
  <si>
    <t>VENDOR_COMPANY</t>
  </si>
  <si>
    <t>SATISFIED</t>
  </si>
  <si>
    <t>DayOfWeek</t>
  </si>
  <si>
    <t>Condition</t>
  </si>
  <si>
    <t>Customer Queue</t>
  </si>
  <si>
    <t>Vendor A</t>
  </si>
  <si>
    <t>Vendor B</t>
  </si>
  <si>
    <t>Customer Queue - Vendor B</t>
  </si>
  <si>
    <t>Customer Queue - Vendor A</t>
  </si>
  <si>
    <t>No trailing spaces in column header names</t>
  </si>
  <si>
    <t>Change/Adjust column names to have no spaces for consistency</t>
  </si>
  <si>
    <t>No blanks or empty cells</t>
  </si>
  <si>
    <t>No merged cells</t>
  </si>
  <si>
    <t>Convert the data range to an Excel Table</t>
  </si>
  <si>
    <t>Steps</t>
  </si>
  <si>
    <t>Sl. No.</t>
  </si>
  <si>
    <t>Row Labels</t>
  </si>
  <si>
    <t>Grand Total</t>
  </si>
  <si>
    <t>% SLA Adherence</t>
  </si>
  <si>
    <t>% Satisfied</t>
  </si>
  <si>
    <t>Vendor</t>
  </si>
  <si>
    <t>CALLS_HANDLED</t>
  </si>
  <si>
    <t>CALLS_MISSED</t>
  </si>
  <si>
    <t>CALLS_WITHIN_SLA</t>
  </si>
  <si>
    <t>IS_OUTAGE?</t>
  </si>
  <si>
    <t>Missed_Calls</t>
  </si>
  <si>
    <t>Satisfied_Customers</t>
  </si>
  <si>
    <t>Within_SLA</t>
  </si>
  <si>
    <t>Total Calls</t>
  </si>
  <si>
    <t>Handled_Calls</t>
  </si>
  <si>
    <t>Monday</t>
  </si>
  <si>
    <t>Outage Day</t>
  </si>
  <si>
    <t>Tuesday</t>
  </si>
  <si>
    <t>Normal Day</t>
  </si>
  <si>
    <t>Wednesday</t>
  </si>
  <si>
    <t>Sunday</t>
  </si>
  <si>
    <t>Saturday</t>
  </si>
  <si>
    <t>Thursday</t>
  </si>
  <si>
    <t>Friday</t>
  </si>
  <si>
    <t>Sum of Handled_Calls</t>
  </si>
  <si>
    <t>% Handled_Calls</t>
  </si>
  <si>
    <t>Column Labels</t>
  </si>
  <si>
    <t>Sum of Missed_Calls2</t>
  </si>
  <si>
    <t>Handled Calls by Queue &amp; Vendor</t>
  </si>
  <si>
    <t>Missed Calls by Queue &amp; Vendor</t>
  </si>
  <si>
    <t>Total Handled</t>
  </si>
  <si>
    <t>% of Total Volume</t>
  </si>
  <si>
    <t>Day Condition</t>
  </si>
  <si>
    <t>Sum of Within_SLA2</t>
  </si>
  <si>
    <t>Day-of-Week Trend Analysis</t>
  </si>
  <si>
    <t>Calls Within SLA</t>
  </si>
  <si>
    <t>Outage Impact</t>
  </si>
  <si>
    <t>** % of Total Volume = [Total Handled on Outage Day] / [Grand Total Handled]
** If Outage Day = TRUE, the Day Condition = 'Outage Day" otherwise "Normal Day"</t>
  </si>
  <si>
    <t>SLA Adherence %</t>
  </si>
  <si>
    <t>Handled</t>
  </si>
  <si>
    <t>Missed</t>
  </si>
  <si>
    <t>Within SLA</t>
  </si>
  <si>
    <t>Weekly Satisfied</t>
  </si>
  <si>
    <t>Satisfaction %</t>
  </si>
  <si>
    <t>Vendor Summary</t>
  </si>
  <si>
    <t>% of Total Volume of handled calls</t>
  </si>
  <si>
    <t>% of Total Satisfied Customers</t>
  </si>
  <si>
    <t>** Total Calls = Handled Calls + Missed Calls
** % Handled_Calls = Vendor Call Handling Efficiency = Handled calls by each Vendor / (Handled calls by each Vendor + Missed calls by each Vendor)
** % SLA Adherence = Calls handled within SLA by each vedor / Handled Calls by each vendor
** % Satisfied = Calls satisfied by each vendor / Handled Calls by each vendor
** % of Total Volume of handled calls = Calls Handled by each Vendor / Grand total of all customer calls handled
** % of Total Satisfied Customers = % of satisfied calls out of the total calls satisfied</t>
  </si>
  <si>
    <t>Month</t>
  </si>
  <si>
    <t>Forecast(Sum of Handled_Calls)</t>
  </si>
  <si>
    <t>Lower Confidence Bound(Sum of Handled_Calls)</t>
  </si>
  <si>
    <t>Upper Confidence Bound(Sum of Handled_Calls)</t>
  </si>
  <si>
    <t>Apr-2025</t>
  </si>
  <si>
    <t>Feb-2025</t>
  </si>
  <si>
    <t>Jan-2025</t>
  </si>
  <si>
    <t>Jun-2025</t>
  </si>
  <si>
    <t>Mar-2025</t>
  </si>
  <si>
    <t>May-2025</t>
  </si>
  <si>
    <t>Sum of Forecast(Sum of Handled_Calls)</t>
  </si>
  <si>
    <t>Vendor A Volume</t>
  </si>
  <si>
    <t>Vendor B Volume</t>
  </si>
  <si>
    <t>Vendor A Cost</t>
  </si>
  <si>
    <t>Vendor B Cost</t>
  </si>
  <si>
    <t>Total Cost</t>
  </si>
  <si>
    <t>2025 Forecasted Metrics</t>
  </si>
  <si>
    <t>SL.No.</t>
  </si>
  <si>
    <t>Data Cleansing Steps</t>
  </si>
  <si>
    <t>CleanedData</t>
  </si>
  <si>
    <t>2024 Summary Metrics</t>
  </si>
  <si>
    <t>Charts 2024</t>
  </si>
  <si>
    <t>2025 Forecast</t>
  </si>
  <si>
    <t>2025 Forecasted Call Data</t>
  </si>
  <si>
    <t>Forecast Pivot</t>
  </si>
  <si>
    <t>Sheet Names</t>
  </si>
  <si>
    <t>Add additional columns -
i) Handled_Calls, Missed_Calls, Within_SLA: to store the no of calls in whole numbers
ii) DayOfWeek: to define the day of the week
iii) Condition: to store readable value for Outage
iv) Month: to store mmm-yyyy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</si>
</sst>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0"/>
      <name val="Arial"/>
      <family val="2"/>
    </font>
    <font>
      <b/>
      <sz val="10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65">
    <xf numFmtId="0" fontId="0" fillId="0" borderId="0" xfId="0"/>
    <xf numFmtId="1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0" fontId="5" fillId="0" borderId="3" xfId="0" applyNumberFormat="1" applyFont="1" applyBorder="1"/>
    <xf numFmtId="0" fontId="0" fillId="0" borderId="3" xfId="0" applyBorder="1"/>
    <xf numFmtId="14" fontId="4" fillId="0" borderId="4" xfId="0" applyNumberFormat="1" applyFont="1" applyBorder="1" applyAlignment="1">
      <alignment horizontal="left"/>
    </xf>
    <xf numFmtId="2" fontId="0" fillId="0" borderId="0" xfId="0" applyNumberFormat="1"/>
    <xf numFmtId="0" fontId="0" fillId="0" borderId="3" xfId="0" applyBorder="1" applyAlignment="1">
      <alignment vertic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0" xfId="0" pivotButton="1"/>
    <xf numFmtId="1" fontId="0" fillId="0" borderId="0" xfId="0" applyNumberFormat="1"/>
    <xf numFmtId="2" fontId="4" fillId="0" borderId="1" xfId="0" applyNumberFormat="1" applyFont="1" applyBorder="1" applyAlignment="1">
      <alignment horizontal="left"/>
    </xf>
    <xf numFmtId="2" fontId="4" fillId="0" borderId="2" xfId="0" applyNumberFormat="1" applyFont="1" applyBorder="1" applyAlignment="1">
      <alignment horizontal="left"/>
    </xf>
    <xf numFmtId="0" fontId="4" fillId="0" borderId="3" xfId="0" applyFont="1" applyBorder="1" applyAlignment="1">
      <alignment horizontal="left"/>
    </xf>
    <xf numFmtId="1" fontId="4" fillId="0" borderId="3" xfId="0" applyNumberFormat="1" applyFont="1" applyBorder="1" applyAlignment="1">
      <alignment horizontal="left"/>
    </xf>
    <xf numFmtId="0" fontId="0" fillId="0" borderId="3" xfId="0" applyBorder="1" applyAlignment="1">
      <alignment vertical="center" wrapText="1"/>
    </xf>
    <xf numFmtId="14" fontId="0" fillId="0" borderId="0" xfId="0" applyNumberFormat="1"/>
    <xf numFmtId="0" fontId="2" fillId="5" borderId="6" xfId="0" applyFont="1" applyFill="1" applyBorder="1"/>
    <xf numFmtId="0" fontId="2" fillId="5" borderId="7" xfId="0" applyFont="1" applyFill="1" applyBorder="1"/>
    <xf numFmtId="0" fontId="0" fillId="3" borderId="6" xfId="0" applyFill="1" applyBorder="1"/>
    <xf numFmtId="0" fontId="0" fillId="0" borderId="6" xfId="0" applyBorder="1"/>
    <xf numFmtId="0" fontId="7" fillId="4" borderId="4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8" fillId="4" borderId="3" xfId="0" applyFont="1" applyFill="1" applyBorder="1" applyAlignment="1">
      <alignment horizontal="left"/>
    </xf>
    <xf numFmtId="0" fontId="9" fillId="2" borderId="3" xfId="0" applyFont="1" applyFill="1" applyBorder="1"/>
    <xf numFmtId="0" fontId="9" fillId="2" borderId="5" xfId="0" applyFont="1" applyFill="1" applyBorder="1"/>
    <xf numFmtId="0" fontId="10" fillId="0" borderId="0" xfId="0" applyFont="1"/>
    <xf numFmtId="164" fontId="0" fillId="0" borderId="0" xfId="1" applyNumberFormat="1" applyFont="1" applyAlignment="1">
      <alignment vertical="center"/>
    </xf>
    <xf numFmtId="164" fontId="0" fillId="0" borderId="3" xfId="1" applyNumberFormat="1" applyFont="1" applyBorder="1" applyAlignment="1">
      <alignment vertical="center"/>
    </xf>
    <xf numFmtId="164" fontId="0" fillId="7" borderId="3" xfId="1" applyNumberFormat="1" applyFont="1" applyFill="1" applyBorder="1" applyAlignment="1">
      <alignment vertical="center"/>
    </xf>
    <xf numFmtId="3" fontId="0" fillId="0" borderId="3" xfId="0" applyNumberFormat="1" applyBorder="1" applyAlignment="1">
      <alignment vertical="center"/>
    </xf>
    <xf numFmtId="3" fontId="0" fillId="0" borderId="0" xfId="0" applyNumberFormat="1" applyAlignment="1">
      <alignment vertical="center"/>
    </xf>
    <xf numFmtId="3" fontId="0" fillId="0" borderId="0" xfId="0" pivotButton="1" applyNumberFormat="1" applyAlignment="1">
      <alignment vertical="center"/>
    </xf>
    <xf numFmtId="3" fontId="3" fillId="6" borderId="3" xfId="0" applyNumberFormat="1" applyFont="1" applyFill="1" applyBorder="1" applyAlignment="1">
      <alignment vertical="center"/>
    </xf>
    <xf numFmtId="3" fontId="3" fillId="2" borderId="3" xfId="0" applyNumberFormat="1" applyFont="1" applyFill="1" applyBorder="1" applyAlignment="1">
      <alignment vertical="center"/>
    </xf>
    <xf numFmtId="3" fontId="3" fillId="2" borderId="3" xfId="0" applyNumberFormat="1" applyFont="1" applyFill="1" applyBorder="1" applyAlignment="1">
      <alignment vertical="center" wrapText="1"/>
    </xf>
    <xf numFmtId="3" fontId="0" fillId="0" borderId="0" xfId="0" applyNumberFormat="1" applyAlignment="1">
      <alignment horizontal="left" vertical="center"/>
    </xf>
    <xf numFmtId="3" fontId="0" fillId="7" borderId="3" xfId="0" applyNumberFormat="1" applyFill="1" applyBorder="1" applyAlignment="1">
      <alignment vertical="center"/>
    </xf>
    <xf numFmtId="3" fontId="12" fillId="0" borderId="0" xfId="0" applyNumberFormat="1" applyFont="1" applyAlignment="1">
      <alignment horizontal="left" vertical="center" wrapText="1"/>
    </xf>
    <xf numFmtId="164" fontId="3" fillId="2" borderId="3" xfId="1" applyNumberFormat="1" applyFont="1" applyFill="1" applyBorder="1" applyAlignment="1">
      <alignment vertical="center"/>
    </xf>
    <xf numFmtId="3" fontId="0" fillId="0" borderId="0" xfId="0" applyNumberFormat="1"/>
    <xf numFmtId="14" fontId="0" fillId="0" borderId="0" xfId="0" applyNumberFormat="1" applyAlignment="1">
      <alignment horizontal="left"/>
    </xf>
    <xf numFmtId="3" fontId="0" fillId="3" borderId="6" xfId="0" applyNumberFormat="1" applyFill="1" applyBorder="1"/>
    <xf numFmtId="3" fontId="0" fillId="3" borderId="7" xfId="0" applyNumberFormat="1" applyFill="1" applyBorder="1"/>
    <xf numFmtId="3" fontId="0" fillId="0" borderId="6" xfId="0" applyNumberFormat="1" applyBorder="1"/>
    <xf numFmtId="3" fontId="0" fillId="0" borderId="7" xfId="0" applyNumberFormat="1" applyBorder="1"/>
    <xf numFmtId="14" fontId="0" fillId="3" borderId="6" xfId="0" applyNumberFormat="1" applyFill="1" applyBorder="1"/>
    <xf numFmtId="14" fontId="0" fillId="0" borderId="6" xfId="0" applyNumberFormat="1" applyBorder="1"/>
    <xf numFmtId="3" fontId="0" fillId="0" borderId="0" xfId="0" applyNumberFormat="1" applyAlignment="1">
      <alignment horizontal="left"/>
    </xf>
    <xf numFmtId="3" fontId="3" fillId="6" borderId="8" xfId="0" applyNumberFormat="1" applyFont="1" applyFill="1" applyBorder="1" applyAlignment="1">
      <alignment vertical="center"/>
    </xf>
    <xf numFmtId="3" fontId="0" fillId="0" borderId="3" xfId="0" applyNumberFormat="1" applyBorder="1"/>
    <xf numFmtId="3" fontId="11" fillId="8" borderId="0" xfId="0" applyNumberFormat="1" applyFont="1" applyFill="1" applyAlignment="1">
      <alignment horizontal="center" vertical="center"/>
    </xf>
    <xf numFmtId="3" fontId="0" fillId="8" borderId="0" xfId="0" applyNumberFormat="1" applyFill="1"/>
    <xf numFmtId="3" fontId="0" fillId="0" borderId="3" xfId="0" pivotButton="1" applyNumberFormat="1" applyBorder="1"/>
    <xf numFmtId="0" fontId="0" fillId="9" borderId="3" xfId="0" applyFill="1" applyBorder="1"/>
    <xf numFmtId="0" fontId="0" fillId="0" borderId="3" xfId="0" applyBorder="1" applyAlignment="1">
      <alignment horizontal="center"/>
    </xf>
    <xf numFmtId="0" fontId="6" fillId="0" borderId="3" xfId="2" applyBorder="1"/>
    <xf numFmtId="3" fontId="11" fillId="2" borderId="3" xfId="0" applyNumberFormat="1" applyFont="1" applyFill="1" applyBorder="1" applyAlignment="1">
      <alignment horizontal="center" vertical="center"/>
    </xf>
    <xf numFmtId="3" fontId="12" fillId="0" borderId="0" xfId="0" applyNumberFormat="1" applyFont="1" applyAlignment="1">
      <alignment horizontal="left" vertical="center" wrapText="1"/>
    </xf>
    <xf numFmtId="3" fontId="12" fillId="0" borderId="0" xfId="0" applyNumberFormat="1" applyFont="1" applyAlignment="1">
      <alignment horizontal="left" vertical="center"/>
    </xf>
    <xf numFmtId="3" fontId="12" fillId="0" borderId="3" xfId="0" applyNumberFormat="1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vertical="center"/>
    </xf>
  </cellXfs>
  <cellStyles count="3">
    <cellStyle name="Hyperlink" xfId="2" builtinId="8"/>
    <cellStyle name="Normal" xfId="0" builtinId="0"/>
    <cellStyle name="Percent" xfId="1" builtinId="5"/>
  </cellStyles>
  <dxfs count="1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m/d/yyyy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color auto="1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SLA Adherence by Vendor (2024)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'2024 Summary Metrics'!$G$4:$G$5</c:f>
              <c:strCache>
                <c:ptCount val="2"/>
                <c:pt idx="0">
                  <c:v>Vendor A</c:v>
                </c:pt>
                <c:pt idx="1">
                  <c:v>Vendor B</c:v>
                </c:pt>
              </c:strCache>
            </c:strRef>
          </c:cat>
          <c:val>
            <c:numRef>
              <c:f>'2024 Summary Metrics'!$O$4:$O$5</c:f>
              <c:numCache>
                <c:formatCode>0.0%</c:formatCode>
                <c:ptCount val="2"/>
                <c:pt idx="0">
                  <c:v>0.93877543533196173</c:v>
                </c:pt>
                <c:pt idx="1">
                  <c:v>0.86925579927443319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5-4BAB-9B90-82A5828FB7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0605839"/>
        <c:axId val="1220615919"/>
      </c:barChart>
      <c:catAx>
        <c:axId val="122060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615919"/>
        <c:crosses val="autoZero"/>
        <c:auto val="1"/>
        <c:lblAlgn val="ctr"/>
        <c:lblOffset val="100"/>
        <c:noMultiLvlLbl val="0"/>
      </c:catAx>
      <c:valAx>
        <c:axId val="1220615919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22060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Satisfaction Rate by Vendor (2024)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'2024 Summary Metrics'!$G$4:$G$5</c:f>
              <c:strCache>
                <c:ptCount val="2"/>
                <c:pt idx="0">
                  <c:v>Vendor A</c:v>
                </c:pt>
                <c:pt idx="1">
                  <c:v>Vendor B</c:v>
                </c:pt>
              </c:strCache>
            </c:strRef>
          </c:cat>
          <c:val>
            <c:numRef>
              <c:f>'2024 Summary Metrics'!$N$4:$N$5</c:f>
              <c:numCache>
                <c:formatCode>0.0%</c:formatCode>
                <c:ptCount val="2"/>
                <c:pt idx="0">
                  <c:v>0.37339346143573698</c:v>
                </c:pt>
                <c:pt idx="1">
                  <c:v>0.39495738362652161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E-4AE5-905F-AA4AFCF85C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0626959"/>
        <c:axId val="1220629359"/>
      </c:barChart>
      <c:catAx>
        <c:axId val="12206269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629359"/>
        <c:crosses val="autoZero"/>
        <c:auto val="1"/>
        <c:lblAlgn val="ctr"/>
        <c:lblOffset val="100"/>
        <c:noMultiLvlLbl val="0"/>
      </c:catAx>
      <c:valAx>
        <c:axId val="1220629359"/>
        <c:scaling>
          <c:orientation val="minMax"/>
        </c:scaling>
        <c:delete val="1"/>
        <c:axPos val="l"/>
        <c:numFmt formatCode="0.0%" sourceLinked="1"/>
        <c:majorTickMark val="out"/>
        <c:minorTickMark val="none"/>
        <c:tickLblPos val="nextTo"/>
        <c:crossAx val="1220626959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SLA Adherence on Outage vs Normal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'2024 Summary Metrics'!$G$31:$G$32</c:f>
              <c:strCache>
                <c:ptCount val="2"/>
                <c:pt idx="0">
                  <c:v>Normal Day</c:v>
                </c:pt>
                <c:pt idx="1">
                  <c:v>Outage Day</c:v>
                </c:pt>
              </c:strCache>
            </c:strRef>
          </c:cat>
          <c:val>
            <c:numRef>
              <c:f>'2024 Summary Metrics'!$J$31:$J$32</c:f>
              <c:numCache>
                <c:formatCode>0.0%</c:formatCode>
                <c:ptCount val="2"/>
                <c:pt idx="0">
                  <c:v>0.91041529001200494</c:v>
                </c:pt>
                <c:pt idx="1">
                  <c:v>0.90796684831135532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9-4DBE-8593-81F5797056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0637999"/>
        <c:axId val="1220661039"/>
      </c:barChart>
      <c:catAx>
        <c:axId val="12206379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661039"/>
        <c:crosses val="autoZero"/>
        <c:auto val="1"/>
        <c:lblAlgn val="ctr"/>
        <c:lblOffset val="100"/>
        <c:noMultiLvlLbl val="0"/>
      </c:catAx>
      <c:valAx>
        <c:axId val="1220661039"/>
        <c:scaling>
          <c:orientation val="minMax"/>
        </c:scaling>
        <c:delete val="1"/>
        <c:axPos val="l"/>
        <c:numFmt formatCode="0.0%" sourceLinked="1"/>
        <c:majorTickMark val="out"/>
        <c:minorTickMark val="none"/>
        <c:tickLblPos val="nextTo"/>
        <c:crossAx val="122063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Call Volume by Day of Week (2024)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'2024 Summary Metrics'!$G$40:$G$46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'2024 Summary Metrics'!$H$40:$H$46</c:f>
              <c:numCache>
                <c:formatCode>#,##0</c:formatCode>
                <c:ptCount val="7"/>
                <c:pt idx="0">
                  <c:v>705452</c:v>
                </c:pt>
                <c:pt idx="1">
                  <c:v>662450</c:v>
                </c:pt>
                <c:pt idx="2">
                  <c:v>606395</c:v>
                </c:pt>
                <c:pt idx="3">
                  <c:v>616272</c:v>
                </c:pt>
                <c:pt idx="4">
                  <c:v>653986</c:v>
                </c:pt>
                <c:pt idx="5">
                  <c:v>698706</c:v>
                </c:pt>
                <c:pt idx="6">
                  <c:v>702629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B-44F0-8531-831C542DD7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0625999"/>
        <c:axId val="1220627439"/>
      </c:barChart>
      <c:catAx>
        <c:axId val="122062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627439"/>
        <c:crosses val="autoZero"/>
        <c:auto val="1"/>
        <c:lblAlgn val="ctr"/>
        <c:lblOffset val="100"/>
        <c:noMultiLvlLbl val="0"/>
      </c:catAx>
      <c:valAx>
        <c:axId val="1220627439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22062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Share of Total Handled Calls by Vendor (2024)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05-4560-923A-01F6FEE168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05-4560-923A-01F6FEE1681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BD02D61-167F-43D5-9AC2-91F761D8D90F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405-4560-923A-01F6FEE1681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405-4560-923A-01F6FEE168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'2024 Summary Metrics'!$G$4:$G$5</c:f>
              <c:strCache>
                <c:ptCount val="2"/>
                <c:pt idx="0">
                  <c:v>Vendor A</c:v>
                </c:pt>
                <c:pt idx="1">
                  <c:v>Vendor B</c:v>
                </c:pt>
              </c:strCache>
            </c:strRef>
          </c:cat>
          <c:val>
            <c:numRef>
              <c:f>'2024 Summary Metrics'!$P$4:$P$5</c:f>
              <c:numCache>
                <c:formatCode>0.0%</c:formatCode>
                <c:ptCount val="2"/>
                <c:pt idx="0">
                  <c:v>0.58669835058514086</c:v>
                </c:pt>
                <c:pt idx="1">
                  <c:v>0.41330164941485914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05-4560-923A-01F6FEE1681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SLA</a:t>
            </a:r>
            <a:r>
              <a:rPr lang="en-US" baseline="0"/>
              <a:t> Adherence 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'2024 Summary Metrics'!$G$40:$G$46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'2024 Summary Metrics'!$L$40:$L$46</c:f>
              <c:numCache>
                <c:formatCode>0.0%</c:formatCode>
                <c:ptCount val="7"/>
                <c:pt idx="0">
                  <c:v>0.91117042690360228</c:v>
                </c:pt>
                <c:pt idx="1">
                  <c:v>0.91049890557777946</c:v>
                </c:pt>
                <c:pt idx="2">
                  <c:v>0.910365355914874</c:v>
                </c:pt>
                <c:pt idx="3">
                  <c:v>0.90333975906742481</c:v>
                </c:pt>
                <c:pt idx="4">
                  <c:v>0.91300119574425143</c:v>
                </c:pt>
                <c:pt idx="5">
                  <c:v>0.90715551319152832</c:v>
                </c:pt>
                <c:pt idx="6">
                  <c:v>0.91419938545092783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A-41AE-9AC1-EE185B2FD0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968911"/>
        <c:axId val="1789956911"/>
      </c:barChart>
      <c:catAx>
        <c:axId val="17899689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956911"/>
        <c:crosses val="autoZero"/>
        <c:auto val="1"/>
        <c:lblAlgn val="ctr"/>
        <c:lblOffset val="100"/>
        <c:noMultiLvlLbl val="0"/>
      </c:catAx>
      <c:valAx>
        <c:axId val="1789956911"/>
        <c:scaling>
          <c:orientation val="minMax"/>
        </c:scaling>
        <c:delete val="1"/>
        <c:axPos val="l"/>
        <c:numFmt formatCode="0.0%" sourceLinked="1"/>
        <c:majorTickMark val="out"/>
        <c:minorTickMark val="none"/>
        <c:tickLblPos val="nextTo"/>
        <c:crossAx val="1789968911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'2025 Forecast'!$B$1</c:f>
              <c:strCache>
                <c:ptCount val="1"/>
                <c:pt idx="0">
                  <c:v>Sum of Handled_Calls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'2025 Forecast'!$B$2:$B$548</c:f>
              <c:numCache>
                <c:formatCode>#,##0</c:formatCode>
                <c:ptCount val="547"/>
                <c:pt idx="0">
                  <c:v>20136</c:v>
                </c:pt>
                <c:pt idx="1">
                  <c:v>15329</c:v>
                </c:pt>
                <c:pt idx="2">
                  <c:v>15820</c:v>
                </c:pt>
                <c:pt idx="3">
                  <c:v>16531</c:v>
                </c:pt>
                <c:pt idx="4">
                  <c:v>16624</c:v>
                </c:pt>
                <c:pt idx="5">
                  <c:v>18738</c:v>
                </c:pt>
                <c:pt idx="6">
                  <c:v>17245</c:v>
                </c:pt>
                <c:pt idx="7">
                  <c:v>14780</c:v>
                </c:pt>
                <c:pt idx="8">
                  <c:v>12844</c:v>
                </c:pt>
                <c:pt idx="9">
                  <c:v>13278</c:v>
                </c:pt>
                <c:pt idx="10">
                  <c:v>15659</c:v>
                </c:pt>
                <c:pt idx="11">
                  <c:v>16362</c:v>
                </c:pt>
                <c:pt idx="12">
                  <c:v>18430</c:v>
                </c:pt>
                <c:pt idx="13">
                  <c:v>17657</c:v>
                </c:pt>
                <c:pt idx="14">
                  <c:v>16325</c:v>
                </c:pt>
                <c:pt idx="15">
                  <c:v>15025</c:v>
                </c:pt>
                <c:pt idx="16">
                  <c:v>15982</c:v>
                </c:pt>
                <c:pt idx="17">
                  <c:v>16312</c:v>
                </c:pt>
                <c:pt idx="18">
                  <c:v>16713</c:v>
                </c:pt>
                <c:pt idx="19">
                  <c:v>18457</c:v>
                </c:pt>
                <c:pt idx="20">
                  <c:v>15916</c:v>
                </c:pt>
                <c:pt idx="21">
                  <c:v>13783</c:v>
                </c:pt>
                <c:pt idx="22">
                  <c:v>14095</c:v>
                </c:pt>
                <c:pt idx="23">
                  <c:v>15582</c:v>
                </c:pt>
                <c:pt idx="24">
                  <c:v>16417</c:v>
                </c:pt>
                <c:pt idx="25">
                  <c:v>18812</c:v>
                </c:pt>
                <c:pt idx="26">
                  <c:v>18622</c:v>
                </c:pt>
                <c:pt idx="27">
                  <c:v>17893</c:v>
                </c:pt>
                <c:pt idx="28">
                  <c:v>15986</c:v>
                </c:pt>
                <c:pt idx="29">
                  <c:v>16386</c:v>
                </c:pt>
                <c:pt idx="30">
                  <c:v>18030</c:v>
                </c:pt>
                <c:pt idx="31">
                  <c:v>20282</c:v>
                </c:pt>
                <c:pt idx="32">
                  <c:v>21414</c:v>
                </c:pt>
                <c:pt idx="33">
                  <c:v>10068</c:v>
                </c:pt>
                <c:pt idx="34">
                  <c:v>9513</c:v>
                </c:pt>
                <c:pt idx="35">
                  <c:v>12399</c:v>
                </c:pt>
                <c:pt idx="36">
                  <c:v>12024</c:v>
                </c:pt>
                <c:pt idx="37">
                  <c:v>12433</c:v>
                </c:pt>
                <c:pt idx="38">
                  <c:v>12810</c:v>
                </c:pt>
                <c:pt idx="39">
                  <c:v>13027</c:v>
                </c:pt>
                <c:pt idx="40">
                  <c:v>15956</c:v>
                </c:pt>
                <c:pt idx="41">
                  <c:v>18376</c:v>
                </c:pt>
                <c:pt idx="42">
                  <c:v>15690</c:v>
                </c:pt>
                <c:pt idx="43">
                  <c:v>16133</c:v>
                </c:pt>
                <c:pt idx="44">
                  <c:v>24899</c:v>
                </c:pt>
                <c:pt idx="45">
                  <c:v>20621</c:v>
                </c:pt>
                <c:pt idx="46">
                  <c:v>22597</c:v>
                </c:pt>
                <c:pt idx="47">
                  <c:v>21590</c:v>
                </c:pt>
                <c:pt idx="48">
                  <c:v>18501</c:v>
                </c:pt>
                <c:pt idx="49">
                  <c:v>18335</c:v>
                </c:pt>
                <c:pt idx="50">
                  <c:v>14867</c:v>
                </c:pt>
                <c:pt idx="51">
                  <c:v>18593</c:v>
                </c:pt>
                <c:pt idx="52">
                  <c:v>19295</c:v>
                </c:pt>
                <c:pt idx="53">
                  <c:v>22591</c:v>
                </c:pt>
                <c:pt idx="54">
                  <c:v>17542</c:v>
                </c:pt>
                <c:pt idx="55">
                  <c:v>16499</c:v>
                </c:pt>
                <c:pt idx="56">
                  <c:v>18844</c:v>
                </c:pt>
                <c:pt idx="57">
                  <c:v>14771</c:v>
                </c:pt>
                <c:pt idx="58">
                  <c:v>15712</c:v>
                </c:pt>
                <c:pt idx="59">
                  <c:v>18229</c:v>
                </c:pt>
                <c:pt idx="60">
                  <c:v>18637</c:v>
                </c:pt>
                <c:pt idx="61">
                  <c:v>18471</c:v>
                </c:pt>
                <c:pt idx="62">
                  <c:v>17875</c:v>
                </c:pt>
                <c:pt idx="63">
                  <c:v>17819</c:v>
                </c:pt>
                <c:pt idx="64">
                  <c:v>16940</c:v>
                </c:pt>
                <c:pt idx="65">
                  <c:v>15235</c:v>
                </c:pt>
                <c:pt idx="66">
                  <c:v>17196</c:v>
                </c:pt>
                <c:pt idx="67">
                  <c:v>16030</c:v>
                </c:pt>
                <c:pt idx="68">
                  <c:v>18078</c:v>
                </c:pt>
                <c:pt idx="69">
                  <c:v>18033</c:v>
                </c:pt>
                <c:pt idx="70">
                  <c:v>19387</c:v>
                </c:pt>
                <c:pt idx="71">
                  <c:v>13060</c:v>
                </c:pt>
                <c:pt idx="72">
                  <c:v>12636</c:v>
                </c:pt>
                <c:pt idx="73">
                  <c:v>13948</c:v>
                </c:pt>
                <c:pt idx="74">
                  <c:v>13004</c:v>
                </c:pt>
                <c:pt idx="75">
                  <c:v>13412</c:v>
                </c:pt>
                <c:pt idx="76">
                  <c:v>14826</c:v>
                </c:pt>
                <c:pt idx="77">
                  <c:v>15718</c:v>
                </c:pt>
                <c:pt idx="78">
                  <c:v>9688</c:v>
                </c:pt>
                <c:pt idx="79">
                  <c:v>8824</c:v>
                </c:pt>
                <c:pt idx="80">
                  <c:v>8941</c:v>
                </c:pt>
                <c:pt idx="81">
                  <c:v>11563</c:v>
                </c:pt>
                <c:pt idx="82">
                  <c:v>10395</c:v>
                </c:pt>
                <c:pt idx="83">
                  <c:v>9693</c:v>
                </c:pt>
                <c:pt idx="84">
                  <c:v>8101</c:v>
                </c:pt>
                <c:pt idx="85">
                  <c:v>7219</c:v>
                </c:pt>
                <c:pt idx="86">
                  <c:v>7609</c:v>
                </c:pt>
                <c:pt idx="87">
                  <c:v>8084</c:v>
                </c:pt>
                <c:pt idx="88">
                  <c:v>9683</c:v>
                </c:pt>
                <c:pt idx="89">
                  <c:v>10608</c:v>
                </c:pt>
                <c:pt idx="90">
                  <c:v>10573</c:v>
                </c:pt>
                <c:pt idx="91">
                  <c:v>8898</c:v>
                </c:pt>
                <c:pt idx="92">
                  <c:v>9010</c:v>
                </c:pt>
                <c:pt idx="93">
                  <c:v>9113</c:v>
                </c:pt>
                <c:pt idx="94">
                  <c:v>9474</c:v>
                </c:pt>
                <c:pt idx="95">
                  <c:v>10165</c:v>
                </c:pt>
                <c:pt idx="96">
                  <c:v>8818</c:v>
                </c:pt>
                <c:pt idx="97">
                  <c:v>9486</c:v>
                </c:pt>
                <c:pt idx="98">
                  <c:v>8276</c:v>
                </c:pt>
                <c:pt idx="99">
                  <c:v>7244</c:v>
                </c:pt>
                <c:pt idx="100">
                  <c:v>8289</c:v>
                </c:pt>
                <c:pt idx="101">
                  <c:v>8018</c:v>
                </c:pt>
                <c:pt idx="102">
                  <c:v>7837</c:v>
                </c:pt>
                <c:pt idx="103">
                  <c:v>8133</c:v>
                </c:pt>
                <c:pt idx="104">
                  <c:v>7765</c:v>
                </c:pt>
                <c:pt idx="105">
                  <c:v>8648</c:v>
                </c:pt>
                <c:pt idx="106">
                  <c:v>8783</c:v>
                </c:pt>
                <c:pt idx="107">
                  <c:v>8957</c:v>
                </c:pt>
                <c:pt idx="108">
                  <c:v>7662</c:v>
                </c:pt>
                <c:pt idx="109">
                  <c:v>7932</c:v>
                </c:pt>
                <c:pt idx="110">
                  <c:v>9613</c:v>
                </c:pt>
                <c:pt idx="111">
                  <c:v>9114</c:v>
                </c:pt>
                <c:pt idx="112">
                  <c:v>8920</c:v>
                </c:pt>
                <c:pt idx="113">
                  <c:v>7953</c:v>
                </c:pt>
                <c:pt idx="114">
                  <c:v>8356</c:v>
                </c:pt>
                <c:pt idx="115">
                  <c:v>9290</c:v>
                </c:pt>
                <c:pt idx="116">
                  <c:v>14154</c:v>
                </c:pt>
                <c:pt idx="117">
                  <c:v>15155</c:v>
                </c:pt>
                <c:pt idx="118">
                  <c:v>12348</c:v>
                </c:pt>
                <c:pt idx="119">
                  <c:v>9595</c:v>
                </c:pt>
                <c:pt idx="120">
                  <c:v>8285</c:v>
                </c:pt>
                <c:pt idx="121">
                  <c:v>8827</c:v>
                </c:pt>
                <c:pt idx="122">
                  <c:v>11536</c:v>
                </c:pt>
                <c:pt idx="123">
                  <c:v>12438</c:v>
                </c:pt>
                <c:pt idx="124">
                  <c:v>12580</c:v>
                </c:pt>
                <c:pt idx="125">
                  <c:v>16607</c:v>
                </c:pt>
                <c:pt idx="126">
                  <c:v>14116</c:v>
                </c:pt>
                <c:pt idx="127">
                  <c:v>9695</c:v>
                </c:pt>
                <c:pt idx="128">
                  <c:v>8865</c:v>
                </c:pt>
                <c:pt idx="129">
                  <c:v>11377</c:v>
                </c:pt>
                <c:pt idx="130">
                  <c:v>12672</c:v>
                </c:pt>
                <c:pt idx="131">
                  <c:v>10873</c:v>
                </c:pt>
                <c:pt idx="132">
                  <c:v>13601</c:v>
                </c:pt>
                <c:pt idx="133">
                  <c:v>10545</c:v>
                </c:pt>
                <c:pt idx="134">
                  <c:v>8967</c:v>
                </c:pt>
                <c:pt idx="135">
                  <c:v>7862</c:v>
                </c:pt>
                <c:pt idx="136">
                  <c:v>9137</c:v>
                </c:pt>
                <c:pt idx="137">
                  <c:v>11676</c:v>
                </c:pt>
                <c:pt idx="138">
                  <c:v>9346</c:v>
                </c:pt>
                <c:pt idx="139">
                  <c:v>9395</c:v>
                </c:pt>
                <c:pt idx="140">
                  <c:v>8968</c:v>
                </c:pt>
                <c:pt idx="141">
                  <c:v>7246</c:v>
                </c:pt>
                <c:pt idx="142">
                  <c:v>6171</c:v>
                </c:pt>
                <c:pt idx="143">
                  <c:v>8449</c:v>
                </c:pt>
                <c:pt idx="144">
                  <c:v>10175</c:v>
                </c:pt>
                <c:pt idx="145">
                  <c:v>10561</c:v>
                </c:pt>
                <c:pt idx="146">
                  <c:v>8719</c:v>
                </c:pt>
                <c:pt idx="147">
                  <c:v>10574</c:v>
                </c:pt>
                <c:pt idx="148">
                  <c:v>8785</c:v>
                </c:pt>
                <c:pt idx="149">
                  <c:v>7599</c:v>
                </c:pt>
                <c:pt idx="150">
                  <c:v>8408</c:v>
                </c:pt>
                <c:pt idx="151">
                  <c:v>8311</c:v>
                </c:pt>
                <c:pt idx="152">
                  <c:v>9567</c:v>
                </c:pt>
                <c:pt idx="153">
                  <c:v>12442</c:v>
                </c:pt>
                <c:pt idx="154">
                  <c:v>11811</c:v>
                </c:pt>
                <c:pt idx="155">
                  <c:v>11242</c:v>
                </c:pt>
                <c:pt idx="156">
                  <c:v>11757</c:v>
                </c:pt>
                <c:pt idx="157">
                  <c:v>11991</c:v>
                </c:pt>
                <c:pt idx="158">
                  <c:v>9871</c:v>
                </c:pt>
                <c:pt idx="159">
                  <c:v>6703</c:v>
                </c:pt>
                <c:pt idx="160">
                  <c:v>9777</c:v>
                </c:pt>
                <c:pt idx="161">
                  <c:v>11349</c:v>
                </c:pt>
                <c:pt idx="162">
                  <c:v>9980</c:v>
                </c:pt>
                <c:pt idx="163">
                  <c:v>9674</c:v>
                </c:pt>
                <c:pt idx="164">
                  <c:v>9643</c:v>
                </c:pt>
                <c:pt idx="165">
                  <c:v>7958</c:v>
                </c:pt>
                <c:pt idx="166">
                  <c:v>7296</c:v>
                </c:pt>
                <c:pt idx="167">
                  <c:v>6005</c:v>
                </c:pt>
                <c:pt idx="168">
                  <c:v>6778</c:v>
                </c:pt>
                <c:pt idx="169">
                  <c:v>9435</c:v>
                </c:pt>
                <c:pt idx="170">
                  <c:v>8811</c:v>
                </c:pt>
                <c:pt idx="171">
                  <c:v>9154</c:v>
                </c:pt>
                <c:pt idx="172">
                  <c:v>10565</c:v>
                </c:pt>
                <c:pt idx="173">
                  <c:v>10810</c:v>
                </c:pt>
                <c:pt idx="174">
                  <c:v>10660</c:v>
                </c:pt>
                <c:pt idx="175">
                  <c:v>8680</c:v>
                </c:pt>
                <c:pt idx="176">
                  <c:v>8739</c:v>
                </c:pt>
                <c:pt idx="177">
                  <c:v>9641</c:v>
                </c:pt>
                <c:pt idx="178">
                  <c:v>11438</c:v>
                </c:pt>
                <c:pt idx="179">
                  <c:v>11215</c:v>
                </c:pt>
                <c:pt idx="180">
                  <c:v>13369</c:v>
                </c:pt>
                <c:pt idx="181">
                  <c:v>13478</c:v>
                </c:pt>
                <c:pt idx="182">
                  <c:v>12781</c:v>
                </c:pt>
                <c:pt idx="183">
                  <c:v>11853</c:v>
                </c:pt>
                <c:pt idx="184">
                  <c:v>9903</c:v>
                </c:pt>
                <c:pt idx="185">
                  <c:v>10611</c:v>
                </c:pt>
                <c:pt idx="186">
                  <c:v>10119</c:v>
                </c:pt>
                <c:pt idx="187">
                  <c:v>9559</c:v>
                </c:pt>
                <c:pt idx="188">
                  <c:v>10540</c:v>
                </c:pt>
                <c:pt idx="189">
                  <c:v>10805</c:v>
                </c:pt>
                <c:pt idx="190">
                  <c:v>8998</c:v>
                </c:pt>
                <c:pt idx="191">
                  <c:v>10432</c:v>
                </c:pt>
                <c:pt idx="192">
                  <c:v>9793</c:v>
                </c:pt>
                <c:pt idx="193">
                  <c:v>11013</c:v>
                </c:pt>
                <c:pt idx="194">
                  <c:v>16238</c:v>
                </c:pt>
                <c:pt idx="195">
                  <c:v>15450</c:v>
                </c:pt>
                <c:pt idx="196">
                  <c:v>13245</c:v>
                </c:pt>
                <c:pt idx="197">
                  <c:v>13017</c:v>
                </c:pt>
                <c:pt idx="198">
                  <c:v>11132</c:v>
                </c:pt>
                <c:pt idx="199">
                  <c:v>11824</c:v>
                </c:pt>
                <c:pt idx="200">
                  <c:v>13318</c:v>
                </c:pt>
                <c:pt idx="201">
                  <c:v>13962</c:v>
                </c:pt>
                <c:pt idx="202">
                  <c:v>12616</c:v>
                </c:pt>
                <c:pt idx="203">
                  <c:v>11109</c:v>
                </c:pt>
                <c:pt idx="204">
                  <c:v>11777</c:v>
                </c:pt>
                <c:pt idx="205">
                  <c:v>10892</c:v>
                </c:pt>
                <c:pt idx="206">
                  <c:v>12051</c:v>
                </c:pt>
                <c:pt idx="207">
                  <c:v>12033</c:v>
                </c:pt>
                <c:pt idx="208">
                  <c:v>13168</c:v>
                </c:pt>
                <c:pt idx="209">
                  <c:v>15092</c:v>
                </c:pt>
                <c:pt idx="210">
                  <c:v>14266</c:v>
                </c:pt>
                <c:pt idx="211">
                  <c:v>12978</c:v>
                </c:pt>
                <c:pt idx="212">
                  <c:v>12456</c:v>
                </c:pt>
                <c:pt idx="213">
                  <c:v>11869</c:v>
                </c:pt>
                <c:pt idx="214">
                  <c:v>13749</c:v>
                </c:pt>
                <c:pt idx="215">
                  <c:v>13145</c:v>
                </c:pt>
                <c:pt idx="216">
                  <c:v>14171</c:v>
                </c:pt>
                <c:pt idx="217">
                  <c:v>14471</c:v>
                </c:pt>
                <c:pt idx="218">
                  <c:v>10966</c:v>
                </c:pt>
                <c:pt idx="219">
                  <c:v>13072</c:v>
                </c:pt>
                <c:pt idx="220">
                  <c:v>12034</c:v>
                </c:pt>
                <c:pt idx="221">
                  <c:v>13456</c:v>
                </c:pt>
                <c:pt idx="222">
                  <c:v>12965</c:v>
                </c:pt>
                <c:pt idx="223">
                  <c:v>14137</c:v>
                </c:pt>
                <c:pt idx="224">
                  <c:v>12616</c:v>
                </c:pt>
                <c:pt idx="225">
                  <c:v>11030</c:v>
                </c:pt>
                <c:pt idx="226">
                  <c:v>11243</c:v>
                </c:pt>
                <c:pt idx="227">
                  <c:v>11720</c:v>
                </c:pt>
                <c:pt idx="228">
                  <c:v>11573</c:v>
                </c:pt>
                <c:pt idx="229">
                  <c:v>12695</c:v>
                </c:pt>
                <c:pt idx="230">
                  <c:v>13101</c:v>
                </c:pt>
                <c:pt idx="231">
                  <c:v>10120</c:v>
                </c:pt>
                <c:pt idx="232">
                  <c:v>9925</c:v>
                </c:pt>
                <c:pt idx="233">
                  <c:v>11631</c:v>
                </c:pt>
                <c:pt idx="234">
                  <c:v>11828</c:v>
                </c:pt>
                <c:pt idx="235">
                  <c:v>13074</c:v>
                </c:pt>
                <c:pt idx="236">
                  <c:v>14131</c:v>
                </c:pt>
                <c:pt idx="237">
                  <c:v>13627</c:v>
                </c:pt>
                <c:pt idx="238">
                  <c:v>12211</c:v>
                </c:pt>
                <c:pt idx="239">
                  <c:v>11872</c:v>
                </c:pt>
                <c:pt idx="240">
                  <c:v>12875</c:v>
                </c:pt>
                <c:pt idx="241">
                  <c:v>13491</c:v>
                </c:pt>
                <c:pt idx="242">
                  <c:v>16100</c:v>
                </c:pt>
                <c:pt idx="243">
                  <c:v>13103</c:v>
                </c:pt>
                <c:pt idx="244">
                  <c:v>12956</c:v>
                </c:pt>
                <c:pt idx="245">
                  <c:v>14409</c:v>
                </c:pt>
                <c:pt idx="246">
                  <c:v>14400</c:v>
                </c:pt>
                <c:pt idx="247">
                  <c:v>14825</c:v>
                </c:pt>
                <c:pt idx="248">
                  <c:v>17555</c:v>
                </c:pt>
                <c:pt idx="249">
                  <c:v>14871</c:v>
                </c:pt>
                <c:pt idx="250">
                  <c:v>14563</c:v>
                </c:pt>
                <c:pt idx="251">
                  <c:v>14318</c:v>
                </c:pt>
                <c:pt idx="252">
                  <c:v>10200</c:v>
                </c:pt>
                <c:pt idx="253">
                  <c:v>10075</c:v>
                </c:pt>
                <c:pt idx="254">
                  <c:v>11096</c:v>
                </c:pt>
                <c:pt idx="255">
                  <c:v>10735</c:v>
                </c:pt>
                <c:pt idx="256">
                  <c:v>13410</c:v>
                </c:pt>
                <c:pt idx="257">
                  <c:v>11689</c:v>
                </c:pt>
                <c:pt idx="258">
                  <c:v>11743</c:v>
                </c:pt>
                <c:pt idx="259">
                  <c:v>11111</c:v>
                </c:pt>
                <c:pt idx="260">
                  <c:v>10746</c:v>
                </c:pt>
                <c:pt idx="261">
                  <c:v>10503</c:v>
                </c:pt>
                <c:pt idx="262">
                  <c:v>9668</c:v>
                </c:pt>
                <c:pt idx="263">
                  <c:v>11342</c:v>
                </c:pt>
                <c:pt idx="264">
                  <c:v>11452</c:v>
                </c:pt>
                <c:pt idx="265">
                  <c:v>11374</c:v>
                </c:pt>
                <c:pt idx="266">
                  <c:v>10580</c:v>
                </c:pt>
                <c:pt idx="267">
                  <c:v>11150</c:v>
                </c:pt>
                <c:pt idx="268">
                  <c:v>12375</c:v>
                </c:pt>
                <c:pt idx="269">
                  <c:v>12573</c:v>
                </c:pt>
                <c:pt idx="270">
                  <c:v>12638</c:v>
                </c:pt>
                <c:pt idx="271">
                  <c:v>14496</c:v>
                </c:pt>
                <c:pt idx="272">
                  <c:v>15175</c:v>
                </c:pt>
                <c:pt idx="273">
                  <c:v>13000</c:v>
                </c:pt>
                <c:pt idx="274">
                  <c:v>12945</c:v>
                </c:pt>
                <c:pt idx="275">
                  <c:v>11861</c:v>
                </c:pt>
                <c:pt idx="276">
                  <c:v>11887</c:v>
                </c:pt>
                <c:pt idx="277">
                  <c:v>12957</c:v>
                </c:pt>
                <c:pt idx="278">
                  <c:v>13305</c:v>
                </c:pt>
                <c:pt idx="279">
                  <c:v>13408</c:v>
                </c:pt>
                <c:pt idx="280">
                  <c:v>12362</c:v>
                </c:pt>
                <c:pt idx="281">
                  <c:v>10681</c:v>
                </c:pt>
                <c:pt idx="282">
                  <c:v>11454</c:v>
                </c:pt>
                <c:pt idx="283">
                  <c:v>10692</c:v>
                </c:pt>
                <c:pt idx="284">
                  <c:v>12898</c:v>
                </c:pt>
                <c:pt idx="285">
                  <c:v>12040</c:v>
                </c:pt>
                <c:pt idx="286">
                  <c:v>13503</c:v>
                </c:pt>
                <c:pt idx="287">
                  <c:v>12574</c:v>
                </c:pt>
                <c:pt idx="288">
                  <c:v>10488</c:v>
                </c:pt>
                <c:pt idx="289">
                  <c:v>10123</c:v>
                </c:pt>
                <c:pt idx="290">
                  <c:v>11912</c:v>
                </c:pt>
                <c:pt idx="291">
                  <c:v>12680</c:v>
                </c:pt>
                <c:pt idx="292">
                  <c:v>13020</c:v>
                </c:pt>
                <c:pt idx="293">
                  <c:v>14055</c:v>
                </c:pt>
                <c:pt idx="294">
                  <c:v>11200</c:v>
                </c:pt>
                <c:pt idx="295">
                  <c:v>11458</c:v>
                </c:pt>
                <c:pt idx="296">
                  <c:v>10356</c:v>
                </c:pt>
                <c:pt idx="297">
                  <c:v>9064</c:v>
                </c:pt>
                <c:pt idx="298">
                  <c:v>10778</c:v>
                </c:pt>
                <c:pt idx="299">
                  <c:v>12953</c:v>
                </c:pt>
                <c:pt idx="300">
                  <c:v>16157</c:v>
                </c:pt>
                <c:pt idx="301">
                  <c:v>9958</c:v>
                </c:pt>
                <c:pt idx="302">
                  <c:v>10985</c:v>
                </c:pt>
                <c:pt idx="303">
                  <c:v>12331</c:v>
                </c:pt>
                <c:pt idx="304">
                  <c:v>15404</c:v>
                </c:pt>
                <c:pt idx="305">
                  <c:v>19812</c:v>
                </c:pt>
                <c:pt idx="306">
                  <c:v>15386</c:v>
                </c:pt>
                <c:pt idx="307">
                  <c:v>16554</c:v>
                </c:pt>
                <c:pt idx="308">
                  <c:v>12481</c:v>
                </c:pt>
                <c:pt idx="309">
                  <c:v>11731</c:v>
                </c:pt>
                <c:pt idx="310">
                  <c:v>12671</c:v>
                </c:pt>
                <c:pt idx="311">
                  <c:v>15703</c:v>
                </c:pt>
                <c:pt idx="312">
                  <c:v>16958</c:v>
                </c:pt>
                <c:pt idx="313">
                  <c:v>15511</c:v>
                </c:pt>
                <c:pt idx="314">
                  <c:v>12697</c:v>
                </c:pt>
                <c:pt idx="315">
                  <c:v>13342</c:v>
                </c:pt>
                <c:pt idx="316">
                  <c:v>11928</c:v>
                </c:pt>
                <c:pt idx="317">
                  <c:v>10728</c:v>
                </c:pt>
                <c:pt idx="318">
                  <c:v>12497</c:v>
                </c:pt>
                <c:pt idx="319">
                  <c:v>12509</c:v>
                </c:pt>
                <c:pt idx="320">
                  <c:v>18265</c:v>
                </c:pt>
                <c:pt idx="321">
                  <c:v>14741</c:v>
                </c:pt>
                <c:pt idx="322">
                  <c:v>13073</c:v>
                </c:pt>
                <c:pt idx="323">
                  <c:v>12139</c:v>
                </c:pt>
                <c:pt idx="324">
                  <c:v>12102</c:v>
                </c:pt>
                <c:pt idx="325">
                  <c:v>14994</c:v>
                </c:pt>
                <c:pt idx="326">
                  <c:v>16436</c:v>
                </c:pt>
                <c:pt idx="327">
                  <c:v>18228</c:v>
                </c:pt>
                <c:pt idx="328">
                  <c:v>15112</c:v>
                </c:pt>
                <c:pt idx="329">
                  <c:v>13370</c:v>
                </c:pt>
                <c:pt idx="330">
                  <c:v>13580</c:v>
                </c:pt>
                <c:pt idx="331">
                  <c:v>13649</c:v>
                </c:pt>
                <c:pt idx="332">
                  <c:v>13204</c:v>
                </c:pt>
                <c:pt idx="333">
                  <c:v>9159</c:v>
                </c:pt>
                <c:pt idx="334">
                  <c:v>12062</c:v>
                </c:pt>
                <c:pt idx="335">
                  <c:v>15405</c:v>
                </c:pt>
                <c:pt idx="336">
                  <c:v>16501</c:v>
                </c:pt>
                <c:pt idx="337">
                  <c:v>13151</c:v>
                </c:pt>
                <c:pt idx="338">
                  <c:v>14848</c:v>
                </c:pt>
                <c:pt idx="339">
                  <c:v>16045</c:v>
                </c:pt>
                <c:pt idx="340">
                  <c:v>15570</c:v>
                </c:pt>
                <c:pt idx="341">
                  <c:v>16918</c:v>
                </c:pt>
                <c:pt idx="342">
                  <c:v>15718</c:v>
                </c:pt>
                <c:pt idx="343">
                  <c:v>12035</c:v>
                </c:pt>
                <c:pt idx="344">
                  <c:v>11205</c:v>
                </c:pt>
                <c:pt idx="345">
                  <c:v>11359</c:v>
                </c:pt>
                <c:pt idx="346">
                  <c:v>12668</c:v>
                </c:pt>
                <c:pt idx="347">
                  <c:v>14116</c:v>
                </c:pt>
                <c:pt idx="348">
                  <c:v>15697</c:v>
                </c:pt>
                <c:pt idx="349">
                  <c:v>15323</c:v>
                </c:pt>
                <c:pt idx="350">
                  <c:v>12037</c:v>
                </c:pt>
                <c:pt idx="351">
                  <c:v>7979</c:v>
                </c:pt>
                <c:pt idx="352">
                  <c:v>9653</c:v>
                </c:pt>
                <c:pt idx="353">
                  <c:v>10755</c:v>
                </c:pt>
                <c:pt idx="354">
                  <c:v>12369</c:v>
                </c:pt>
                <c:pt idx="355">
                  <c:v>12988</c:v>
                </c:pt>
                <c:pt idx="356">
                  <c:v>14232</c:v>
                </c:pt>
                <c:pt idx="357">
                  <c:v>5133</c:v>
                </c:pt>
                <c:pt idx="358">
                  <c:v>11812</c:v>
                </c:pt>
                <c:pt idx="359">
                  <c:v>14147</c:v>
                </c:pt>
                <c:pt idx="360">
                  <c:v>13507</c:v>
                </c:pt>
                <c:pt idx="361">
                  <c:v>13742</c:v>
                </c:pt>
                <c:pt idx="362">
                  <c:v>11899</c:v>
                </c:pt>
                <c:pt idx="363">
                  <c:v>12250</c:v>
                </c:pt>
                <c:pt idx="364">
                  <c:v>12999</c:v>
                </c:pt>
                <c:pt idx="365">
                  <c:v>13781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75-430B-83E2-B6470A34F8A5}"/>
            </c:ext>
          </c:extLst>
        </c:ser>
        <c:ser>
          <c:idx val="1"/>
          <c:order val="1"/>
          <c:tx>
            <c:strRef>
              <c:f>'2025 Forecast'!$C$1</c:f>
              <c:strCache>
                <c:ptCount val="1"/>
                <c:pt idx="0">
                  <c:v>Forecast(Sum of Handled_Calls)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'2025 Forecast'!$A$2:$A$548</c:f>
              <c:numCache>
                <c:formatCode>m/d/yyyy</c:formatCode>
                <c:ptCount val="547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45445</c:v>
                </c:pt>
                <c:pt idx="154">
                  <c:v>45446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45451</c:v>
                </c:pt>
                <c:pt idx="160">
                  <c:v>45452</c:v>
                </c:pt>
                <c:pt idx="161">
                  <c:v>45453</c:v>
                </c:pt>
                <c:pt idx="162">
                  <c:v>45454</c:v>
                </c:pt>
                <c:pt idx="163">
                  <c:v>45455</c:v>
                </c:pt>
                <c:pt idx="164">
                  <c:v>45456</c:v>
                </c:pt>
                <c:pt idx="165">
                  <c:v>45457</c:v>
                </c:pt>
                <c:pt idx="166">
                  <c:v>45458</c:v>
                </c:pt>
                <c:pt idx="167">
                  <c:v>45459</c:v>
                </c:pt>
                <c:pt idx="168">
                  <c:v>45460</c:v>
                </c:pt>
                <c:pt idx="169">
                  <c:v>45461</c:v>
                </c:pt>
                <c:pt idx="170">
                  <c:v>45462</c:v>
                </c:pt>
                <c:pt idx="171">
                  <c:v>45463</c:v>
                </c:pt>
                <c:pt idx="172">
                  <c:v>45464</c:v>
                </c:pt>
                <c:pt idx="173">
                  <c:v>45465</c:v>
                </c:pt>
                <c:pt idx="174">
                  <c:v>45466</c:v>
                </c:pt>
                <c:pt idx="175">
                  <c:v>45467</c:v>
                </c:pt>
                <c:pt idx="176">
                  <c:v>45468</c:v>
                </c:pt>
                <c:pt idx="177">
                  <c:v>45469</c:v>
                </c:pt>
                <c:pt idx="178">
                  <c:v>45470</c:v>
                </c:pt>
                <c:pt idx="179">
                  <c:v>45471</c:v>
                </c:pt>
                <c:pt idx="180">
                  <c:v>45472</c:v>
                </c:pt>
                <c:pt idx="181">
                  <c:v>45473</c:v>
                </c:pt>
                <c:pt idx="182">
                  <c:v>45474</c:v>
                </c:pt>
                <c:pt idx="183">
                  <c:v>45475</c:v>
                </c:pt>
                <c:pt idx="184">
                  <c:v>45476</c:v>
                </c:pt>
                <c:pt idx="185">
                  <c:v>45477</c:v>
                </c:pt>
                <c:pt idx="186">
                  <c:v>45478</c:v>
                </c:pt>
                <c:pt idx="187">
                  <c:v>45479</c:v>
                </c:pt>
                <c:pt idx="188">
                  <c:v>45480</c:v>
                </c:pt>
                <c:pt idx="189">
                  <c:v>45481</c:v>
                </c:pt>
                <c:pt idx="190">
                  <c:v>45482</c:v>
                </c:pt>
                <c:pt idx="191">
                  <c:v>45483</c:v>
                </c:pt>
                <c:pt idx="192">
                  <c:v>45484</c:v>
                </c:pt>
                <c:pt idx="193">
                  <c:v>45485</c:v>
                </c:pt>
                <c:pt idx="194">
                  <c:v>45486</c:v>
                </c:pt>
                <c:pt idx="195">
                  <c:v>45487</c:v>
                </c:pt>
                <c:pt idx="196">
                  <c:v>45488</c:v>
                </c:pt>
                <c:pt idx="197">
                  <c:v>45489</c:v>
                </c:pt>
                <c:pt idx="198">
                  <c:v>45490</c:v>
                </c:pt>
                <c:pt idx="199">
                  <c:v>45491</c:v>
                </c:pt>
                <c:pt idx="200">
                  <c:v>45492</c:v>
                </c:pt>
                <c:pt idx="201">
                  <c:v>45493</c:v>
                </c:pt>
                <c:pt idx="202">
                  <c:v>45494</c:v>
                </c:pt>
                <c:pt idx="203">
                  <c:v>45495</c:v>
                </c:pt>
                <c:pt idx="204">
                  <c:v>45496</c:v>
                </c:pt>
                <c:pt idx="205">
                  <c:v>45497</c:v>
                </c:pt>
                <c:pt idx="206">
                  <c:v>45498</c:v>
                </c:pt>
                <c:pt idx="207">
                  <c:v>45499</c:v>
                </c:pt>
                <c:pt idx="208">
                  <c:v>45500</c:v>
                </c:pt>
                <c:pt idx="209">
                  <c:v>45501</c:v>
                </c:pt>
                <c:pt idx="210">
                  <c:v>45502</c:v>
                </c:pt>
                <c:pt idx="211">
                  <c:v>45503</c:v>
                </c:pt>
                <c:pt idx="212">
                  <c:v>45504</c:v>
                </c:pt>
                <c:pt idx="213">
                  <c:v>45505</c:v>
                </c:pt>
                <c:pt idx="214">
                  <c:v>45506</c:v>
                </c:pt>
                <c:pt idx="215">
                  <c:v>45507</c:v>
                </c:pt>
                <c:pt idx="216">
                  <c:v>45508</c:v>
                </c:pt>
                <c:pt idx="217">
                  <c:v>45509</c:v>
                </c:pt>
                <c:pt idx="218">
                  <c:v>45510</c:v>
                </c:pt>
                <c:pt idx="219">
                  <c:v>45511</c:v>
                </c:pt>
                <c:pt idx="220">
                  <c:v>45512</c:v>
                </c:pt>
                <c:pt idx="221">
                  <c:v>45513</c:v>
                </c:pt>
                <c:pt idx="222">
                  <c:v>45514</c:v>
                </c:pt>
                <c:pt idx="223">
                  <c:v>45515</c:v>
                </c:pt>
                <c:pt idx="224">
                  <c:v>45516</c:v>
                </c:pt>
                <c:pt idx="225">
                  <c:v>45517</c:v>
                </c:pt>
                <c:pt idx="226">
                  <c:v>45518</c:v>
                </c:pt>
                <c:pt idx="227">
                  <c:v>45519</c:v>
                </c:pt>
                <c:pt idx="228">
                  <c:v>45520</c:v>
                </c:pt>
                <c:pt idx="229">
                  <c:v>45521</c:v>
                </c:pt>
                <c:pt idx="230">
                  <c:v>45522</c:v>
                </c:pt>
                <c:pt idx="231">
                  <c:v>45523</c:v>
                </c:pt>
                <c:pt idx="232">
                  <c:v>45524</c:v>
                </c:pt>
                <c:pt idx="233">
                  <c:v>45525</c:v>
                </c:pt>
                <c:pt idx="234">
                  <c:v>45526</c:v>
                </c:pt>
                <c:pt idx="235">
                  <c:v>45527</c:v>
                </c:pt>
                <c:pt idx="236">
                  <c:v>45528</c:v>
                </c:pt>
                <c:pt idx="237">
                  <c:v>45529</c:v>
                </c:pt>
                <c:pt idx="238">
                  <c:v>45530</c:v>
                </c:pt>
                <c:pt idx="239">
                  <c:v>45531</c:v>
                </c:pt>
                <c:pt idx="240">
                  <c:v>45532</c:v>
                </c:pt>
                <c:pt idx="241">
                  <c:v>45533</c:v>
                </c:pt>
                <c:pt idx="242">
                  <c:v>45534</c:v>
                </c:pt>
                <c:pt idx="243">
                  <c:v>45535</c:v>
                </c:pt>
                <c:pt idx="244">
                  <c:v>45536</c:v>
                </c:pt>
                <c:pt idx="245">
                  <c:v>45537</c:v>
                </c:pt>
                <c:pt idx="246">
                  <c:v>45538</c:v>
                </c:pt>
                <c:pt idx="247">
                  <c:v>45539</c:v>
                </c:pt>
                <c:pt idx="248">
                  <c:v>45540</c:v>
                </c:pt>
                <c:pt idx="249">
                  <c:v>45541</c:v>
                </c:pt>
                <c:pt idx="250">
                  <c:v>45542</c:v>
                </c:pt>
                <c:pt idx="251">
                  <c:v>45543</c:v>
                </c:pt>
                <c:pt idx="252">
                  <c:v>45544</c:v>
                </c:pt>
                <c:pt idx="253">
                  <c:v>45545</c:v>
                </c:pt>
                <c:pt idx="254">
                  <c:v>45546</c:v>
                </c:pt>
                <c:pt idx="255">
                  <c:v>45547</c:v>
                </c:pt>
                <c:pt idx="256">
                  <c:v>45548</c:v>
                </c:pt>
                <c:pt idx="257">
                  <c:v>45549</c:v>
                </c:pt>
                <c:pt idx="258">
                  <c:v>45550</c:v>
                </c:pt>
                <c:pt idx="259">
                  <c:v>45551</c:v>
                </c:pt>
                <c:pt idx="260">
                  <c:v>45552</c:v>
                </c:pt>
                <c:pt idx="261">
                  <c:v>45553</c:v>
                </c:pt>
                <c:pt idx="262">
                  <c:v>45554</c:v>
                </c:pt>
                <c:pt idx="263">
                  <c:v>45555</c:v>
                </c:pt>
                <c:pt idx="264">
                  <c:v>45556</c:v>
                </c:pt>
                <c:pt idx="265">
                  <c:v>45557</c:v>
                </c:pt>
                <c:pt idx="266">
                  <c:v>45558</c:v>
                </c:pt>
                <c:pt idx="267">
                  <c:v>45559</c:v>
                </c:pt>
                <c:pt idx="268">
                  <c:v>45560</c:v>
                </c:pt>
                <c:pt idx="269">
                  <c:v>45561</c:v>
                </c:pt>
                <c:pt idx="270">
                  <c:v>45562</c:v>
                </c:pt>
                <c:pt idx="271">
                  <c:v>45563</c:v>
                </c:pt>
                <c:pt idx="272">
                  <c:v>45564</c:v>
                </c:pt>
                <c:pt idx="273">
                  <c:v>45565</c:v>
                </c:pt>
                <c:pt idx="274">
                  <c:v>45566</c:v>
                </c:pt>
                <c:pt idx="275">
                  <c:v>45567</c:v>
                </c:pt>
                <c:pt idx="276">
                  <c:v>45568</c:v>
                </c:pt>
                <c:pt idx="277">
                  <c:v>45569</c:v>
                </c:pt>
                <c:pt idx="278">
                  <c:v>45570</c:v>
                </c:pt>
                <c:pt idx="279">
                  <c:v>45571</c:v>
                </c:pt>
                <c:pt idx="280">
                  <c:v>45572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45576</c:v>
                </c:pt>
                <c:pt idx="285">
                  <c:v>45577</c:v>
                </c:pt>
                <c:pt idx="286">
                  <c:v>45578</c:v>
                </c:pt>
                <c:pt idx="287">
                  <c:v>45579</c:v>
                </c:pt>
                <c:pt idx="288">
                  <c:v>45580</c:v>
                </c:pt>
                <c:pt idx="289">
                  <c:v>45581</c:v>
                </c:pt>
                <c:pt idx="290">
                  <c:v>45582</c:v>
                </c:pt>
                <c:pt idx="291">
                  <c:v>45583</c:v>
                </c:pt>
                <c:pt idx="292">
                  <c:v>45584</c:v>
                </c:pt>
                <c:pt idx="293">
                  <c:v>45585</c:v>
                </c:pt>
                <c:pt idx="294">
                  <c:v>45586</c:v>
                </c:pt>
                <c:pt idx="295">
                  <c:v>45587</c:v>
                </c:pt>
                <c:pt idx="296">
                  <c:v>45588</c:v>
                </c:pt>
                <c:pt idx="297">
                  <c:v>45589</c:v>
                </c:pt>
                <c:pt idx="298">
                  <c:v>45590</c:v>
                </c:pt>
                <c:pt idx="299">
                  <c:v>45591</c:v>
                </c:pt>
                <c:pt idx="300">
                  <c:v>45592</c:v>
                </c:pt>
                <c:pt idx="301">
                  <c:v>45593</c:v>
                </c:pt>
                <c:pt idx="302">
                  <c:v>45594</c:v>
                </c:pt>
                <c:pt idx="303">
                  <c:v>45595</c:v>
                </c:pt>
                <c:pt idx="304">
                  <c:v>45596</c:v>
                </c:pt>
                <c:pt idx="305">
                  <c:v>45597</c:v>
                </c:pt>
                <c:pt idx="306">
                  <c:v>45598</c:v>
                </c:pt>
                <c:pt idx="307">
                  <c:v>45599</c:v>
                </c:pt>
                <c:pt idx="308">
                  <c:v>45600</c:v>
                </c:pt>
                <c:pt idx="309">
                  <c:v>45601</c:v>
                </c:pt>
                <c:pt idx="310">
                  <c:v>45602</c:v>
                </c:pt>
                <c:pt idx="311">
                  <c:v>45603</c:v>
                </c:pt>
                <c:pt idx="312">
                  <c:v>45604</c:v>
                </c:pt>
                <c:pt idx="313">
                  <c:v>45605</c:v>
                </c:pt>
                <c:pt idx="314">
                  <c:v>45606</c:v>
                </c:pt>
                <c:pt idx="315">
                  <c:v>45607</c:v>
                </c:pt>
                <c:pt idx="316">
                  <c:v>45608</c:v>
                </c:pt>
                <c:pt idx="317">
                  <c:v>45609</c:v>
                </c:pt>
                <c:pt idx="318">
                  <c:v>45610</c:v>
                </c:pt>
                <c:pt idx="319">
                  <c:v>45611</c:v>
                </c:pt>
                <c:pt idx="320">
                  <c:v>45612</c:v>
                </c:pt>
                <c:pt idx="321">
                  <c:v>45613</c:v>
                </c:pt>
                <c:pt idx="322">
                  <c:v>45614</c:v>
                </c:pt>
                <c:pt idx="323">
                  <c:v>45615</c:v>
                </c:pt>
                <c:pt idx="324">
                  <c:v>45616</c:v>
                </c:pt>
                <c:pt idx="325">
                  <c:v>45617</c:v>
                </c:pt>
                <c:pt idx="326">
                  <c:v>45618</c:v>
                </c:pt>
                <c:pt idx="327">
                  <c:v>45619</c:v>
                </c:pt>
                <c:pt idx="328">
                  <c:v>45620</c:v>
                </c:pt>
                <c:pt idx="329">
                  <c:v>45621</c:v>
                </c:pt>
                <c:pt idx="330">
                  <c:v>45622</c:v>
                </c:pt>
                <c:pt idx="331">
                  <c:v>45623</c:v>
                </c:pt>
                <c:pt idx="332">
                  <c:v>45624</c:v>
                </c:pt>
                <c:pt idx="333">
                  <c:v>45625</c:v>
                </c:pt>
                <c:pt idx="334">
                  <c:v>45626</c:v>
                </c:pt>
                <c:pt idx="335">
                  <c:v>45627</c:v>
                </c:pt>
                <c:pt idx="336">
                  <c:v>45628</c:v>
                </c:pt>
                <c:pt idx="337">
                  <c:v>45629</c:v>
                </c:pt>
                <c:pt idx="338">
                  <c:v>45630</c:v>
                </c:pt>
                <c:pt idx="339">
                  <c:v>45631</c:v>
                </c:pt>
                <c:pt idx="340">
                  <c:v>45632</c:v>
                </c:pt>
                <c:pt idx="341">
                  <c:v>45633</c:v>
                </c:pt>
                <c:pt idx="342">
                  <c:v>45634</c:v>
                </c:pt>
                <c:pt idx="343">
                  <c:v>45635</c:v>
                </c:pt>
                <c:pt idx="344">
                  <c:v>45636</c:v>
                </c:pt>
                <c:pt idx="345">
                  <c:v>45637</c:v>
                </c:pt>
                <c:pt idx="346">
                  <c:v>45638</c:v>
                </c:pt>
                <c:pt idx="347">
                  <c:v>45639</c:v>
                </c:pt>
                <c:pt idx="348">
                  <c:v>45640</c:v>
                </c:pt>
                <c:pt idx="349">
                  <c:v>45641</c:v>
                </c:pt>
                <c:pt idx="350">
                  <c:v>45642</c:v>
                </c:pt>
                <c:pt idx="351">
                  <c:v>45643</c:v>
                </c:pt>
                <c:pt idx="352">
                  <c:v>45644</c:v>
                </c:pt>
                <c:pt idx="353">
                  <c:v>45645</c:v>
                </c:pt>
                <c:pt idx="354">
                  <c:v>45646</c:v>
                </c:pt>
                <c:pt idx="355">
                  <c:v>45647</c:v>
                </c:pt>
                <c:pt idx="356">
                  <c:v>45648</c:v>
                </c:pt>
                <c:pt idx="357">
                  <c:v>45649</c:v>
                </c:pt>
                <c:pt idx="358">
                  <c:v>45650</c:v>
                </c:pt>
                <c:pt idx="359">
                  <c:v>45651</c:v>
                </c:pt>
                <c:pt idx="360">
                  <c:v>45652</c:v>
                </c:pt>
                <c:pt idx="361">
                  <c:v>45653</c:v>
                </c:pt>
                <c:pt idx="362">
                  <c:v>45654</c:v>
                </c:pt>
                <c:pt idx="363">
                  <c:v>45655</c:v>
                </c:pt>
                <c:pt idx="364">
                  <c:v>45656</c:v>
                </c:pt>
                <c:pt idx="365">
                  <c:v>45657</c:v>
                </c:pt>
                <c:pt idx="366">
                  <c:v>45658</c:v>
                </c:pt>
                <c:pt idx="367">
                  <c:v>45659</c:v>
                </c:pt>
                <c:pt idx="368">
                  <c:v>45660</c:v>
                </c:pt>
                <c:pt idx="369">
                  <c:v>45661</c:v>
                </c:pt>
                <c:pt idx="370">
                  <c:v>45662</c:v>
                </c:pt>
                <c:pt idx="371">
                  <c:v>45663</c:v>
                </c:pt>
                <c:pt idx="372">
                  <c:v>45664</c:v>
                </c:pt>
                <c:pt idx="373">
                  <c:v>45665</c:v>
                </c:pt>
                <c:pt idx="374">
                  <c:v>45666</c:v>
                </c:pt>
                <c:pt idx="375">
                  <c:v>45667</c:v>
                </c:pt>
                <c:pt idx="376">
                  <c:v>45668</c:v>
                </c:pt>
                <c:pt idx="377">
                  <c:v>45669</c:v>
                </c:pt>
                <c:pt idx="378">
                  <c:v>45670</c:v>
                </c:pt>
                <c:pt idx="379">
                  <c:v>45671</c:v>
                </c:pt>
                <c:pt idx="380">
                  <c:v>45672</c:v>
                </c:pt>
                <c:pt idx="381">
                  <c:v>45673</c:v>
                </c:pt>
                <c:pt idx="382">
                  <c:v>45674</c:v>
                </c:pt>
                <c:pt idx="383">
                  <c:v>45675</c:v>
                </c:pt>
                <c:pt idx="384">
                  <c:v>45676</c:v>
                </c:pt>
                <c:pt idx="385">
                  <c:v>45677</c:v>
                </c:pt>
                <c:pt idx="386">
                  <c:v>45678</c:v>
                </c:pt>
                <c:pt idx="387">
                  <c:v>45679</c:v>
                </c:pt>
                <c:pt idx="388">
                  <c:v>45680</c:v>
                </c:pt>
                <c:pt idx="389">
                  <c:v>45681</c:v>
                </c:pt>
                <c:pt idx="390">
                  <c:v>45682</c:v>
                </c:pt>
                <c:pt idx="391">
                  <c:v>45683</c:v>
                </c:pt>
                <c:pt idx="392">
                  <c:v>45684</c:v>
                </c:pt>
                <c:pt idx="393">
                  <c:v>45685</c:v>
                </c:pt>
                <c:pt idx="394">
                  <c:v>45686</c:v>
                </c:pt>
                <c:pt idx="395">
                  <c:v>45687</c:v>
                </c:pt>
                <c:pt idx="396">
                  <c:v>45688</c:v>
                </c:pt>
                <c:pt idx="397">
                  <c:v>45689</c:v>
                </c:pt>
                <c:pt idx="398">
                  <c:v>45690</c:v>
                </c:pt>
                <c:pt idx="399">
                  <c:v>45691</c:v>
                </c:pt>
                <c:pt idx="400">
                  <c:v>45692</c:v>
                </c:pt>
                <c:pt idx="401">
                  <c:v>45693</c:v>
                </c:pt>
                <c:pt idx="402">
                  <c:v>45694</c:v>
                </c:pt>
                <c:pt idx="403">
                  <c:v>45695</c:v>
                </c:pt>
                <c:pt idx="404">
                  <c:v>45696</c:v>
                </c:pt>
                <c:pt idx="405">
                  <c:v>45697</c:v>
                </c:pt>
                <c:pt idx="406">
                  <c:v>45698</c:v>
                </c:pt>
                <c:pt idx="407">
                  <c:v>45699</c:v>
                </c:pt>
                <c:pt idx="408">
                  <c:v>45700</c:v>
                </c:pt>
                <c:pt idx="409">
                  <c:v>45701</c:v>
                </c:pt>
                <c:pt idx="410">
                  <c:v>45702</c:v>
                </c:pt>
                <c:pt idx="411">
                  <c:v>45703</c:v>
                </c:pt>
                <c:pt idx="412">
                  <c:v>45704</c:v>
                </c:pt>
                <c:pt idx="413">
                  <c:v>45705</c:v>
                </c:pt>
                <c:pt idx="414">
                  <c:v>45706</c:v>
                </c:pt>
                <c:pt idx="415">
                  <c:v>45707</c:v>
                </c:pt>
                <c:pt idx="416">
                  <c:v>45708</c:v>
                </c:pt>
                <c:pt idx="417">
                  <c:v>45709</c:v>
                </c:pt>
                <c:pt idx="418">
                  <c:v>45710</c:v>
                </c:pt>
                <c:pt idx="419">
                  <c:v>45711</c:v>
                </c:pt>
                <c:pt idx="420">
                  <c:v>45712</c:v>
                </c:pt>
                <c:pt idx="421">
                  <c:v>45713</c:v>
                </c:pt>
                <c:pt idx="422">
                  <c:v>45714</c:v>
                </c:pt>
                <c:pt idx="423">
                  <c:v>45715</c:v>
                </c:pt>
                <c:pt idx="424">
                  <c:v>45716</c:v>
                </c:pt>
                <c:pt idx="425">
                  <c:v>45717</c:v>
                </c:pt>
                <c:pt idx="426">
                  <c:v>45718</c:v>
                </c:pt>
                <c:pt idx="427">
                  <c:v>45719</c:v>
                </c:pt>
                <c:pt idx="428">
                  <c:v>45720</c:v>
                </c:pt>
                <c:pt idx="429">
                  <c:v>45721</c:v>
                </c:pt>
                <c:pt idx="430">
                  <c:v>45722</c:v>
                </c:pt>
                <c:pt idx="431">
                  <c:v>45723</c:v>
                </c:pt>
                <c:pt idx="432">
                  <c:v>45724</c:v>
                </c:pt>
                <c:pt idx="433">
                  <c:v>45725</c:v>
                </c:pt>
                <c:pt idx="434">
                  <c:v>45726</c:v>
                </c:pt>
                <c:pt idx="435">
                  <c:v>45727</c:v>
                </c:pt>
                <c:pt idx="436">
                  <c:v>45728</c:v>
                </c:pt>
                <c:pt idx="437">
                  <c:v>45729</c:v>
                </c:pt>
                <c:pt idx="438">
                  <c:v>45730</c:v>
                </c:pt>
                <c:pt idx="439">
                  <c:v>45731</c:v>
                </c:pt>
                <c:pt idx="440">
                  <c:v>45732</c:v>
                </c:pt>
                <c:pt idx="441">
                  <c:v>45733</c:v>
                </c:pt>
                <c:pt idx="442">
                  <c:v>45734</c:v>
                </c:pt>
                <c:pt idx="443">
                  <c:v>45735</c:v>
                </c:pt>
                <c:pt idx="444">
                  <c:v>45736</c:v>
                </c:pt>
                <c:pt idx="445">
                  <c:v>45737</c:v>
                </c:pt>
                <c:pt idx="446">
                  <c:v>45738</c:v>
                </c:pt>
                <c:pt idx="447">
                  <c:v>45739</c:v>
                </c:pt>
                <c:pt idx="448">
                  <c:v>45740</c:v>
                </c:pt>
                <c:pt idx="449">
                  <c:v>45741</c:v>
                </c:pt>
                <c:pt idx="450">
                  <c:v>45742</c:v>
                </c:pt>
                <c:pt idx="451">
                  <c:v>45743</c:v>
                </c:pt>
                <c:pt idx="452">
                  <c:v>45744</c:v>
                </c:pt>
                <c:pt idx="453">
                  <c:v>45745</c:v>
                </c:pt>
                <c:pt idx="454">
                  <c:v>45746</c:v>
                </c:pt>
                <c:pt idx="455">
                  <c:v>45747</c:v>
                </c:pt>
                <c:pt idx="456">
                  <c:v>45748</c:v>
                </c:pt>
                <c:pt idx="457">
                  <c:v>45749</c:v>
                </c:pt>
                <c:pt idx="458">
                  <c:v>45750</c:v>
                </c:pt>
                <c:pt idx="459">
                  <c:v>45751</c:v>
                </c:pt>
                <c:pt idx="460">
                  <c:v>45752</c:v>
                </c:pt>
                <c:pt idx="461">
                  <c:v>45753</c:v>
                </c:pt>
                <c:pt idx="462">
                  <c:v>45754</c:v>
                </c:pt>
                <c:pt idx="463">
                  <c:v>45755</c:v>
                </c:pt>
                <c:pt idx="464">
                  <c:v>45756</c:v>
                </c:pt>
                <c:pt idx="465">
                  <c:v>45757</c:v>
                </c:pt>
                <c:pt idx="466">
                  <c:v>45758</c:v>
                </c:pt>
                <c:pt idx="467">
                  <c:v>45759</c:v>
                </c:pt>
                <c:pt idx="468">
                  <c:v>45760</c:v>
                </c:pt>
                <c:pt idx="469">
                  <c:v>45761</c:v>
                </c:pt>
                <c:pt idx="470">
                  <c:v>45762</c:v>
                </c:pt>
                <c:pt idx="471">
                  <c:v>45763</c:v>
                </c:pt>
                <c:pt idx="472">
                  <c:v>45764</c:v>
                </c:pt>
                <c:pt idx="473">
                  <c:v>45765</c:v>
                </c:pt>
                <c:pt idx="474">
                  <c:v>45766</c:v>
                </c:pt>
                <c:pt idx="475">
                  <c:v>45767</c:v>
                </c:pt>
                <c:pt idx="476">
                  <c:v>45768</c:v>
                </c:pt>
                <c:pt idx="477">
                  <c:v>45769</c:v>
                </c:pt>
                <c:pt idx="478">
                  <c:v>45770</c:v>
                </c:pt>
                <c:pt idx="479">
                  <c:v>45771</c:v>
                </c:pt>
                <c:pt idx="480">
                  <c:v>45772</c:v>
                </c:pt>
                <c:pt idx="481">
                  <c:v>45773</c:v>
                </c:pt>
                <c:pt idx="482">
                  <c:v>45774</c:v>
                </c:pt>
                <c:pt idx="483">
                  <c:v>45775</c:v>
                </c:pt>
                <c:pt idx="484">
                  <c:v>45776</c:v>
                </c:pt>
                <c:pt idx="485">
                  <c:v>45777</c:v>
                </c:pt>
                <c:pt idx="486">
                  <c:v>45778</c:v>
                </c:pt>
                <c:pt idx="487">
                  <c:v>45779</c:v>
                </c:pt>
                <c:pt idx="488">
                  <c:v>45780</c:v>
                </c:pt>
                <c:pt idx="489">
                  <c:v>45781</c:v>
                </c:pt>
                <c:pt idx="490">
                  <c:v>45782</c:v>
                </c:pt>
                <c:pt idx="491">
                  <c:v>45783</c:v>
                </c:pt>
                <c:pt idx="492">
                  <c:v>45784</c:v>
                </c:pt>
                <c:pt idx="493">
                  <c:v>45785</c:v>
                </c:pt>
                <c:pt idx="494">
                  <c:v>45786</c:v>
                </c:pt>
                <c:pt idx="495">
                  <c:v>45787</c:v>
                </c:pt>
                <c:pt idx="496">
                  <c:v>45788</c:v>
                </c:pt>
                <c:pt idx="497">
                  <c:v>45789</c:v>
                </c:pt>
                <c:pt idx="498">
                  <c:v>45790</c:v>
                </c:pt>
                <c:pt idx="499">
                  <c:v>45791</c:v>
                </c:pt>
                <c:pt idx="500">
                  <c:v>45792</c:v>
                </c:pt>
                <c:pt idx="501">
                  <c:v>45793</c:v>
                </c:pt>
                <c:pt idx="502">
                  <c:v>45794</c:v>
                </c:pt>
                <c:pt idx="503">
                  <c:v>45795</c:v>
                </c:pt>
                <c:pt idx="504">
                  <c:v>45796</c:v>
                </c:pt>
                <c:pt idx="505">
                  <c:v>45797</c:v>
                </c:pt>
                <c:pt idx="506">
                  <c:v>45798</c:v>
                </c:pt>
                <c:pt idx="507">
                  <c:v>45799</c:v>
                </c:pt>
                <c:pt idx="508">
                  <c:v>45800</c:v>
                </c:pt>
                <c:pt idx="509">
                  <c:v>45801</c:v>
                </c:pt>
                <c:pt idx="510">
                  <c:v>45802</c:v>
                </c:pt>
                <c:pt idx="511">
                  <c:v>45803</c:v>
                </c:pt>
                <c:pt idx="512">
                  <c:v>45804</c:v>
                </c:pt>
                <c:pt idx="513">
                  <c:v>45805</c:v>
                </c:pt>
                <c:pt idx="514">
                  <c:v>45806</c:v>
                </c:pt>
                <c:pt idx="515">
                  <c:v>45807</c:v>
                </c:pt>
                <c:pt idx="516">
                  <c:v>45808</c:v>
                </c:pt>
                <c:pt idx="517">
                  <c:v>45809</c:v>
                </c:pt>
                <c:pt idx="518">
                  <c:v>45810</c:v>
                </c:pt>
                <c:pt idx="519">
                  <c:v>45811</c:v>
                </c:pt>
                <c:pt idx="520">
                  <c:v>45812</c:v>
                </c:pt>
                <c:pt idx="521">
                  <c:v>45813</c:v>
                </c:pt>
                <c:pt idx="522">
                  <c:v>45814</c:v>
                </c:pt>
                <c:pt idx="523">
                  <c:v>45815</c:v>
                </c:pt>
                <c:pt idx="524">
                  <c:v>45816</c:v>
                </c:pt>
                <c:pt idx="525">
                  <c:v>45817</c:v>
                </c:pt>
                <c:pt idx="526">
                  <c:v>45818</c:v>
                </c:pt>
                <c:pt idx="527">
                  <c:v>45819</c:v>
                </c:pt>
                <c:pt idx="528">
                  <c:v>45820</c:v>
                </c:pt>
                <c:pt idx="529">
                  <c:v>45821</c:v>
                </c:pt>
                <c:pt idx="530">
                  <c:v>45822</c:v>
                </c:pt>
                <c:pt idx="531">
                  <c:v>45823</c:v>
                </c:pt>
                <c:pt idx="532">
                  <c:v>45824</c:v>
                </c:pt>
                <c:pt idx="533">
                  <c:v>45825</c:v>
                </c:pt>
                <c:pt idx="534">
                  <c:v>45826</c:v>
                </c:pt>
                <c:pt idx="535">
                  <c:v>45827</c:v>
                </c:pt>
                <c:pt idx="536">
                  <c:v>45828</c:v>
                </c:pt>
                <c:pt idx="537">
                  <c:v>45829</c:v>
                </c:pt>
                <c:pt idx="538">
                  <c:v>45830</c:v>
                </c:pt>
                <c:pt idx="539">
                  <c:v>45831</c:v>
                </c:pt>
                <c:pt idx="540">
                  <c:v>45832</c:v>
                </c:pt>
                <c:pt idx="541">
                  <c:v>45833</c:v>
                </c:pt>
                <c:pt idx="542">
                  <c:v>45834</c:v>
                </c:pt>
                <c:pt idx="543">
                  <c:v>45835</c:v>
                </c:pt>
                <c:pt idx="544">
                  <c:v>45836</c:v>
                </c:pt>
                <c:pt idx="545">
                  <c:v>45837</c:v>
                </c:pt>
                <c:pt idx="546">
                  <c:v>45838</c:v>
                </c:pt>
              </c:numCache>
            </c:numRef>
          </c:cat>
          <c:val>
            <c:numRef>
              <c:f>'2025 Forecast'!$C$2:$C$548</c:f>
              <c:numCache>
                <c:formatCode>General</c:formatCode>
                <c:ptCount val="547"/>
                <c:pt idx="365" formatCode="#,##0">
                  <c:v>13781</c:v>
                </c:pt>
                <c:pt idx="366" formatCode="#,##0">
                  <c:v>14297.077283858318</c:v>
                </c:pt>
                <c:pt idx="367" formatCode="#,##0">
                  <c:v>14717.36720925093</c:v>
                </c:pt>
                <c:pt idx="368" formatCode="#,##0">
                  <c:v>15086.481840555882</c:v>
                </c:pt>
                <c:pt idx="369" formatCode="#,##0">
                  <c:v>15553.27394889057</c:v>
                </c:pt>
                <c:pt idx="370" formatCode="#,##0">
                  <c:v>15453.314191460166</c:v>
                </c:pt>
                <c:pt idx="371" formatCode="#,##0">
                  <c:v>13245.317073839367</c:v>
                </c:pt>
                <c:pt idx="372" formatCode="#,##0">
                  <c:v>13725.085973889432</c:v>
                </c:pt>
                <c:pt idx="373" formatCode="#,##0">
                  <c:v>14241.502721733903</c:v>
                </c:pt>
                <c:pt idx="374" formatCode="#,##0">
                  <c:v>14661.792647126515</c:v>
                </c:pt>
                <c:pt idx="375" formatCode="#,##0">
                  <c:v>15030.907278431467</c:v>
                </c:pt>
                <c:pt idx="376" formatCode="#,##0">
                  <c:v>15497.699386766155</c:v>
                </c:pt>
                <c:pt idx="377" formatCode="#,##0">
                  <c:v>15397.739629335751</c:v>
                </c:pt>
                <c:pt idx="378" formatCode="#,##0">
                  <c:v>13189.742511714954</c:v>
                </c:pt>
                <c:pt idx="379" formatCode="#,##0">
                  <c:v>13669.511411765019</c:v>
                </c:pt>
                <c:pt idx="380" formatCode="#,##0">
                  <c:v>14185.92815960949</c:v>
                </c:pt>
                <c:pt idx="381" formatCode="#,##0">
                  <c:v>14606.218085002101</c:v>
                </c:pt>
                <c:pt idx="382" formatCode="#,##0">
                  <c:v>14975.332716307053</c:v>
                </c:pt>
                <c:pt idx="383" formatCode="#,##0">
                  <c:v>15442.124824641742</c:v>
                </c:pt>
                <c:pt idx="384" formatCode="#,##0">
                  <c:v>15342.165067211337</c:v>
                </c:pt>
                <c:pt idx="385" formatCode="#,##0">
                  <c:v>13134.167949590537</c:v>
                </c:pt>
                <c:pt idx="386" formatCode="#,##0">
                  <c:v>13613.936849640604</c:v>
                </c:pt>
                <c:pt idx="387" formatCode="#,##0">
                  <c:v>14130.353597485075</c:v>
                </c:pt>
                <c:pt idx="388" formatCode="#,##0">
                  <c:v>14550.643522877686</c:v>
                </c:pt>
                <c:pt idx="389" formatCode="#,##0">
                  <c:v>14919.758154182638</c:v>
                </c:pt>
                <c:pt idx="390" formatCode="#,##0">
                  <c:v>15386.550262517327</c:v>
                </c:pt>
                <c:pt idx="391" formatCode="#,##0">
                  <c:v>15286.590505086922</c:v>
                </c:pt>
                <c:pt idx="392" formatCode="#,##0">
                  <c:v>13078.593387466124</c:v>
                </c:pt>
                <c:pt idx="393" formatCode="#,##0">
                  <c:v>13558.362287516189</c:v>
                </c:pt>
                <c:pt idx="394" formatCode="#,##0">
                  <c:v>14074.77903536066</c:v>
                </c:pt>
                <c:pt idx="395" formatCode="#,##0">
                  <c:v>14495.068960753271</c:v>
                </c:pt>
                <c:pt idx="396" formatCode="#,##0">
                  <c:v>14864.183592058223</c:v>
                </c:pt>
                <c:pt idx="397" formatCode="#,##0">
                  <c:v>15330.975700392912</c:v>
                </c:pt>
                <c:pt idx="398" formatCode="#,##0">
                  <c:v>15231.015942962507</c:v>
                </c:pt>
                <c:pt idx="399" formatCode="#,##0">
                  <c:v>13023.018825341707</c:v>
                </c:pt>
                <c:pt idx="400" formatCode="#,##0">
                  <c:v>13502.787725391774</c:v>
                </c:pt>
                <c:pt idx="401" formatCode="#,##0">
                  <c:v>14019.204473236245</c:v>
                </c:pt>
                <c:pt idx="402" formatCode="#,##0">
                  <c:v>14439.494398628856</c:v>
                </c:pt>
                <c:pt idx="403" formatCode="#,##0">
                  <c:v>14808.60902993381</c:v>
                </c:pt>
                <c:pt idx="404" formatCode="#,##0">
                  <c:v>15275.401138268498</c:v>
                </c:pt>
                <c:pt idx="405" formatCode="#,##0">
                  <c:v>15175.441380838094</c:v>
                </c:pt>
                <c:pt idx="406" formatCode="#,##0">
                  <c:v>12967.444263217294</c:v>
                </c:pt>
                <c:pt idx="407" formatCode="#,##0">
                  <c:v>13447.213163267361</c:v>
                </c:pt>
                <c:pt idx="408" formatCode="#,##0">
                  <c:v>13963.629911111831</c:v>
                </c:pt>
                <c:pt idx="409" formatCode="#,##0">
                  <c:v>14383.919836504443</c:v>
                </c:pt>
                <c:pt idx="410" formatCode="#,##0">
                  <c:v>14753.034467809395</c:v>
                </c:pt>
                <c:pt idx="411" formatCode="#,##0">
                  <c:v>15219.826576144083</c:v>
                </c:pt>
                <c:pt idx="412" formatCode="#,##0">
                  <c:v>15119.866818713679</c:v>
                </c:pt>
                <c:pt idx="413" formatCode="#,##0">
                  <c:v>12911.869701092881</c:v>
                </c:pt>
                <c:pt idx="414" formatCode="#,##0">
                  <c:v>13391.638601142946</c:v>
                </c:pt>
                <c:pt idx="415" formatCode="#,##0">
                  <c:v>13908.055348987416</c:v>
                </c:pt>
                <c:pt idx="416" formatCode="#,##0">
                  <c:v>14328.345274380028</c:v>
                </c:pt>
                <c:pt idx="417" formatCode="#,##0">
                  <c:v>14697.45990568498</c:v>
                </c:pt>
                <c:pt idx="418" formatCode="#,##0">
                  <c:v>15164.252014019668</c:v>
                </c:pt>
                <c:pt idx="419" formatCode="#,##0">
                  <c:v>15064.292256589264</c:v>
                </c:pt>
                <c:pt idx="420" formatCode="#,##0">
                  <c:v>12856.295138968464</c:v>
                </c:pt>
                <c:pt idx="421" formatCode="#,##0">
                  <c:v>13336.064039018531</c:v>
                </c:pt>
                <c:pt idx="422" formatCode="#,##0">
                  <c:v>13852.480786863001</c:v>
                </c:pt>
                <c:pt idx="423" formatCode="#,##0">
                  <c:v>14272.770712255613</c:v>
                </c:pt>
                <c:pt idx="424" formatCode="#,##0">
                  <c:v>14641.885343560565</c:v>
                </c:pt>
                <c:pt idx="425" formatCode="#,##0">
                  <c:v>15108.677451895253</c:v>
                </c:pt>
                <c:pt idx="426" formatCode="#,##0">
                  <c:v>15008.717694464849</c:v>
                </c:pt>
                <c:pt idx="427" formatCode="#,##0">
                  <c:v>12800.720576844051</c:v>
                </c:pt>
                <c:pt idx="428" formatCode="#,##0">
                  <c:v>13280.489476894118</c:v>
                </c:pt>
                <c:pt idx="429" formatCode="#,##0">
                  <c:v>13796.906224738588</c:v>
                </c:pt>
                <c:pt idx="430" formatCode="#,##0">
                  <c:v>14217.1961501312</c:v>
                </c:pt>
                <c:pt idx="431" formatCode="#,##0">
                  <c:v>14586.310781436152</c:v>
                </c:pt>
                <c:pt idx="432" formatCode="#,##0">
                  <c:v>15053.10288977084</c:v>
                </c:pt>
                <c:pt idx="433" formatCode="#,##0">
                  <c:v>14953.143132340436</c:v>
                </c:pt>
                <c:pt idx="434" formatCode="#,##0">
                  <c:v>12745.146014719638</c:v>
                </c:pt>
                <c:pt idx="435" formatCode="#,##0">
                  <c:v>13224.914914769703</c:v>
                </c:pt>
                <c:pt idx="436" formatCode="#,##0">
                  <c:v>13741.331662614173</c:v>
                </c:pt>
                <c:pt idx="437" formatCode="#,##0">
                  <c:v>14161.621588006785</c:v>
                </c:pt>
                <c:pt idx="438" formatCode="#,##0">
                  <c:v>14530.736219311737</c:v>
                </c:pt>
                <c:pt idx="439" formatCode="#,##0">
                  <c:v>14997.528327646425</c:v>
                </c:pt>
                <c:pt idx="440" formatCode="#,##0">
                  <c:v>14897.568570216021</c:v>
                </c:pt>
                <c:pt idx="441" formatCode="#,##0">
                  <c:v>12689.571452595221</c:v>
                </c:pt>
                <c:pt idx="442" formatCode="#,##0">
                  <c:v>13169.340352645288</c:v>
                </c:pt>
                <c:pt idx="443" formatCode="#,##0">
                  <c:v>13685.757100489758</c:v>
                </c:pt>
                <c:pt idx="444" formatCode="#,##0">
                  <c:v>14106.04702588237</c:v>
                </c:pt>
                <c:pt idx="445" formatCode="#,##0">
                  <c:v>14475.161657187322</c:v>
                </c:pt>
                <c:pt idx="446" formatCode="#,##0">
                  <c:v>14941.95376552201</c:v>
                </c:pt>
                <c:pt idx="447" formatCode="#,##0">
                  <c:v>14841.994008091606</c:v>
                </c:pt>
                <c:pt idx="448" formatCode="#,##0">
                  <c:v>12633.996890470808</c:v>
                </c:pt>
                <c:pt idx="449" formatCode="#,##0">
                  <c:v>13113.765790520873</c:v>
                </c:pt>
                <c:pt idx="450" formatCode="#,##0">
                  <c:v>13630.182538365343</c:v>
                </c:pt>
                <c:pt idx="451" formatCode="#,##0">
                  <c:v>14050.472463757955</c:v>
                </c:pt>
                <c:pt idx="452" formatCode="#,##0">
                  <c:v>14419.587095062907</c:v>
                </c:pt>
                <c:pt idx="453" formatCode="#,##0">
                  <c:v>14886.379203397597</c:v>
                </c:pt>
                <c:pt idx="454" formatCode="#,##0">
                  <c:v>14786.419445967193</c:v>
                </c:pt>
                <c:pt idx="455" formatCode="#,##0">
                  <c:v>12578.422328346394</c:v>
                </c:pt>
                <c:pt idx="456" formatCode="#,##0">
                  <c:v>13058.191228396459</c:v>
                </c:pt>
                <c:pt idx="457" formatCode="#,##0">
                  <c:v>13574.60797624093</c:v>
                </c:pt>
                <c:pt idx="458" formatCode="#,##0">
                  <c:v>13994.897901633542</c:v>
                </c:pt>
                <c:pt idx="459" formatCode="#,##0">
                  <c:v>14364.012532938494</c:v>
                </c:pt>
                <c:pt idx="460" formatCode="#,##0">
                  <c:v>14830.804641273182</c:v>
                </c:pt>
                <c:pt idx="461" formatCode="#,##0">
                  <c:v>14730.844883842778</c:v>
                </c:pt>
                <c:pt idx="462" formatCode="#,##0">
                  <c:v>12522.847766221978</c:v>
                </c:pt>
                <c:pt idx="463" formatCode="#,##0">
                  <c:v>13002.616666272044</c:v>
                </c:pt>
                <c:pt idx="464" formatCode="#,##0">
                  <c:v>13519.033414116515</c:v>
                </c:pt>
                <c:pt idx="465" formatCode="#,##0">
                  <c:v>13939.323339509127</c:v>
                </c:pt>
                <c:pt idx="466" formatCode="#,##0">
                  <c:v>14308.437970814079</c:v>
                </c:pt>
                <c:pt idx="467" formatCode="#,##0">
                  <c:v>14775.230079148767</c:v>
                </c:pt>
                <c:pt idx="468" formatCode="#,##0">
                  <c:v>14675.270321718363</c:v>
                </c:pt>
                <c:pt idx="469" formatCode="#,##0">
                  <c:v>12467.273204097564</c:v>
                </c:pt>
                <c:pt idx="470" formatCode="#,##0">
                  <c:v>12947.042104147629</c:v>
                </c:pt>
                <c:pt idx="471" formatCode="#,##0">
                  <c:v>13463.4588519921</c:v>
                </c:pt>
                <c:pt idx="472" formatCode="#,##0">
                  <c:v>13883.748777384712</c:v>
                </c:pt>
                <c:pt idx="473" formatCode="#,##0">
                  <c:v>14252.863408689664</c:v>
                </c:pt>
                <c:pt idx="474" formatCode="#,##0">
                  <c:v>14719.655517024352</c:v>
                </c:pt>
                <c:pt idx="475" formatCode="#,##0">
                  <c:v>14619.695759593948</c:v>
                </c:pt>
                <c:pt idx="476" formatCode="#,##0">
                  <c:v>12411.698641973147</c:v>
                </c:pt>
                <c:pt idx="477" formatCode="#,##0">
                  <c:v>12891.467542023214</c:v>
                </c:pt>
                <c:pt idx="478" formatCode="#,##0">
                  <c:v>13407.884289867687</c:v>
                </c:pt>
                <c:pt idx="479" formatCode="#,##0">
                  <c:v>13828.174215260298</c:v>
                </c:pt>
                <c:pt idx="480" formatCode="#,##0">
                  <c:v>14197.28884656525</c:v>
                </c:pt>
                <c:pt idx="481" formatCode="#,##0">
                  <c:v>14664.080954899939</c:v>
                </c:pt>
                <c:pt idx="482" formatCode="#,##0">
                  <c:v>14564.121197469534</c:v>
                </c:pt>
                <c:pt idx="483" formatCode="#,##0">
                  <c:v>12356.124079848734</c:v>
                </c:pt>
                <c:pt idx="484" formatCode="#,##0">
                  <c:v>12835.892979898801</c:v>
                </c:pt>
                <c:pt idx="485" formatCode="#,##0">
                  <c:v>13352.309727743272</c:v>
                </c:pt>
                <c:pt idx="486" formatCode="#,##0">
                  <c:v>13772.599653135883</c:v>
                </c:pt>
                <c:pt idx="487" formatCode="#,##0">
                  <c:v>14141.714284440835</c:v>
                </c:pt>
                <c:pt idx="488" formatCode="#,##0">
                  <c:v>14608.506392775524</c:v>
                </c:pt>
                <c:pt idx="489" formatCode="#,##0">
                  <c:v>14508.546635345119</c:v>
                </c:pt>
                <c:pt idx="490" formatCode="#,##0">
                  <c:v>12300.549517724321</c:v>
                </c:pt>
                <c:pt idx="491" formatCode="#,##0">
                  <c:v>12780.318417774386</c:v>
                </c:pt>
                <c:pt idx="492" formatCode="#,##0">
                  <c:v>13296.735165618857</c:v>
                </c:pt>
                <c:pt idx="493" formatCode="#,##0">
                  <c:v>13717.025091011468</c:v>
                </c:pt>
                <c:pt idx="494" formatCode="#,##0">
                  <c:v>14086.13972231642</c:v>
                </c:pt>
                <c:pt idx="495" formatCode="#,##0">
                  <c:v>14552.931830651109</c:v>
                </c:pt>
                <c:pt idx="496" formatCode="#,##0">
                  <c:v>14452.972073220704</c:v>
                </c:pt>
                <c:pt idx="497" formatCode="#,##0">
                  <c:v>12244.974955599904</c:v>
                </c:pt>
                <c:pt idx="498" formatCode="#,##0">
                  <c:v>12724.743855649971</c:v>
                </c:pt>
                <c:pt idx="499" formatCode="#,##0">
                  <c:v>13241.160603494442</c:v>
                </c:pt>
                <c:pt idx="500" formatCode="#,##0">
                  <c:v>13661.450528887053</c:v>
                </c:pt>
                <c:pt idx="501" formatCode="#,##0">
                  <c:v>14030.565160192007</c:v>
                </c:pt>
                <c:pt idx="502" formatCode="#,##0">
                  <c:v>14497.357268526694</c:v>
                </c:pt>
                <c:pt idx="503" formatCode="#,##0">
                  <c:v>14397.397511096291</c:v>
                </c:pt>
                <c:pt idx="504" formatCode="#,##0">
                  <c:v>12189.400393475491</c:v>
                </c:pt>
                <c:pt idx="505" formatCode="#,##0">
                  <c:v>12669.169293525558</c:v>
                </c:pt>
                <c:pt idx="506" formatCode="#,##0">
                  <c:v>13185.586041370028</c:v>
                </c:pt>
                <c:pt idx="507" formatCode="#,##0">
                  <c:v>13605.87596676264</c:v>
                </c:pt>
                <c:pt idx="508" formatCode="#,##0">
                  <c:v>13974.990598067592</c:v>
                </c:pt>
                <c:pt idx="509" formatCode="#,##0">
                  <c:v>14441.78270640228</c:v>
                </c:pt>
                <c:pt idx="510" formatCode="#,##0">
                  <c:v>14341.822948971876</c:v>
                </c:pt>
                <c:pt idx="511" formatCode="#,##0">
                  <c:v>12133.825831351078</c:v>
                </c:pt>
                <c:pt idx="512" formatCode="#,##0">
                  <c:v>12613.594731401143</c:v>
                </c:pt>
                <c:pt idx="513" formatCode="#,##0">
                  <c:v>13130.011479245613</c:v>
                </c:pt>
                <c:pt idx="514" formatCode="#,##0">
                  <c:v>13550.301404638225</c:v>
                </c:pt>
                <c:pt idx="515" formatCode="#,##0">
                  <c:v>13919.416035943177</c:v>
                </c:pt>
                <c:pt idx="516" formatCode="#,##0">
                  <c:v>14386.208144277865</c:v>
                </c:pt>
                <c:pt idx="517" formatCode="#,##0">
                  <c:v>14286.248386847461</c:v>
                </c:pt>
                <c:pt idx="518" formatCode="#,##0">
                  <c:v>12078.251269226661</c:v>
                </c:pt>
                <c:pt idx="519" formatCode="#,##0">
                  <c:v>12558.020169276728</c:v>
                </c:pt>
                <c:pt idx="520" formatCode="#,##0">
                  <c:v>13074.436917121198</c:v>
                </c:pt>
                <c:pt idx="521" formatCode="#,##0">
                  <c:v>13494.72684251381</c:v>
                </c:pt>
                <c:pt idx="522" formatCode="#,##0">
                  <c:v>13863.841473818762</c:v>
                </c:pt>
                <c:pt idx="523" formatCode="#,##0">
                  <c:v>14330.63358215345</c:v>
                </c:pt>
                <c:pt idx="524" formatCode="#,##0">
                  <c:v>14230.673824723046</c:v>
                </c:pt>
                <c:pt idx="525" formatCode="#,##0">
                  <c:v>12022.676707102248</c:v>
                </c:pt>
                <c:pt idx="526" formatCode="#,##0">
                  <c:v>12502.445607152315</c:v>
                </c:pt>
                <c:pt idx="527" formatCode="#,##0">
                  <c:v>13018.862354996783</c:v>
                </c:pt>
                <c:pt idx="528" formatCode="#,##0">
                  <c:v>13439.152280389397</c:v>
                </c:pt>
                <c:pt idx="529" formatCode="#,##0">
                  <c:v>13808.266911694349</c:v>
                </c:pt>
                <c:pt idx="530" formatCode="#,##0">
                  <c:v>14275.059020029037</c:v>
                </c:pt>
                <c:pt idx="531" formatCode="#,##0">
                  <c:v>14175.099262598633</c:v>
                </c:pt>
                <c:pt idx="532" formatCode="#,##0">
                  <c:v>11967.102144977835</c:v>
                </c:pt>
                <c:pt idx="533" formatCode="#,##0">
                  <c:v>12446.8710450279</c:v>
                </c:pt>
                <c:pt idx="534" formatCode="#,##0">
                  <c:v>12963.28779287237</c:v>
                </c:pt>
                <c:pt idx="535" formatCode="#,##0">
                  <c:v>13383.577718264982</c:v>
                </c:pt>
                <c:pt idx="536" formatCode="#,##0">
                  <c:v>13752.692349569934</c:v>
                </c:pt>
                <c:pt idx="537" formatCode="#,##0">
                  <c:v>14219.484457904622</c:v>
                </c:pt>
                <c:pt idx="538" formatCode="#,##0">
                  <c:v>14119.524700474218</c:v>
                </c:pt>
                <c:pt idx="539" formatCode="#,##0">
                  <c:v>11911.527582853418</c:v>
                </c:pt>
                <c:pt idx="540" formatCode="#,##0">
                  <c:v>12391.296482903485</c:v>
                </c:pt>
                <c:pt idx="541" formatCode="#,##0">
                  <c:v>12907.713230747955</c:v>
                </c:pt>
                <c:pt idx="542" formatCode="#,##0">
                  <c:v>13328.003156140567</c:v>
                </c:pt>
                <c:pt idx="543" formatCode="#,##0">
                  <c:v>13697.117787445519</c:v>
                </c:pt>
                <c:pt idx="544" formatCode="#,##0">
                  <c:v>14163.909895780207</c:v>
                </c:pt>
                <c:pt idx="545" formatCode="#,##0">
                  <c:v>14063.950138349803</c:v>
                </c:pt>
                <c:pt idx="546" formatCode="#,##0">
                  <c:v>11855.953020729004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75-430B-83E2-B6470A34F8A5}"/>
            </c:ext>
          </c:extLst>
        </c:ser>
        <c:ser>
          <c:idx val="2"/>
          <c:order val="2"/>
          <c:tx>
            <c:strRef>
              <c:f>'2025 Forecast'!$D$1</c:f>
              <c:strCache>
                <c:ptCount val="1"/>
                <c:pt idx="0">
                  <c:v>Lower Confidence Bound(Sum of Handled_Calls)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'2025 Forecast'!$A$2:$A$548</c:f>
              <c:numCache>
                <c:formatCode>m/d/yyyy</c:formatCode>
                <c:ptCount val="547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45445</c:v>
                </c:pt>
                <c:pt idx="154">
                  <c:v>45446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45451</c:v>
                </c:pt>
                <c:pt idx="160">
                  <c:v>45452</c:v>
                </c:pt>
                <c:pt idx="161">
                  <c:v>45453</c:v>
                </c:pt>
                <c:pt idx="162">
                  <c:v>45454</c:v>
                </c:pt>
                <c:pt idx="163">
                  <c:v>45455</c:v>
                </c:pt>
                <c:pt idx="164">
                  <c:v>45456</c:v>
                </c:pt>
                <c:pt idx="165">
                  <c:v>45457</c:v>
                </c:pt>
                <c:pt idx="166">
                  <c:v>45458</c:v>
                </c:pt>
                <c:pt idx="167">
                  <c:v>45459</c:v>
                </c:pt>
                <c:pt idx="168">
                  <c:v>45460</c:v>
                </c:pt>
                <c:pt idx="169">
                  <c:v>45461</c:v>
                </c:pt>
                <c:pt idx="170">
                  <c:v>45462</c:v>
                </c:pt>
                <c:pt idx="171">
                  <c:v>45463</c:v>
                </c:pt>
                <c:pt idx="172">
                  <c:v>45464</c:v>
                </c:pt>
                <c:pt idx="173">
                  <c:v>45465</c:v>
                </c:pt>
                <c:pt idx="174">
                  <c:v>45466</c:v>
                </c:pt>
                <c:pt idx="175">
                  <c:v>45467</c:v>
                </c:pt>
                <c:pt idx="176">
                  <c:v>45468</c:v>
                </c:pt>
                <c:pt idx="177">
                  <c:v>45469</c:v>
                </c:pt>
                <c:pt idx="178">
                  <c:v>45470</c:v>
                </c:pt>
                <c:pt idx="179">
                  <c:v>45471</c:v>
                </c:pt>
                <c:pt idx="180">
                  <c:v>45472</c:v>
                </c:pt>
                <c:pt idx="181">
                  <c:v>45473</c:v>
                </c:pt>
                <c:pt idx="182">
                  <c:v>45474</c:v>
                </c:pt>
                <c:pt idx="183">
                  <c:v>45475</c:v>
                </c:pt>
                <c:pt idx="184">
                  <c:v>45476</c:v>
                </c:pt>
                <c:pt idx="185">
                  <c:v>45477</c:v>
                </c:pt>
                <c:pt idx="186">
                  <c:v>45478</c:v>
                </c:pt>
                <c:pt idx="187">
                  <c:v>45479</c:v>
                </c:pt>
                <c:pt idx="188">
                  <c:v>45480</c:v>
                </c:pt>
                <c:pt idx="189">
                  <c:v>45481</c:v>
                </c:pt>
                <c:pt idx="190">
                  <c:v>45482</c:v>
                </c:pt>
                <c:pt idx="191">
                  <c:v>45483</c:v>
                </c:pt>
                <c:pt idx="192">
                  <c:v>45484</c:v>
                </c:pt>
                <c:pt idx="193">
                  <c:v>45485</c:v>
                </c:pt>
                <c:pt idx="194">
                  <c:v>45486</c:v>
                </c:pt>
                <c:pt idx="195">
                  <c:v>45487</c:v>
                </c:pt>
                <c:pt idx="196">
                  <c:v>45488</c:v>
                </c:pt>
                <c:pt idx="197">
                  <c:v>45489</c:v>
                </c:pt>
                <c:pt idx="198">
                  <c:v>45490</c:v>
                </c:pt>
                <c:pt idx="199">
                  <c:v>45491</c:v>
                </c:pt>
                <c:pt idx="200">
                  <c:v>45492</c:v>
                </c:pt>
                <c:pt idx="201">
                  <c:v>45493</c:v>
                </c:pt>
                <c:pt idx="202">
                  <c:v>45494</c:v>
                </c:pt>
                <c:pt idx="203">
                  <c:v>45495</c:v>
                </c:pt>
                <c:pt idx="204">
                  <c:v>45496</c:v>
                </c:pt>
                <c:pt idx="205">
                  <c:v>45497</c:v>
                </c:pt>
                <c:pt idx="206">
                  <c:v>45498</c:v>
                </c:pt>
                <c:pt idx="207">
                  <c:v>45499</c:v>
                </c:pt>
                <c:pt idx="208">
                  <c:v>45500</c:v>
                </c:pt>
                <c:pt idx="209">
                  <c:v>45501</c:v>
                </c:pt>
                <c:pt idx="210">
                  <c:v>45502</c:v>
                </c:pt>
                <c:pt idx="211">
                  <c:v>45503</c:v>
                </c:pt>
                <c:pt idx="212">
                  <c:v>45504</c:v>
                </c:pt>
                <c:pt idx="213">
                  <c:v>45505</c:v>
                </c:pt>
                <c:pt idx="214">
                  <c:v>45506</c:v>
                </c:pt>
                <c:pt idx="215">
                  <c:v>45507</c:v>
                </c:pt>
                <c:pt idx="216">
                  <c:v>45508</c:v>
                </c:pt>
                <c:pt idx="217">
                  <c:v>45509</c:v>
                </c:pt>
                <c:pt idx="218">
                  <c:v>45510</c:v>
                </c:pt>
                <c:pt idx="219">
                  <c:v>45511</c:v>
                </c:pt>
                <c:pt idx="220">
                  <c:v>45512</c:v>
                </c:pt>
                <c:pt idx="221">
                  <c:v>45513</c:v>
                </c:pt>
                <c:pt idx="222">
                  <c:v>45514</c:v>
                </c:pt>
                <c:pt idx="223">
                  <c:v>45515</c:v>
                </c:pt>
                <c:pt idx="224">
                  <c:v>45516</c:v>
                </c:pt>
                <c:pt idx="225">
                  <c:v>45517</c:v>
                </c:pt>
                <c:pt idx="226">
                  <c:v>45518</c:v>
                </c:pt>
                <c:pt idx="227">
                  <c:v>45519</c:v>
                </c:pt>
                <c:pt idx="228">
                  <c:v>45520</c:v>
                </c:pt>
                <c:pt idx="229">
                  <c:v>45521</c:v>
                </c:pt>
                <c:pt idx="230">
                  <c:v>45522</c:v>
                </c:pt>
                <c:pt idx="231">
                  <c:v>45523</c:v>
                </c:pt>
                <c:pt idx="232">
                  <c:v>45524</c:v>
                </c:pt>
                <c:pt idx="233">
                  <c:v>45525</c:v>
                </c:pt>
                <c:pt idx="234">
                  <c:v>45526</c:v>
                </c:pt>
                <c:pt idx="235">
                  <c:v>45527</c:v>
                </c:pt>
                <c:pt idx="236">
                  <c:v>45528</c:v>
                </c:pt>
                <c:pt idx="237">
                  <c:v>45529</c:v>
                </c:pt>
                <c:pt idx="238">
                  <c:v>45530</c:v>
                </c:pt>
                <c:pt idx="239">
                  <c:v>45531</c:v>
                </c:pt>
                <c:pt idx="240">
                  <c:v>45532</c:v>
                </c:pt>
                <c:pt idx="241">
                  <c:v>45533</c:v>
                </c:pt>
                <c:pt idx="242">
                  <c:v>45534</c:v>
                </c:pt>
                <c:pt idx="243">
                  <c:v>45535</c:v>
                </c:pt>
                <c:pt idx="244">
                  <c:v>45536</c:v>
                </c:pt>
                <c:pt idx="245">
                  <c:v>45537</c:v>
                </c:pt>
                <c:pt idx="246">
                  <c:v>45538</c:v>
                </c:pt>
                <c:pt idx="247">
                  <c:v>45539</c:v>
                </c:pt>
                <c:pt idx="248">
                  <c:v>45540</c:v>
                </c:pt>
                <c:pt idx="249">
                  <c:v>45541</c:v>
                </c:pt>
                <c:pt idx="250">
                  <c:v>45542</c:v>
                </c:pt>
                <c:pt idx="251">
                  <c:v>45543</c:v>
                </c:pt>
                <c:pt idx="252">
                  <c:v>45544</c:v>
                </c:pt>
                <c:pt idx="253">
                  <c:v>45545</c:v>
                </c:pt>
                <c:pt idx="254">
                  <c:v>45546</c:v>
                </c:pt>
                <c:pt idx="255">
                  <c:v>45547</c:v>
                </c:pt>
                <c:pt idx="256">
                  <c:v>45548</c:v>
                </c:pt>
                <c:pt idx="257">
                  <c:v>45549</c:v>
                </c:pt>
                <c:pt idx="258">
                  <c:v>45550</c:v>
                </c:pt>
                <c:pt idx="259">
                  <c:v>45551</c:v>
                </c:pt>
                <c:pt idx="260">
                  <c:v>45552</c:v>
                </c:pt>
                <c:pt idx="261">
                  <c:v>45553</c:v>
                </c:pt>
                <c:pt idx="262">
                  <c:v>45554</c:v>
                </c:pt>
                <c:pt idx="263">
                  <c:v>45555</c:v>
                </c:pt>
                <c:pt idx="264">
                  <c:v>45556</c:v>
                </c:pt>
                <c:pt idx="265">
                  <c:v>45557</c:v>
                </c:pt>
                <c:pt idx="266">
                  <c:v>45558</c:v>
                </c:pt>
                <c:pt idx="267">
                  <c:v>45559</c:v>
                </c:pt>
                <c:pt idx="268">
                  <c:v>45560</c:v>
                </c:pt>
                <c:pt idx="269">
                  <c:v>45561</c:v>
                </c:pt>
                <c:pt idx="270">
                  <c:v>45562</c:v>
                </c:pt>
                <c:pt idx="271">
                  <c:v>45563</c:v>
                </c:pt>
                <c:pt idx="272">
                  <c:v>45564</c:v>
                </c:pt>
                <c:pt idx="273">
                  <c:v>45565</c:v>
                </c:pt>
                <c:pt idx="274">
                  <c:v>45566</c:v>
                </c:pt>
                <c:pt idx="275">
                  <c:v>45567</c:v>
                </c:pt>
                <c:pt idx="276">
                  <c:v>45568</c:v>
                </c:pt>
                <c:pt idx="277">
                  <c:v>45569</c:v>
                </c:pt>
                <c:pt idx="278">
                  <c:v>45570</c:v>
                </c:pt>
                <c:pt idx="279">
                  <c:v>45571</c:v>
                </c:pt>
                <c:pt idx="280">
                  <c:v>45572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45576</c:v>
                </c:pt>
                <c:pt idx="285">
                  <c:v>45577</c:v>
                </c:pt>
                <c:pt idx="286">
                  <c:v>45578</c:v>
                </c:pt>
                <c:pt idx="287">
                  <c:v>45579</c:v>
                </c:pt>
                <c:pt idx="288">
                  <c:v>45580</c:v>
                </c:pt>
                <c:pt idx="289">
                  <c:v>45581</c:v>
                </c:pt>
                <c:pt idx="290">
                  <c:v>45582</c:v>
                </c:pt>
                <c:pt idx="291">
                  <c:v>45583</c:v>
                </c:pt>
                <c:pt idx="292">
                  <c:v>45584</c:v>
                </c:pt>
                <c:pt idx="293">
                  <c:v>45585</c:v>
                </c:pt>
                <c:pt idx="294">
                  <c:v>45586</c:v>
                </c:pt>
                <c:pt idx="295">
                  <c:v>45587</c:v>
                </c:pt>
                <c:pt idx="296">
                  <c:v>45588</c:v>
                </c:pt>
                <c:pt idx="297">
                  <c:v>45589</c:v>
                </c:pt>
                <c:pt idx="298">
                  <c:v>45590</c:v>
                </c:pt>
                <c:pt idx="299">
                  <c:v>45591</c:v>
                </c:pt>
                <c:pt idx="300">
                  <c:v>45592</c:v>
                </c:pt>
                <c:pt idx="301">
                  <c:v>45593</c:v>
                </c:pt>
                <c:pt idx="302">
                  <c:v>45594</c:v>
                </c:pt>
                <c:pt idx="303">
                  <c:v>45595</c:v>
                </c:pt>
                <c:pt idx="304">
                  <c:v>45596</c:v>
                </c:pt>
                <c:pt idx="305">
                  <c:v>45597</c:v>
                </c:pt>
                <c:pt idx="306">
                  <c:v>45598</c:v>
                </c:pt>
                <c:pt idx="307">
                  <c:v>45599</c:v>
                </c:pt>
                <c:pt idx="308">
                  <c:v>45600</c:v>
                </c:pt>
                <c:pt idx="309">
                  <c:v>45601</c:v>
                </c:pt>
                <c:pt idx="310">
                  <c:v>45602</c:v>
                </c:pt>
                <c:pt idx="311">
                  <c:v>45603</c:v>
                </c:pt>
                <c:pt idx="312">
                  <c:v>45604</c:v>
                </c:pt>
                <c:pt idx="313">
                  <c:v>45605</c:v>
                </c:pt>
                <c:pt idx="314">
                  <c:v>45606</c:v>
                </c:pt>
                <c:pt idx="315">
                  <c:v>45607</c:v>
                </c:pt>
                <c:pt idx="316">
                  <c:v>45608</c:v>
                </c:pt>
                <c:pt idx="317">
                  <c:v>45609</c:v>
                </c:pt>
                <c:pt idx="318">
                  <c:v>45610</c:v>
                </c:pt>
                <c:pt idx="319">
                  <c:v>45611</c:v>
                </c:pt>
                <c:pt idx="320">
                  <c:v>45612</c:v>
                </c:pt>
                <c:pt idx="321">
                  <c:v>45613</c:v>
                </c:pt>
                <c:pt idx="322">
                  <c:v>45614</c:v>
                </c:pt>
                <c:pt idx="323">
                  <c:v>45615</c:v>
                </c:pt>
                <c:pt idx="324">
                  <c:v>45616</c:v>
                </c:pt>
                <c:pt idx="325">
                  <c:v>45617</c:v>
                </c:pt>
                <c:pt idx="326">
                  <c:v>45618</c:v>
                </c:pt>
                <c:pt idx="327">
                  <c:v>45619</c:v>
                </c:pt>
                <c:pt idx="328">
                  <c:v>45620</c:v>
                </c:pt>
                <c:pt idx="329">
                  <c:v>45621</c:v>
                </c:pt>
                <c:pt idx="330">
                  <c:v>45622</c:v>
                </c:pt>
                <c:pt idx="331">
                  <c:v>45623</c:v>
                </c:pt>
                <c:pt idx="332">
                  <c:v>45624</c:v>
                </c:pt>
                <c:pt idx="333">
                  <c:v>45625</c:v>
                </c:pt>
                <c:pt idx="334">
                  <c:v>45626</c:v>
                </c:pt>
                <c:pt idx="335">
                  <c:v>45627</c:v>
                </c:pt>
                <c:pt idx="336">
                  <c:v>45628</c:v>
                </c:pt>
                <c:pt idx="337">
                  <c:v>45629</c:v>
                </c:pt>
                <c:pt idx="338">
                  <c:v>45630</c:v>
                </c:pt>
                <c:pt idx="339">
                  <c:v>45631</c:v>
                </c:pt>
                <c:pt idx="340">
                  <c:v>45632</c:v>
                </c:pt>
                <c:pt idx="341">
                  <c:v>45633</c:v>
                </c:pt>
                <c:pt idx="342">
                  <c:v>45634</c:v>
                </c:pt>
                <c:pt idx="343">
                  <c:v>45635</c:v>
                </c:pt>
                <c:pt idx="344">
                  <c:v>45636</c:v>
                </c:pt>
                <c:pt idx="345">
                  <c:v>45637</c:v>
                </c:pt>
                <c:pt idx="346">
                  <c:v>45638</c:v>
                </c:pt>
                <c:pt idx="347">
                  <c:v>45639</c:v>
                </c:pt>
                <c:pt idx="348">
                  <c:v>45640</c:v>
                </c:pt>
                <c:pt idx="349">
                  <c:v>45641</c:v>
                </c:pt>
                <c:pt idx="350">
                  <c:v>45642</c:v>
                </c:pt>
                <c:pt idx="351">
                  <c:v>45643</c:v>
                </c:pt>
                <c:pt idx="352">
                  <c:v>45644</c:v>
                </c:pt>
                <c:pt idx="353">
                  <c:v>45645</c:v>
                </c:pt>
                <c:pt idx="354">
                  <c:v>45646</c:v>
                </c:pt>
                <c:pt idx="355">
                  <c:v>45647</c:v>
                </c:pt>
                <c:pt idx="356">
                  <c:v>45648</c:v>
                </c:pt>
                <c:pt idx="357">
                  <c:v>45649</c:v>
                </c:pt>
                <c:pt idx="358">
                  <c:v>45650</c:v>
                </c:pt>
                <c:pt idx="359">
                  <c:v>45651</c:v>
                </c:pt>
                <c:pt idx="360">
                  <c:v>45652</c:v>
                </c:pt>
                <c:pt idx="361">
                  <c:v>45653</c:v>
                </c:pt>
                <c:pt idx="362">
                  <c:v>45654</c:v>
                </c:pt>
                <c:pt idx="363">
                  <c:v>45655</c:v>
                </c:pt>
                <c:pt idx="364">
                  <c:v>45656</c:v>
                </c:pt>
                <c:pt idx="365">
                  <c:v>45657</c:v>
                </c:pt>
                <c:pt idx="366">
                  <c:v>45658</c:v>
                </c:pt>
                <c:pt idx="367">
                  <c:v>45659</c:v>
                </c:pt>
                <c:pt idx="368">
                  <c:v>45660</c:v>
                </c:pt>
                <c:pt idx="369">
                  <c:v>45661</c:v>
                </c:pt>
                <c:pt idx="370">
                  <c:v>45662</c:v>
                </c:pt>
                <c:pt idx="371">
                  <c:v>45663</c:v>
                </c:pt>
                <c:pt idx="372">
                  <c:v>45664</c:v>
                </c:pt>
                <c:pt idx="373">
                  <c:v>45665</c:v>
                </c:pt>
                <c:pt idx="374">
                  <c:v>45666</c:v>
                </c:pt>
                <c:pt idx="375">
                  <c:v>45667</c:v>
                </c:pt>
                <c:pt idx="376">
                  <c:v>45668</c:v>
                </c:pt>
                <c:pt idx="377">
                  <c:v>45669</c:v>
                </c:pt>
                <c:pt idx="378">
                  <c:v>45670</c:v>
                </c:pt>
                <c:pt idx="379">
                  <c:v>45671</c:v>
                </c:pt>
                <c:pt idx="380">
                  <c:v>45672</c:v>
                </c:pt>
                <c:pt idx="381">
                  <c:v>45673</c:v>
                </c:pt>
                <c:pt idx="382">
                  <c:v>45674</c:v>
                </c:pt>
                <c:pt idx="383">
                  <c:v>45675</c:v>
                </c:pt>
                <c:pt idx="384">
                  <c:v>45676</c:v>
                </c:pt>
                <c:pt idx="385">
                  <c:v>45677</c:v>
                </c:pt>
                <c:pt idx="386">
                  <c:v>45678</c:v>
                </c:pt>
                <c:pt idx="387">
                  <c:v>45679</c:v>
                </c:pt>
                <c:pt idx="388">
                  <c:v>45680</c:v>
                </c:pt>
                <c:pt idx="389">
                  <c:v>45681</c:v>
                </c:pt>
                <c:pt idx="390">
                  <c:v>45682</c:v>
                </c:pt>
                <c:pt idx="391">
                  <c:v>45683</c:v>
                </c:pt>
                <c:pt idx="392">
                  <c:v>45684</c:v>
                </c:pt>
                <c:pt idx="393">
                  <c:v>45685</c:v>
                </c:pt>
                <c:pt idx="394">
                  <c:v>45686</c:v>
                </c:pt>
                <c:pt idx="395">
                  <c:v>45687</c:v>
                </c:pt>
                <c:pt idx="396">
                  <c:v>45688</c:v>
                </c:pt>
                <c:pt idx="397">
                  <c:v>45689</c:v>
                </c:pt>
                <c:pt idx="398">
                  <c:v>45690</c:v>
                </c:pt>
                <c:pt idx="399">
                  <c:v>45691</c:v>
                </c:pt>
                <c:pt idx="400">
                  <c:v>45692</c:v>
                </c:pt>
                <c:pt idx="401">
                  <c:v>45693</c:v>
                </c:pt>
                <c:pt idx="402">
                  <c:v>45694</c:v>
                </c:pt>
                <c:pt idx="403">
                  <c:v>45695</c:v>
                </c:pt>
                <c:pt idx="404">
                  <c:v>45696</c:v>
                </c:pt>
                <c:pt idx="405">
                  <c:v>45697</c:v>
                </c:pt>
                <c:pt idx="406">
                  <c:v>45698</c:v>
                </c:pt>
                <c:pt idx="407">
                  <c:v>45699</c:v>
                </c:pt>
                <c:pt idx="408">
                  <c:v>45700</c:v>
                </c:pt>
                <c:pt idx="409">
                  <c:v>45701</c:v>
                </c:pt>
                <c:pt idx="410">
                  <c:v>45702</c:v>
                </c:pt>
                <c:pt idx="411">
                  <c:v>45703</c:v>
                </c:pt>
                <c:pt idx="412">
                  <c:v>45704</c:v>
                </c:pt>
                <c:pt idx="413">
                  <c:v>45705</c:v>
                </c:pt>
                <c:pt idx="414">
                  <c:v>45706</c:v>
                </c:pt>
                <c:pt idx="415">
                  <c:v>45707</c:v>
                </c:pt>
                <c:pt idx="416">
                  <c:v>45708</c:v>
                </c:pt>
                <c:pt idx="417">
                  <c:v>45709</c:v>
                </c:pt>
                <c:pt idx="418">
                  <c:v>45710</c:v>
                </c:pt>
                <c:pt idx="419">
                  <c:v>45711</c:v>
                </c:pt>
                <c:pt idx="420">
                  <c:v>45712</c:v>
                </c:pt>
                <c:pt idx="421">
                  <c:v>45713</c:v>
                </c:pt>
                <c:pt idx="422">
                  <c:v>45714</c:v>
                </c:pt>
                <c:pt idx="423">
                  <c:v>45715</c:v>
                </c:pt>
                <c:pt idx="424">
                  <c:v>45716</c:v>
                </c:pt>
                <c:pt idx="425">
                  <c:v>45717</c:v>
                </c:pt>
                <c:pt idx="426">
                  <c:v>45718</c:v>
                </c:pt>
                <c:pt idx="427">
                  <c:v>45719</c:v>
                </c:pt>
                <c:pt idx="428">
                  <c:v>45720</c:v>
                </c:pt>
                <c:pt idx="429">
                  <c:v>45721</c:v>
                </c:pt>
                <c:pt idx="430">
                  <c:v>45722</c:v>
                </c:pt>
                <c:pt idx="431">
                  <c:v>45723</c:v>
                </c:pt>
                <c:pt idx="432">
                  <c:v>45724</c:v>
                </c:pt>
                <c:pt idx="433">
                  <c:v>45725</c:v>
                </c:pt>
                <c:pt idx="434">
                  <c:v>45726</c:v>
                </c:pt>
                <c:pt idx="435">
                  <c:v>45727</c:v>
                </c:pt>
                <c:pt idx="436">
                  <c:v>45728</c:v>
                </c:pt>
                <c:pt idx="437">
                  <c:v>45729</c:v>
                </c:pt>
                <c:pt idx="438">
                  <c:v>45730</c:v>
                </c:pt>
                <c:pt idx="439">
                  <c:v>45731</c:v>
                </c:pt>
                <c:pt idx="440">
                  <c:v>45732</c:v>
                </c:pt>
                <c:pt idx="441">
                  <c:v>45733</c:v>
                </c:pt>
                <c:pt idx="442">
                  <c:v>45734</c:v>
                </c:pt>
                <c:pt idx="443">
                  <c:v>45735</c:v>
                </c:pt>
                <c:pt idx="444">
                  <c:v>45736</c:v>
                </c:pt>
                <c:pt idx="445">
                  <c:v>45737</c:v>
                </c:pt>
                <c:pt idx="446">
                  <c:v>45738</c:v>
                </c:pt>
                <c:pt idx="447">
                  <c:v>45739</c:v>
                </c:pt>
                <c:pt idx="448">
                  <c:v>45740</c:v>
                </c:pt>
                <c:pt idx="449">
                  <c:v>45741</c:v>
                </c:pt>
                <c:pt idx="450">
                  <c:v>45742</c:v>
                </c:pt>
                <c:pt idx="451">
                  <c:v>45743</c:v>
                </c:pt>
                <c:pt idx="452">
                  <c:v>45744</c:v>
                </c:pt>
                <c:pt idx="453">
                  <c:v>45745</c:v>
                </c:pt>
                <c:pt idx="454">
                  <c:v>45746</c:v>
                </c:pt>
                <c:pt idx="455">
                  <c:v>45747</c:v>
                </c:pt>
                <c:pt idx="456">
                  <c:v>45748</c:v>
                </c:pt>
                <c:pt idx="457">
                  <c:v>45749</c:v>
                </c:pt>
                <c:pt idx="458">
                  <c:v>45750</c:v>
                </c:pt>
                <c:pt idx="459">
                  <c:v>45751</c:v>
                </c:pt>
                <c:pt idx="460">
                  <c:v>45752</c:v>
                </c:pt>
                <c:pt idx="461">
                  <c:v>45753</c:v>
                </c:pt>
                <c:pt idx="462">
                  <c:v>45754</c:v>
                </c:pt>
                <c:pt idx="463">
                  <c:v>45755</c:v>
                </c:pt>
                <c:pt idx="464">
                  <c:v>45756</c:v>
                </c:pt>
                <c:pt idx="465">
                  <c:v>45757</c:v>
                </c:pt>
                <c:pt idx="466">
                  <c:v>45758</c:v>
                </c:pt>
                <c:pt idx="467">
                  <c:v>45759</c:v>
                </c:pt>
                <c:pt idx="468">
                  <c:v>45760</c:v>
                </c:pt>
                <c:pt idx="469">
                  <c:v>45761</c:v>
                </c:pt>
                <c:pt idx="470">
                  <c:v>45762</c:v>
                </c:pt>
                <c:pt idx="471">
                  <c:v>45763</c:v>
                </c:pt>
                <c:pt idx="472">
                  <c:v>45764</c:v>
                </c:pt>
                <c:pt idx="473">
                  <c:v>45765</c:v>
                </c:pt>
                <c:pt idx="474">
                  <c:v>45766</c:v>
                </c:pt>
                <c:pt idx="475">
                  <c:v>45767</c:v>
                </c:pt>
                <c:pt idx="476">
                  <c:v>45768</c:v>
                </c:pt>
                <c:pt idx="477">
                  <c:v>45769</c:v>
                </c:pt>
                <c:pt idx="478">
                  <c:v>45770</c:v>
                </c:pt>
                <c:pt idx="479">
                  <c:v>45771</c:v>
                </c:pt>
                <c:pt idx="480">
                  <c:v>45772</c:v>
                </c:pt>
                <c:pt idx="481">
                  <c:v>45773</c:v>
                </c:pt>
                <c:pt idx="482">
                  <c:v>45774</c:v>
                </c:pt>
                <c:pt idx="483">
                  <c:v>45775</c:v>
                </c:pt>
                <c:pt idx="484">
                  <c:v>45776</c:v>
                </c:pt>
                <c:pt idx="485">
                  <c:v>45777</c:v>
                </c:pt>
                <c:pt idx="486">
                  <c:v>45778</c:v>
                </c:pt>
                <c:pt idx="487">
                  <c:v>45779</c:v>
                </c:pt>
                <c:pt idx="488">
                  <c:v>45780</c:v>
                </c:pt>
                <c:pt idx="489">
                  <c:v>45781</c:v>
                </c:pt>
                <c:pt idx="490">
                  <c:v>45782</c:v>
                </c:pt>
                <c:pt idx="491">
                  <c:v>45783</c:v>
                </c:pt>
                <c:pt idx="492">
                  <c:v>45784</c:v>
                </c:pt>
                <c:pt idx="493">
                  <c:v>45785</c:v>
                </c:pt>
                <c:pt idx="494">
                  <c:v>45786</c:v>
                </c:pt>
                <c:pt idx="495">
                  <c:v>45787</c:v>
                </c:pt>
                <c:pt idx="496">
                  <c:v>45788</c:v>
                </c:pt>
                <c:pt idx="497">
                  <c:v>45789</c:v>
                </c:pt>
                <c:pt idx="498">
                  <c:v>45790</c:v>
                </c:pt>
                <c:pt idx="499">
                  <c:v>45791</c:v>
                </c:pt>
                <c:pt idx="500">
                  <c:v>45792</c:v>
                </c:pt>
                <c:pt idx="501">
                  <c:v>45793</c:v>
                </c:pt>
                <c:pt idx="502">
                  <c:v>45794</c:v>
                </c:pt>
                <c:pt idx="503">
                  <c:v>45795</c:v>
                </c:pt>
                <c:pt idx="504">
                  <c:v>45796</c:v>
                </c:pt>
                <c:pt idx="505">
                  <c:v>45797</c:v>
                </c:pt>
                <c:pt idx="506">
                  <c:v>45798</c:v>
                </c:pt>
                <c:pt idx="507">
                  <c:v>45799</c:v>
                </c:pt>
                <c:pt idx="508">
                  <c:v>45800</c:v>
                </c:pt>
                <c:pt idx="509">
                  <c:v>45801</c:v>
                </c:pt>
                <c:pt idx="510">
                  <c:v>45802</c:v>
                </c:pt>
                <c:pt idx="511">
                  <c:v>45803</c:v>
                </c:pt>
                <c:pt idx="512">
                  <c:v>45804</c:v>
                </c:pt>
                <c:pt idx="513">
                  <c:v>45805</c:v>
                </c:pt>
                <c:pt idx="514">
                  <c:v>45806</c:v>
                </c:pt>
                <c:pt idx="515">
                  <c:v>45807</c:v>
                </c:pt>
                <c:pt idx="516">
                  <c:v>45808</c:v>
                </c:pt>
                <c:pt idx="517">
                  <c:v>45809</c:v>
                </c:pt>
                <c:pt idx="518">
                  <c:v>45810</c:v>
                </c:pt>
                <c:pt idx="519">
                  <c:v>45811</c:v>
                </c:pt>
                <c:pt idx="520">
                  <c:v>45812</c:v>
                </c:pt>
                <c:pt idx="521">
                  <c:v>45813</c:v>
                </c:pt>
                <c:pt idx="522">
                  <c:v>45814</c:v>
                </c:pt>
                <c:pt idx="523">
                  <c:v>45815</c:v>
                </c:pt>
                <c:pt idx="524">
                  <c:v>45816</c:v>
                </c:pt>
                <c:pt idx="525">
                  <c:v>45817</c:v>
                </c:pt>
                <c:pt idx="526">
                  <c:v>45818</c:v>
                </c:pt>
                <c:pt idx="527">
                  <c:v>45819</c:v>
                </c:pt>
                <c:pt idx="528">
                  <c:v>45820</c:v>
                </c:pt>
                <c:pt idx="529">
                  <c:v>45821</c:v>
                </c:pt>
                <c:pt idx="530">
                  <c:v>45822</c:v>
                </c:pt>
                <c:pt idx="531">
                  <c:v>45823</c:v>
                </c:pt>
                <c:pt idx="532">
                  <c:v>45824</c:v>
                </c:pt>
                <c:pt idx="533">
                  <c:v>45825</c:v>
                </c:pt>
                <c:pt idx="534">
                  <c:v>45826</c:v>
                </c:pt>
                <c:pt idx="535">
                  <c:v>45827</c:v>
                </c:pt>
                <c:pt idx="536">
                  <c:v>45828</c:v>
                </c:pt>
                <c:pt idx="537">
                  <c:v>45829</c:v>
                </c:pt>
                <c:pt idx="538">
                  <c:v>45830</c:v>
                </c:pt>
                <c:pt idx="539">
                  <c:v>45831</c:v>
                </c:pt>
                <c:pt idx="540">
                  <c:v>45832</c:v>
                </c:pt>
                <c:pt idx="541">
                  <c:v>45833</c:v>
                </c:pt>
                <c:pt idx="542">
                  <c:v>45834</c:v>
                </c:pt>
                <c:pt idx="543">
                  <c:v>45835</c:v>
                </c:pt>
                <c:pt idx="544">
                  <c:v>45836</c:v>
                </c:pt>
                <c:pt idx="545">
                  <c:v>45837</c:v>
                </c:pt>
                <c:pt idx="546">
                  <c:v>45838</c:v>
                </c:pt>
              </c:numCache>
            </c:numRef>
          </c:cat>
          <c:val>
            <c:numRef>
              <c:f>'2025 Forecast'!$D$2:$D$548</c:f>
              <c:numCache>
                <c:formatCode>General</c:formatCode>
                <c:ptCount val="547"/>
                <c:pt idx="365" formatCode="#,##0">
                  <c:v>13781</c:v>
                </c:pt>
                <c:pt idx="366" formatCode="#,##0">
                  <c:v>10444.704067094932</c:v>
                </c:pt>
                <c:pt idx="367" formatCode="#,##0">
                  <c:v>9531.9512220866836</c:v>
                </c:pt>
                <c:pt idx="368" formatCode="#,##0">
                  <c:v>8844.4423946775023</c:v>
                </c:pt>
                <c:pt idx="369" formatCode="#,##0">
                  <c:v>8407.340732390152</c:v>
                </c:pt>
                <c:pt idx="370" formatCode="#,##0">
                  <c:v>7503.9441589453645</c:v>
                </c:pt>
                <c:pt idx="371" formatCode="#,##0">
                  <c:v>4565.025992145067</c:v>
                </c:pt>
                <c:pt idx="372" formatCode="#,##0">
                  <c:v>4369.3765265233778</c:v>
                </c:pt>
                <c:pt idx="373" formatCode="#,##0">
                  <c:v>4114.8694072683502</c:v>
                </c:pt>
                <c:pt idx="374" formatCode="#,##0">
                  <c:v>3948.044907240901</c:v>
                </c:pt>
                <c:pt idx="375" formatCode="#,##0">
                  <c:v>3759.3925320304006</c:v>
                </c:pt>
                <c:pt idx="376" formatCode="#,##0">
                  <c:v>3693.6028901892096</c:v>
                </c:pt>
                <c:pt idx="377" formatCode="#,##0">
                  <c:v>3082.9774074350298</c:v>
                </c:pt>
                <c:pt idx="378" formatCode="#,##0">
                  <c:v>383.60734905737991</c:v>
                </c:pt>
                <c:pt idx="379" formatCode="#,##0">
                  <c:v>389.15330481009005</c:v>
                </c:pt>
                <c:pt idx="380" formatCode="#,##0">
                  <c:v>344.06920908010943</c:v>
                </c:pt>
                <c:pt idx="381" formatCode="#,##0">
                  <c:v>322.58651804581677</c:v>
                </c:pt>
                <c:pt idx="382" formatCode="#,##0">
                  <c:v>262.26452024973332</c:v>
                </c:pt>
                <c:pt idx="383" formatCode="#,##0">
                  <c:v>310.90465270057575</c:v>
                </c:pt>
                <c:pt idx="384" formatCode="#,##0">
                  <c:v>-196.83441383268109</c:v>
                </c:pt>
                <c:pt idx="385" formatCode="#,##0">
                  <c:v>-2803.0353296480589</c:v>
                </c:pt>
                <c:pt idx="386" formatCode="#,##0">
                  <c:v>-2712.5962804816481</c:v>
                </c:pt>
                <c:pt idx="387" formatCode="#,##0">
                  <c:v>-2662.3838487452267</c:v>
                </c:pt>
                <c:pt idx="388" formatCode="#,##0">
                  <c:v>-2613.6199350906027</c:v>
                </c:pt>
                <c:pt idx="389" formatCode="#,##0">
                  <c:v>-2608.9391850111951</c:v>
                </c:pt>
                <c:pt idx="390" formatCode="#,##0">
                  <c:v>-2499.923165275266</c:v>
                </c:pt>
                <c:pt idx="391" formatCode="#,##0">
                  <c:v>-2951.3938560839415</c:v>
                </c:pt>
                <c:pt idx="392" formatCode="#,##0">
                  <c:v>-5504.9930725304293</c:v>
                </c:pt>
                <c:pt idx="393" formatCode="#,##0">
                  <c:v>-5365.2419632139499</c:v>
                </c:pt>
                <c:pt idx="394" formatCode="#,##0">
                  <c:v>-5257.9858536907213</c:v>
                </c:pt>
                <c:pt idx="395" formatCode="#,##0">
                  <c:v>-5166.1619099363834</c:v>
                </c:pt>
                <c:pt idx="396" formatCode="#,##0">
                  <c:v>-5120.8055111334215</c:v>
                </c:pt>
                <c:pt idx="397" formatCode="#,##0">
                  <c:v>-4973.2898181941455</c:v>
                </c:pt>
                <c:pt idx="398" formatCode="#,##0">
                  <c:v>-5388.2530890837643</c:v>
                </c:pt>
                <c:pt idx="399" formatCode="#,##0">
                  <c:v>-7907.1744522203735</c:v>
                </c:pt>
                <c:pt idx="400" formatCode="#,##0">
                  <c:v>-7734.4303973155711</c:v>
                </c:pt>
                <c:pt idx="401" formatCode="#,##0">
                  <c:v>-7588.3530456726694</c:v>
                </c:pt>
                <c:pt idx="402" formatCode="#,##0">
                  <c:v>-7466.8628842071521</c:v>
                </c:pt>
                <c:pt idx="403" formatCode="#,##0">
                  <c:v>-7393.1529193662063</c:v>
                </c:pt>
                <c:pt idx="404" formatCode="#,##0">
                  <c:v>-7218.5048001159448</c:v>
                </c:pt>
                <c:pt idx="405" formatCode="#,##0">
                  <c:v>-7607.4739554248245</c:v>
                </c:pt>
                <c:pt idx="406" formatCode="#,##0">
                  <c:v>-10101.464334682521</c:v>
                </c:pt>
                <c:pt idx="407" formatCode="#,##0">
                  <c:v>-9904.7840122044126</c:v>
                </c:pt>
                <c:pt idx="408" formatCode="#,##0">
                  <c:v>-9730.2182935499077</c:v>
                </c:pt>
                <c:pt idx="409" formatCode="#,##0">
                  <c:v>-9586.8037860173026</c:v>
                </c:pt>
                <c:pt idx="410" formatCode="#,##0">
                  <c:v>-9491.98035544493</c:v>
                </c:pt>
                <c:pt idx="411" formatCode="#,##0">
                  <c:v>-9296.982571961029</c:v>
                </c:pt>
                <c:pt idx="412" formatCode="#,##0">
                  <c:v>-9666.322516140659</c:v>
                </c:pt>
                <c:pt idx="413" formatCode="#,##0">
                  <c:v>-12141.364147599983</c:v>
                </c:pt>
                <c:pt idx="414" formatCode="#,##0">
                  <c:v>-11926.378582046935</c:v>
                </c:pt>
                <c:pt idx="415" formatCode="#,##0">
                  <c:v>-11729.840069080603</c:v>
                </c:pt>
                <c:pt idx="416" formatCode="#,##0">
                  <c:v>-11569.443914610763</c:v>
                </c:pt>
                <c:pt idx="417" formatCode="#,##0">
                  <c:v>-11458.180033124885</c:v>
                </c:pt>
                <c:pt idx="418" formatCode="#,##0">
                  <c:v>-11247.25605241083</c:v>
                </c:pt>
                <c:pt idx="419" formatCode="#,##0">
                  <c:v>-11601.158944587516</c:v>
                </c:pt>
                <c:pt idx="420" formatCode="#,##0">
                  <c:v>-14061.229237316129</c:v>
                </c:pt>
                <c:pt idx="421" formatCode="#,##0">
                  <c:v>-13831.71614967719</c:v>
                </c:pt>
                <c:pt idx="422" formatCode="#,##0">
                  <c:v>-13617.620029740279</c:v>
                </c:pt>
                <c:pt idx="423" formatCode="#,##0">
                  <c:v>-13443.620680712385</c:v>
                </c:pt>
                <c:pt idx="424" formatCode="#,##0">
                  <c:v>-13319.135469610521</c:v>
                </c:pt>
                <c:pt idx="425" formatCode="#,##0">
                  <c:v>-13095.355375966343</c:v>
                </c:pt>
                <c:pt idx="426" formatCode="#,##0">
                  <c:v>-13436.75171722308</c:v>
                </c:pt>
                <c:pt idx="427" formatCode="#,##0">
                  <c:v>-15884.650285054915</c:v>
                </c:pt>
                <c:pt idx="428" formatCode="#,##0">
                  <c:v>-15643.28641313932</c:v>
                </c:pt>
                <c:pt idx="429" formatCode="#,##0">
                  <c:v>-15414.784855030946</c:v>
                </c:pt>
                <c:pt idx="430" formatCode="#,##0">
                  <c:v>-15229.609664325788</c:v>
                </c:pt>
                <c:pt idx="431" formatCode="#,##0">
                  <c:v>-15094.229602327983</c:v>
                </c:pt>
                <c:pt idx="432" formatCode="#,##0">
                  <c:v>-14859.824747209017</c:v>
                </c:pt>
                <c:pt idx="433" formatCode="#,##0">
                  <c:v>-15190.856094449558</c:v>
                </c:pt>
                <c:pt idx="434" formatCode="#,##0">
                  <c:v>-17628.639654215003</c:v>
                </c:pt>
                <c:pt idx="435" formatCode="#,##0">
                  <c:v>-17377.401483335576</c:v>
                </c:pt>
                <c:pt idx="436" formatCode="#,##0">
                  <c:v>-17136.835913184084</c:v>
                </c:pt>
                <c:pt idx="437" formatCode="#,##0">
                  <c:v>-16942.29662386034</c:v>
                </c:pt>
                <c:pt idx="438" formatCode="#,##0">
                  <c:v>-16797.76612370391</c:v>
                </c:pt>
                <c:pt idx="439" formatCode="#,##0">
                  <c:v>-16554.417021223733</c:v>
                </c:pt>
                <c:pt idx="440" formatCode="#,##0">
                  <c:v>-16876.70320015405</c:v>
                </c:pt>
                <c:pt idx="441" formatCode="#,##0">
                  <c:v>-19305.933895119419</c:v>
                </c:pt>
                <c:pt idx="442" formatCode="#,##0">
                  <c:v>-19046.328703491781</c:v>
                </c:pt>
                <c:pt idx="443" formatCode="#,##0">
                  <c:v>-18795.493351834164</c:v>
                </c:pt>
                <c:pt idx="444" formatCode="#,##0">
                  <c:v>-18592.983525364929</c:v>
                </c:pt>
                <c:pt idx="445" formatCode="#,##0">
                  <c:v>-18440.649291982751</c:v>
                </c:pt>
                <c:pt idx="446" formatCode="#,##0">
                  <c:v>-18189.657951665118</c:v>
                </c:pt>
                <c:pt idx="447" formatCode="#,##0">
                  <c:v>-18504.458311215232</c:v>
                </c:pt>
                <c:pt idx="448" formatCode="#,##0">
                  <c:v>-20926.354747125624</c:v>
                </c:pt>
                <c:pt idx="449" formatCode="#,##0">
                  <c:v>-20659.562205487495</c:v>
                </c:pt>
                <c:pt idx="450" formatCode="#,##0">
                  <c:v>-20399.86698903174</c:v>
                </c:pt>
                <c:pt idx="451" formatCode="#,##0">
                  <c:v>-20190.484970748206</c:v>
                </c:pt>
                <c:pt idx="452" formatCode="#,##0">
                  <c:v>-20031.41161908799</c:v>
                </c:pt>
                <c:pt idx="453" formatCode="#,##0">
                  <c:v>-19773.810346443999</c:v>
                </c:pt>
                <c:pt idx="454" formatCode="#,##0">
                  <c:v>-20082.126227731169</c:v>
                </c:pt>
                <c:pt idx="455" formatCode="#,##0">
                  <c:v>-22497.660055344997</c:v>
                </c:pt>
                <c:pt idx="456" formatCode="#,##0">
                  <c:v>-22224.623331650426</c:v>
                </c:pt>
                <c:pt idx="457" formatCode="#,##0">
                  <c:v>-21957.199369928014</c:v>
                </c:pt>
                <c:pt idx="458" formatCode="#,##0">
                  <c:v>-21741.828445724619</c:v>
                </c:pt>
                <c:pt idx="459" formatCode="#,##0">
                  <c:v>-21576.874291314631</c:v>
                </c:pt>
                <c:pt idx="460" formatCode="#,##0">
                  <c:v>-21313.497399715958</c:v>
                </c:pt>
                <c:pt idx="461" formatCode="#,##0">
                  <c:v>-21616.140034537457</c:v>
                </c:pt>
                <c:pt idx="462" formatCode="#,##0">
                  <c:v>-24026.100279863513</c:v>
                </c:pt>
                <c:pt idx="463" formatCode="#,##0">
                  <c:v>-23747.587027956644</c:v>
                </c:pt>
                <c:pt idx="464" formatCode="#,##0">
                  <c:v>-23473.357682780173</c:v>
                </c:pt>
                <c:pt idx="465" formatCode="#,##0">
                  <c:v>-23252.720322394885</c:v>
                </c:pt>
                <c:pt idx="466" formatCode="#,##0">
                  <c:v>-23082.588909310653</c:v>
                </c:pt>
                <c:pt idx="467" formatCode="#,##0">
                  <c:v>-22814.121696999595</c:v>
                </c:pt>
                <c:pt idx="468" formatCode="#,##0">
                  <c:v>-23111.758786601149</c:v>
                </c:pt>
                <c:pt idx="469" formatCode="#,##0">
                  <c:v>-25516.796173440755</c:v>
                </c:pt>
                <c:pt idx="470" formatCode="#,##0">
                  <c:v>-25233.440731544222</c:v>
                </c:pt>
                <c:pt idx="471" formatCode="#,##0">
                  <c:v>-24953.170996984198</c:v>
                </c:pt>
                <c:pt idx="472" formatCode="#,##0">
                  <c:v>-24727.866728514113</c:v>
                </c:pt>
                <c:pt idx="473" formatCode="#,##0">
                  <c:v>-24553.142949687513</c:v>
                </c:pt>
                <c:pt idx="474" formatCode="#,##0">
                  <c:v>-24280.15616416133</c:v>
                </c:pt>
                <c:pt idx="475" formatCode="#,##0">
                  <c:v>-24573.344779531581</c:v>
                </c:pt>
                <c:pt idx="476" formatCode="#,##0">
                  <c:v>-26974.003151555145</c:v>
                </c:pt>
                <c:pt idx="477" formatCode="#,##0">
                  <c:v>-26686.336566480684</c:v>
                </c:pt>
                <c:pt idx="478" formatCode="#,##0">
                  <c:v>-26400.668355542832</c:v>
                </c:pt>
                <c:pt idx="479" formatCode="#,##0">
                  <c:v>-26171.200923356657</c:v>
                </c:pt>
                <c:pt idx="480" formatCode="#,##0">
                  <c:v>-25992.377007943185</c:v>
                </c:pt>
                <c:pt idx="481" formatCode="#,##0">
                  <c:v>-25715.351723824999</c:v>
                </c:pt>
                <c:pt idx="482" formatCode="#,##0">
                  <c:v>-26004.562131389946</c:v>
                </c:pt>
                <c:pt idx="483" formatCode="#,##0">
                  <c:v>-28401.301279506413</c:v>
                </c:pt>
                <c:pt idx="484" formatCode="#,##0">
                  <c:v>-28109.773186322163</c:v>
                </c:pt>
                <c:pt idx="485" formatCode="#,##0">
                  <c:v>-27819.251138319636</c:v>
                </c:pt>
                <c:pt idx="486" formatCode="#,##0">
                  <c:v>-27586.048427247122</c:v>
                </c:pt>
                <c:pt idx="487" formatCode="#,##0">
                  <c:v>-27403.543061696422</c:v>
                </c:pt>
                <c:pt idx="488" formatCode="#,##0">
                  <c:v>-27122.889037869885</c:v>
                </c:pt>
                <c:pt idx="489" formatCode="#,##0">
                  <c:v>-27408.52232963487</c:v>
                </c:pt>
                <c:pt idx="490" formatCode="#,##0">
                  <c:v>-29801.734929990853</c:v>
                </c:pt>
                <c:pt idx="491" formatCode="#,##0">
                  <c:v>-29506.729830770255</c:v>
                </c:pt>
                <c:pt idx="492" formatCode="#,##0">
                  <c:v>-29211.820573248959</c:v>
                </c:pt>
                <c:pt idx="493" formatCode="#,##0">
                  <c:v>-28975.249519525714</c:v>
                </c:pt>
                <c:pt idx="494" formatCode="#,##0">
                  <c:v>-28789.422194004557</c:v>
                </c:pt>
                <c:pt idx="495" formatCode="#,##0">
                  <c:v>-28505.49168138958</c:v>
                </c:pt>
                <c:pt idx="496" formatCode="#,##0">
                  <c:v>-28787.893068552636</c:v>
                </c:pt>
                <c:pt idx="497" formatCode="#,##0">
                  <c:v>-31177.917485163944</c:v>
                </c:pt>
                <c:pt idx="498" formatCode="#,##0">
                  <c:v>-30879.767082590901</c:v>
                </c:pt>
                <c:pt idx="499" formatCode="#,##0">
                  <c:v>-30580.873866240268</c:v>
                </c:pt>
                <c:pt idx="500" formatCode="#,##0">
                  <c:v>-30341.251813220584</c:v>
                </c:pt>
                <c:pt idx="501" formatCode="#,##0">
                  <c:v>-30152.413771996497</c:v>
                </c:pt>
                <c:pt idx="502" formatCode="#,##0">
                  <c:v>-29865.51207612281</c:v>
                </c:pt>
                <c:pt idx="503" formatCode="#,##0">
                  <c:v>-30144.981080469399</c:v>
                </c:pt>
                <c:pt idx="504" formatCode="#,##0">
                  <c:v>-32532.111201231983</c:v>
                </c:pt>
                <c:pt idx="505" formatCode="#,##0">
                  <c:v>-32231.103894235304</c:v>
                </c:pt>
                <c:pt idx="506" formatCode="#,##0">
                  <c:v>-31928.577888699074</c:v>
                </c:pt>
                <c:pt idx="507" formatCode="#,##0">
                  <c:v>-31686.181369722512</c:v>
                </c:pt>
                <c:pt idx="508" formatCode="#,##0">
                  <c:v>-31494.604097478812</c:v>
                </c:pt>
                <c:pt idx="509" formatCode="#,##0">
                  <c:v>-31204.997780375939</c:v>
                </c:pt>
                <c:pt idx="510" formatCode="#,##0">
                  <c:v>-31481.796163289244</c:v>
                </c:pt>
                <c:pt idx="511" formatCode="#,##0">
                  <c:v>-33866.289067105608</c:v>
                </c:pt>
                <c:pt idx="512" formatCode="#,##0">
                  <c:v>-33562.6773665777</c:v>
                </c:pt>
                <c:pt idx="513" formatCode="#,##0">
                  <c:v>-33256.826502090138</c:v>
                </c:pt>
                <c:pt idx="514" formatCode="#,##0">
                  <c:v>-33011.89812766682</c:v>
                </c:pt>
                <c:pt idx="515" formatCode="#,##0">
                  <c:v>-32817.820016053811</c:v>
                </c:pt>
                <c:pt idx="516" formatCode="#,##0">
                  <c:v>-32525.743350729768</c:v>
                </c:pt>
                <c:pt idx="517" formatCode="#,##0">
                  <c:v>-32800.101363768525</c:v>
                </c:pt>
                <c:pt idx="518" formatCode="#,##0">
                  <c:v>-35182.1833750273</c:v>
                </c:pt>
                <c:pt idx="519" formatCode="#,##0">
                  <c:v>-34876.189769657685</c:v>
                </c:pt>
                <c:pt idx="520" formatCode="#,##0">
                  <c:v>-34567.285745204121</c:v>
                </c:pt>
                <c:pt idx="521" formatCode="#,##0">
                  <c:v>-34320.039670844621</c:v>
                </c:pt>
                <c:pt idx="522" formatCode="#,##0">
                  <c:v>-34123.671319671164</c:v>
                </c:pt>
                <c:pt idx="523" formatCode="#,##0">
                  <c:v>-33829.331430817758</c:v>
                </c:pt>
                <c:pt idx="524" formatCode="#,##0">
                  <c:v>-34101.452801821077</c:v>
                </c:pt>
                <c:pt idx="525" formatCode="#,##0">
                  <c:v>-36481.324327533788</c:v>
                </c:pt>
                <c:pt idx="526" formatCode="#,##0">
                  <c:v>-36173.145977369815</c:v>
                </c:pt>
                <c:pt idx="527" formatCode="#,##0">
                  <c:v>-35861.429878842253</c:v>
                </c:pt>
                <c:pt idx="528" formatCode="#,##0">
                  <c:v>-35612.056194718658</c:v>
                </c:pt>
                <c:pt idx="529" formatCode="#,##0">
                  <c:v>-35413.584674036836</c:v>
                </c:pt>
                <c:pt idx="530" formatCode="#,##0">
                  <c:v>-35117.165677029996</c:v>
                </c:pt>
                <c:pt idx="531" formatCode="#,##0">
                  <c:v>-35387.231630339957</c:v>
                </c:pt>
                <c:pt idx="532" formatCode="#,##0">
                  <c:v>-37765.071065715529</c:v>
                </c:pt>
                <c:pt idx="533" formatCode="#,##0">
                  <c:v>-37454.883597049964</c:v>
                </c:pt>
                <c:pt idx="534" formatCode="#,##0">
                  <c:v>-37140.570447547696</c:v>
                </c:pt>
                <c:pt idx="535" formatCode="#,##0">
                  <c:v>-36889.238738399195</c:v>
                </c:pt>
                <c:pt idx="536" formatCode="#,##0">
                  <c:v>-36688.831049529748</c:v>
                </c:pt>
                <c:pt idx="537" formatCode="#,##0">
                  <c:v>-36390.497415902573</c:v>
                </c:pt>
                <c:pt idx="538" formatCode="#,##0">
                  <c:v>-36658.669945481066</c:v>
                </c:pt>
                <c:pt idx="539" formatCode="#,##0">
                  <c:v>-39034.63685775749</c:v>
                </c:pt>
                <c:pt idx="540" formatCode="#,##0">
                  <c:v>-38722.597460626079</c:v>
                </c:pt>
                <c:pt idx="541" formatCode="#,##0">
                  <c:v>-38405.879940461622</c:v>
                </c:pt>
                <c:pt idx="542" formatCode="#,##0">
                  <c:v>-38152.742199307148</c:v>
                </c:pt>
                <c:pt idx="543" formatCode="#,##0">
                  <c:v>-37950.548111049335</c:v>
                </c:pt>
                <c:pt idx="544" formatCode="#,##0">
                  <c:v>-37650.447429697197</c:v>
                </c:pt>
                <c:pt idx="545" formatCode="#,##0">
                  <c:v>-37916.871987729799</c:v>
                </c:pt>
                <c:pt idx="546" formatCode="#,##0">
                  <c:v>-40291.109734489815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75-430B-83E2-B6470A34F8A5}"/>
            </c:ext>
          </c:extLst>
        </c:ser>
        <c:ser>
          <c:idx val="3"/>
          <c:order val="3"/>
          <c:tx>
            <c:strRef>
              <c:f>'2025 Forecast'!$E$1</c:f>
              <c:strCache>
                <c:ptCount val="1"/>
                <c:pt idx="0">
                  <c:v>Upper Confidence Bound(Sum of Handled_Calls)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'2025 Forecast'!$A$2:$A$548</c:f>
              <c:numCache>
                <c:formatCode>m/d/yyyy</c:formatCode>
                <c:ptCount val="547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45445</c:v>
                </c:pt>
                <c:pt idx="154">
                  <c:v>45446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45451</c:v>
                </c:pt>
                <c:pt idx="160">
                  <c:v>45452</c:v>
                </c:pt>
                <c:pt idx="161">
                  <c:v>45453</c:v>
                </c:pt>
                <c:pt idx="162">
                  <c:v>45454</c:v>
                </c:pt>
                <c:pt idx="163">
                  <c:v>45455</c:v>
                </c:pt>
                <c:pt idx="164">
                  <c:v>45456</c:v>
                </c:pt>
                <c:pt idx="165">
                  <c:v>45457</c:v>
                </c:pt>
                <c:pt idx="166">
                  <c:v>45458</c:v>
                </c:pt>
                <c:pt idx="167">
                  <c:v>45459</c:v>
                </c:pt>
                <c:pt idx="168">
                  <c:v>45460</c:v>
                </c:pt>
                <c:pt idx="169">
                  <c:v>45461</c:v>
                </c:pt>
                <c:pt idx="170">
                  <c:v>45462</c:v>
                </c:pt>
                <c:pt idx="171">
                  <c:v>45463</c:v>
                </c:pt>
                <c:pt idx="172">
                  <c:v>45464</c:v>
                </c:pt>
                <c:pt idx="173">
                  <c:v>45465</c:v>
                </c:pt>
                <c:pt idx="174">
                  <c:v>45466</c:v>
                </c:pt>
                <c:pt idx="175">
                  <c:v>45467</c:v>
                </c:pt>
                <c:pt idx="176">
                  <c:v>45468</c:v>
                </c:pt>
                <c:pt idx="177">
                  <c:v>45469</c:v>
                </c:pt>
                <c:pt idx="178">
                  <c:v>45470</c:v>
                </c:pt>
                <c:pt idx="179">
                  <c:v>45471</c:v>
                </c:pt>
                <c:pt idx="180">
                  <c:v>45472</c:v>
                </c:pt>
                <c:pt idx="181">
                  <c:v>45473</c:v>
                </c:pt>
                <c:pt idx="182">
                  <c:v>45474</c:v>
                </c:pt>
                <c:pt idx="183">
                  <c:v>45475</c:v>
                </c:pt>
                <c:pt idx="184">
                  <c:v>45476</c:v>
                </c:pt>
                <c:pt idx="185">
                  <c:v>45477</c:v>
                </c:pt>
                <c:pt idx="186">
                  <c:v>45478</c:v>
                </c:pt>
                <c:pt idx="187">
                  <c:v>45479</c:v>
                </c:pt>
                <c:pt idx="188">
                  <c:v>45480</c:v>
                </c:pt>
                <c:pt idx="189">
                  <c:v>45481</c:v>
                </c:pt>
                <c:pt idx="190">
                  <c:v>45482</c:v>
                </c:pt>
                <c:pt idx="191">
                  <c:v>45483</c:v>
                </c:pt>
                <c:pt idx="192">
                  <c:v>45484</c:v>
                </c:pt>
                <c:pt idx="193">
                  <c:v>45485</c:v>
                </c:pt>
                <c:pt idx="194">
                  <c:v>45486</c:v>
                </c:pt>
                <c:pt idx="195">
                  <c:v>45487</c:v>
                </c:pt>
                <c:pt idx="196">
                  <c:v>45488</c:v>
                </c:pt>
                <c:pt idx="197">
                  <c:v>45489</c:v>
                </c:pt>
                <c:pt idx="198">
                  <c:v>45490</c:v>
                </c:pt>
                <c:pt idx="199">
                  <c:v>45491</c:v>
                </c:pt>
                <c:pt idx="200">
                  <c:v>45492</c:v>
                </c:pt>
                <c:pt idx="201">
                  <c:v>45493</c:v>
                </c:pt>
                <c:pt idx="202">
                  <c:v>45494</c:v>
                </c:pt>
                <c:pt idx="203">
                  <c:v>45495</c:v>
                </c:pt>
                <c:pt idx="204">
                  <c:v>45496</c:v>
                </c:pt>
                <c:pt idx="205">
                  <c:v>45497</c:v>
                </c:pt>
                <c:pt idx="206">
                  <c:v>45498</c:v>
                </c:pt>
                <c:pt idx="207">
                  <c:v>45499</c:v>
                </c:pt>
                <c:pt idx="208">
                  <c:v>45500</c:v>
                </c:pt>
                <c:pt idx="209">
                  <c:v>45501</c:v>
                </c:pt>
                <c:pt idx="210">
                  <c:v>45502</c:v>
                </c:pt>
                <c:pt idx="211">
                  <c:v>45503</c:v>
                </c:pt>
                <c:pt idx="212">
                  <c:v>45504</c:v>
                </c:pt>
                <c:pt idx="213">
                  <c:v>45505</c:v>
                </c:pt>
                <c:pt idx="214">
                  <c:v>45506</c:v>
                </c:pt>
                <c:pt idx="215">
                  <c:v>45507</c:v>
                </c:pt>
                <c:pt idx="216">
                  <c:v>45508</c:v>
                </c:pt>
                <c:pt idx="217">
                  <c:v>45509</c:v>
                </c:pt>
                <c:pt idx="218">
                  <c:v>45510</c:v>
                </c:pt>
                <c:pt idx="219">
                  <c:v>45511</c:v>
                </c:pt>
                <c:pt idx="220">
                  <c:v>45512</c:v>
                </c:pt>
                <c:pt idx="221">
                  <c:v>45513</c:v>
                </c:pt>
                <c:pt idx="222">
                  <c:v>45514</c:v>
                </c:pt>
                <c:pt idx="223">
                  <c:v>45515</c:v>
                </c:pt>
                <c:pt idx="224">
                  <c:v>45516</c:v>
                </c:pt>
                <c:pt idx="225">
                  <c:v>45517</c:v>
                </c:pt>
                <c:pt idx="226">
                  <c:v>45518</c:v>
                </c:pt>
                <c:pt idx="227">
                  <c:v>45519</c:v>
                </c:pt>
                <c:pt idx="228">
                  <c:v>45520</c:v>
                </c:pt>
                <c:pt idx="229">
                  <c:v>45521</c:v>
                </c:pt>
                <c:pt idx="230">
                  <c:v>45522</c:v>
                </c:pt>
                <c:pt idx="231">
                  <c:v>45523</c:v>
                </c:pt>
                <c:pt idx="232">
                  <c:v>45524</c:v>
                </c:pt>
                <c:pt idx="233">
                  <c:v>45525</c:v>
                </c:pt>
                <c:pt idx="234">
                  <c:v>45526</c:v>
                </c:pt>
                <c:pt idx="235">
                  <c:v>45527</c:v>
                </c:pt>
                <c:pt idx="236">
                  <c:v>45528</c:v>
                </c:pt>
                <c:pt idx="237">
                  <c:v>45529</c:v>
                </c:pt>
                <c:pt idx="238">
                  <c:v>45530</c:v>
                </c:pt>
                <c:pt idx="239">
                  <c:v>45531</c:v>
                </c:pt>
                <c:pt idx="240">
                  <c:v>45532</c:v>
                </c:pt>
                <c:pt idx="241">
                  <c:v>45533</c:v>
                </c:pt>
                <c:pt idx="242">
                  <c:v>45534</c:v>
                </c:pt>
                <c:pt idx="243">
                  <c:v>45535</c:v>
                </c:pt>
                <c:pt idx="244">
                  <c:v>45536</c:v>
                </c:pt>
                <c:pt idx="245">
                  <c:v>45537</c:v>
                </c:pt>
                <c:pt idx="246">
                  <c:v>45538</c:v>
                </c:pt>
                <c:pt idx="247">
                  <c:v>45539</c:v>
                </c:pt>
                <c:pt idx="248">
                  <c:v>45540</c:v>
                </c:pt>
                <c:pt idx="249">
                  <c:v>45541</c:v>
                </c:pt>
                <c:pt idx="250">
                  <c:v>45542</c:v>
                </c:pt>
                <c:pt idx="251">
                  <c:v>45543</c:v>
                </c:pt>
                <c:pt idx="252">
                  <c:v>45544</c:v>
                </c:pt>
                <c:pt idx="253">
                  <c:v>45545</c:v>
                </c:pt>
                <c:pt idx="254">
                  <c:v>45546</c:v>
                </c:pt>
                <c:pt idx="255">
                  <c:v>45547</c:v>
                </c:pt>
                <c:pt idx="256">
                  <c:v>45548</c:v>
                </c:pt>
                <c:pt idx="257">
                  <c:v>45549</c:v>
                </c:pt>
                <c:pt idx="258">
                  <c:v>45550</c:v>
                </c:pt>
                <c:pt idx="259">
                  <c:v>45551</c:v>
                </c:pt>
                <c:pt idx="260">
                  <c:v>45552</c:v>
                </c:pt>
                <c:pt idx="261">
                  <c:v>45553</c:v>
                </c:pt>
                <c:pt idx="262">
                  <c:v>45554</c:v>
                </c:pt>
                <c:pt idx="263">
                  <c:v>45555</c:v>
                </c:pt>
                <c:pt idx="264">
                  <c:v>45556</c:v>
                </c:pt>
                <c:pt idx="265">
                  <c:v>45557</c:v>
                </c:pt>
                <c:pt idx="266">
                  <c:v>45558</c:v>
                </c:pt>
                <c:pt idx="267">
                  <c:v>45559</c:v>
                </c:pt>
                <c:pt idx="268">
                  <c:v>45560</c:v>
                </c:pt>
                <c:pt idx="269">
                  <c:v>45561</c:v>
                </c:pt>
                <c:pt idx="270">
                  <c:v>45562</c:v>
                </c:pt>
                <c:pt idx="271">
                  <c:v>45563</c:v>
                </c:pt>
                <c:pt idx="272">
                  <c:v>45564</c:v>
                </c:pt>
                <c:pt idx="273">
                  <c:v>45565</c:v>
                </c:pt>
                <c:pt idx="274">
                  <c:v>45566</c:v>
                </c:pt>
                <c:pt idx="275">
                  <c:v>45567</c:v>
                </c:pt>
                <c:pt idx="276">
                  <c:v>45568</c:v>
                </c:pt>
                <c:pt idx="277">
                  <c:v>45569</c:v>
                </c:pt>
                <c:pt idx="278">
                  <c:v>45570</c:v>
                </c:pt>
                <c:pt idx="279">
                  <c:v>45571</c:v>
                </c:pt>
                <c:pt idx="280">
                  <c:v>45572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45576</c:v>
                </c:pt>
                <c:pt idx="285">
                  <c:v>45577</c:v>
                </c:pt>
                <c:pt idx="286">
                  <c:v>45578</c:v>
                </c:pt>
                <c:pt idx="287">
                  <c:v>45579</c:v>
                </c:pt>
                <c:pt idx="288">
                  <c:v>45580</c:v>
                </c:pt>
                <c:pt idx="289">
                  <c:v>45581</c:v>
                </c:pt>
                <c:pt idx="290">
                  <c:v>45582</c:v>
                </c:pt>
                <c:pt idx="291">
                  <c:v>45583</c:v>
                </c:pt>
                <c:pt idx="292">
                  <c:v>45584</c:v>
                </c:pt>
                <c:pt idx="293">
                  <c:v>45585</c:v>
                </c:pt>
                <c:pt idx="294">
                  <c:v>45586</c:v>
                </c:pt>
                <c:pt idx="295">
                  <c:v>45587</c:v>
                </c:pt>
                <c:pt idx="296">
                  <c:v>45588</c:v>
                </c:pt>
                <c:pt idx="297">
                  <c:v>45589</c:v>
                </c:pt>
                <c:pt idx="298">
                  <c:v>45590</c:v>
                </c:pt>
                <c:pt idx="299">
                  <c:v>45591</c:v>
                </c:pt>
                <c:pt idx="300">
                  <c:v>45592</c:v>
                </c:pt>
                <c:pt idx="301">
                  <c:v>45593</c:v>
                </c:pt>
                <c:pt idx="302">
                  <c:v>45594</c:v>
                </c:pt>
                <c:pt idx="303">
                  <c:v>45595</c:v>
                </c:pt>
                <c:pt idx="304">
                  <c:v>45596</c:v>
                </c:pt>
                <c:pt idx="305">
                  <c:v>45597</c:v>
                </c:pt>
                <c:pt idx="306">
                  <c:v>45598</c:v>
                </c:pt>
                <c:pt idx="307">
                  <c:v>45599</c:v>
                </c:pt>
                <c:pt idx="308">
                  <c:v>45600</c:v>
                </c:pt>
                <c:pt idx="309">
                  <c:v>45601</c:v>
                </c:pt>
                <c:pt idx="310">
                  <c:v>45602</c:v>
                </c:pt>
                <c:pt idx="311">
                  <c:v>45603</c:v>
                </c:pt>
                <c:pt idx="312">
                  <c:v>45604</c:v>
                </c:pt>
                <c:pt idx="313">
                  <c:v>45605</c:v>
                </c:pt>
                <c:pt idx="314">
                  <c:v>45606</c:v>
                </c:pt>
                <c:pt idx="315">
                  <c:v>45607</c:v>
                </c:pt>
                <c:pt idx="316">
                  <c:v>45608</c:v>
                </c:pt>
                <c:pt idx="317">
                  <c:v>45609</c:v>
                </c:pt>
                <c:pt idx="318">
                  <c:v>45610</c:v>
                </c:pt>
                <c:pt idx="319">
                  <c:v>45611</c:v>
                </c:pt>
                <c:pt idx="320">
                  <c:v>45612</c:v>
                </c:pt>
                <c:pt idx="321">
                  <c:v>45613</c:v>
                </c:pt>
                <c:pt idx="322">
                  <c:v>45614</c:v>
                </c:pt>
                <c:pt idx="323">
                  <c:v>45615</c:v>
                </c:pt>
                <c:pt idx="324">
                  <c:v>45616</c:v>
                </c:pt>
                <c:pt idx="325">
                  <c:v>45617</c:v>
                </c:pt>
                <c:pt idx="326">
                  <c:v>45618</c:v>
                </c:pt>
                <c:pt idx="327">
                  <c:v>45619</c:v>
                </c:pt>
                <c:pt idx="328">
                  <c:v>45620</c:v>
                </c:pt>
                <c:pt idx="329">
                  <c:v>45621</c:v>
                </c:pt>
                <c:pt idx="330">
                  <c:v>45622</c:v>
                </c:pt>
                <c:pt idx="331">
                  <c:v>45623</c:v>
                </c:pt>
                <c:pt idx="332">
                  <c:v>45624</c:v>
                </c:pt>
                <c:pt idx="333">
                  <c:v>45625</c:v>
                </c:pt>
                <c:pt idx="334">
                  <c:v>45626</c:v>
                </c:pt>
                <c:pt idx="335">
                  <c:v>45627</c:v>
                </c:pt>
                <c:pt idx="336">
                  <c:v>45628</c:v>
                </c:pt>
                <c:pt idx="337">
                  <c:v>45629</c:v>
                </c:pt>
                <c:pt idx="338">
                  <c:v>45630</c:v>
                </c:pt>
                <c:pt idx="339">
                  <c:v>45631</c:v>
                </c:pt>
                <c:pt idx="340">
                  <c:v>45632</c:v>
                </c:pt>
                <c:pt idx="341">
                  <c:v>45633</c:v>
                </c:pt>
                <c:pt idx="342">
                  <c:v>45634</c:v>
                </c:pt>
                <c:pt idx="343">
                  <c:v>45635</c:v>
                </c:pt>
                <c:pt idx="344">
                  <c:v>45636</c:v>
                </c:pt>
                <c:pt idx="345">
                  <c:v>45637</c:v>
                </c:pt>
                <c:pt idx="346">
                  <c:v>45638</c:v>
                </c:pt>
                <c:pt idx="347">
                  <c:v>45639</c:v>
                </c:pt>
                <c:pt idx="348">
                  <c:v>45640</c:v>
                </c:pt>
                <c:pt idx="349">
                  <c:v>45641</c:v>
                </c:pt>
                <c:pt idx="350">
                  <c:v>45642</c:v>
                </c:pt>
                <c:pt idx="351">
                  <c:v>45643</c:v>
                </c:pt>
                <c:pt idx="352">
                  <c:v>45644</c:v>
                </c:pt>
                <c:pt idx="353">
                  <c:v>45645</c:v>
                </c:pt>
                <c:pt idx="354">
                  <c:v>45646</c:v>
                </c:pt>
                <c:pt idx="355">
                  <c:v>45647</c:v>
                </c:pt>
                <c:pt idx="356">
                  <c:v>45648</c:v>
                </c:pt>
                <c:pt idx="357">
                  <c:v>45649</c:v>
                </c:pt>
                <c:pt idx="358">
                  <c:v>45650</c:v>
                </c:pt>
                <c:pt idx="359">
                  <c:v>45651</c:v>
                </c:pt>
                <c:pt idx="360">
                  <c:v>45652</c:v>
                </c:pt>
                <c:pt idx="361">
                  <c:v>45653</c:v>
                </c:pt>
                <c:pt idx="362">
                  <c:v>45654</c:v>
                </c:pt>
                <c:pt idx="363">
                  <c:v>45655</c:v>
                </c:pt>
                <c:pt idx="364">
                  <c:v>45656</c:v>
                </c:pt>
                <c:pt idx="365">
                  <c:v>45657</c:v>
                </c:pt>
                <c:pt idx="366">
                  <c:v>45658</c:v>
                </c:pt>
                <c:pt idx="367">
                  <c:v>45659</c:v>
                </c:pt>
                <c:pt idx="368">
                  <c:v>45660</c:v>
                </c:pt>
                <c:pt idx="369">
                  <c:v>45661</c:v>
                </c:pt>
                <c:pt idx="370">
                  <c:v>45662</c:v>
                </c:pt>
                <c:pt idx="371">
                  <c:v>45663</c:v>
                </c:pt>
                <c:pt idx="372">
                  <c:v>45664</c:v>
                </c:pt>
                <c:pt idx="373">
                  <c:v>45665</c:v>
                </c:pt>
                <c:pt idx="374">
                  <c:v>45666</c:v>
                </c:pt>
                <c:pt idx="375">
                  <c:v>45667</c:v>
                </c:pt>
                <c:pt idx="376">
                  <c:v>45668</c:v>
                </c:pt>
                <c:pt idx="377">
                  <c:v>45669</c:v>
                </c:pt>
                <c:pt idx="378">
                  <c:v>45670</c:v>
                </c:pt>
                <c:pt idx="379">
                  <c:v>45671</c:v>
                </c:pt>
                <c:pt idx="380">
                  <c:v>45672</c:v>
                </c:pt>
                <c:pt idx="381">
                  <c:v>45673</c:v>
                </c:pt>
                <c:pt idx="382">
                  <c:v>45674</c:v>
                </c:pt>
                <c:pt idx="383">
                  <c:v>45675</c:v>
                </c:pt>
                <c:pt idx="384">
                  <c:v>45676</c:v>
                </c:pt>
                <c:pt idx="385">
                  <c:v>45677</c:v>
                </c:pt>
                <c:pt idx="386">
                  <c:v>45678</c:v>
                </c:pt>
                <c:pt idx="387">
                  <c:v>45679</c:v>
                </c:pt>
                <c:pt idx="388">
                  <c:v>45680</c:v>
                </c:pt>
                <c:pt idx="389">
                  <c:v>45681</c:v>
                </c:pt>
                <c:pt idx="390">
                  <c:v>45682</c:v>
                </c:pt>
                <c:pt idx="391">
                  <c:v>45683</c:v>
                </c:pt>
                <c:pt idx="392">
                  <c:v>45684</c:v>
                </c:pt>
                <c:pt idx="393">
                  <c:v>45685</c:v>
                </c:pt>
                <c:pt idx="394">
                  <c:v>45686</c:v>
                </c:pt>
                <c:pt idx="395">
                  <c:v>45687</c:v>
                </c:pt>
                <c:pt idx="396">
                  <c:v>45688</c:v>
                </c:pt>
                <c:pt idx="397">
                  <c:v>45689</c:v>
                </c:pt>
                <c:pt idx="398">
                  <c:v>45690</c:v>
                </c:pt>
                <c:pt idx="399">
                  <c:v>45691</c:v>
                </c:pt>
                <c:pt idx="400">
                  <c:v>45692</c:v>
                </c:pt>
                <c:pt idx="401">
                  <c:v>45693</c:v>
                </c:pt>
                <c:pt idx="402">
                  <c:v>45694</c:v>
                </c:pt>
                <c:pt idx="403">
                  <c:v>45695</c:v>
                </c:pt>
                <c:pt idx="404">
                  <c:v>45696</c:v>
                </c:pt>
                <c:pt idx="405">
                  <c:v>45697</c:v>
                </c:pt>
                <c:pt idx="406">
                  <c:v>45698</c:v>
                </c:pt>
                <c:pt idx="407">
                  <c:v>45699</c:v>
                </c:pt>
                <c:pt idx="408">
                  <c:v>45700</c:v>
                </c:pt>
                <c:pt idx="409">
                  <c:v>45701</c:v>
                </c:pt>
                <c:pt idx="410">
                  <c:v>45702</c:v>
                </c:pt>
                <c:pt idx="411">
                  <c:v>45703</c:v>
                </c:pt>
                <c:pt idx="412">
                  <c:v>45704</c:v>
                </c:pt>
                <c:pt idx="413">
                  <c:v>45705</c:v>
                </c:pt>
                <c:pt idx="414">
                  <c:v>45706</c:v>
                </c:pt>
                <c:pt idx="415">
                  <c:v>45707</c:v>
                </c:pt>
                <c:pt idx="416">
                  <c:v>45708</c:v>
                </c:pt>
                <c:pt idx="417">
                  <c:v>45709</c:v>
                </c:pt>
                <c:pt idx="418">
                  <c:v>45710</c:v>
                </c:pt>
                <c:pt idx="419">
                  <c:v>45711</c:v>
                </c:pt>
                <c:pt idx="420">
                  <c:v>45712</c:v>
                </c:pt>
                <c:pt idx="421">
                  <c:v>45713</c:v>
                </c:pt>
                <c:pt idx="422">
                  <c:v>45714</c:v>
                </c:pt>
                <c:pt idx="423">
                  <c:v>45715</c:v>
                </c:pt>
                <c:pt idx="424">
                  <c:v>45716</c:v>
                </c:pt>
                <c:pt idx="425">
                  <c:v>45717</c:v>
                </c:pt>
                <c:pt idx="426">
                  <c:v>45718</c:v>
                </c:pt>
                <c:pt idx="427">
                  <c:v>45719</c:v>
                </c:pt>
                <c:pt idx="428">
                  <c:v>45720</c:v>
                </c:pt>
                <c:pt idx="429">
                  <c:v>45721</c:v>
                </c:pt>
                <c:pt idx="430">
                  <c:v>45722</c:v>
                </c:pt>
                <c:pt idx="431">
                  <c:v>45723</c:v>
                </c:pt>
                <c:pt idx="432">
                  <c:v>45724</c:v>
                </c:pt>
                <c:pt idx="433">
                  <c:v>45725</c:v>
                </c:pt>
                <c:pt idx="434">
                  <c:v>45726</c:v>
                </c:pt>
                <c:pt idx="435">
                  <c:v>45727</c:v>
                </c:pt>
                <c:pt idx="436">
                  <c:v>45728</c:v>
                </c:pt>
                <c:pt idx="437">
                  <c:v>45729</c:v>
                </c:pt>
                <c:pt idx="438">
                  <c:v>45730</c:v>
                </c:pt>
                <c:pt idx="439">
                  <c:v>45731</c:v>
                </c:pt>
                <c:pt idx="440">
                  <c:v>45732</c:v>
                </c:pt>
                <c:pt idx="441">
                  <c:v>45733</c:v>
                </c:pt>
                <c:pt idx="442">
                  <c:v>45734</c:v>
                </c:pt>
                <c:pt idx="443">
                  <c:v>45735</c:v>
                </c:pt>
                <c:pt idx="444">
                  <c:v>45736</c:v>
                </c:pt>
                <c:pt idx="445">
                  <c:v>45737</c:v>
                </c:pt>
                <c:pt idx="446">
                  <c:v>45738</c:v>
                </c:pt>
                <c:pt idx="447">
                  <c:v>45739</c:v>
                </c:pt>
                <c:pt idx="448">
                  <c:v>45740</c:v>
                </c:pt>
                <c:pt idx="449">
                  <c:v>45741</c:v>
                </c:pt>
                <c:pt idx="450">
                  <c:v>45742</c:v>
                </c:pt>
                <c:pt idx="451">
                  <c:v>45743</c:v>
                </c:pt>
                <c:pt idx="452">
                  <c:v>45744</c:v>
                </c:pt>
                <c:pt idx="453">
                  <c:v>45745</c:v>
                </c:pt>
                <c:pt idx="454">
                  <c:v>45746</c:v>
                </c:pt>
                <c:pt idx="455">
                  <c:v>45747</c:v>
                </c:pt>
                <c:pt idx="456">
                  <c:v>45748</c:v>
                </c:pt>
                <c:pt idx="457">
                  <c:v>45749</c:v>
                </c:pt>
                <c:pt idx="458">
                  <c:v>45750</c:v>
                </c:pt>
                <c:pt idx="459">
                  <c:v>45751</c:v>
                </c:pt>
                <c:pt idx="460">
                  <c:v>45752</c:v>
                </c:pt>
                <c:pt idx="461">
                  <c:v>45753</c:v>
                </c:pt>
                <c:pt idx="462">
                  <c:v>45754</c:v>
                </c:pt>
                <c:pt idx="463">
                  <c:v>45755</c:v>
                </c:pt>
                <c:pt idx="464">
                  <c:v>45756</c:v>
                </c:pt>
                <c:pt idx="465">
                  <c:v>45757</c:v>
                </c:pt>
                <c:pt idx="466">
                  <c:v>45758</c:v>
                </c:pt>
                <c:pt idx="467">
                  <c:v>45759</c:v>
                </c:pt>
                <c:pt idx="468">
                  <c:v>45760</c:v>
                </c:pt>
                <c:pt idx="469">
                  <c:v>45761</c:v>
                </c:pt>
                <c:pt idx="470">
                  <c:v>45762</c:v>
                </c:pt>
                <c:pt idx="471">
                  <c:v>45763</c:v>
                </c:pt>
                <c:pt idx="472">
                  <c:v>45764</c:v>
                </c:pt>
                <c:pt idx="473">
                  <c:v>45765</c:v>
                </c:pt>
                <c:pt idx="474">
                  <c:v>45766</c:v>
                </c:pt>
                <c:pt idx="475">
                  <c:v>45767</c:v>
                </c:pt>
                <c:pt idx="476">
                  <c:v>45768</c:v>
                </c:pt>
                <c:pt idx="477">
                  <c:v>45769</c:v>
                </c:pt>
                <c:pt idx="478">
                  <c:v>45770</c:v>
                </c:pt>
                <c:pt idx="479">
                  <c:v>45771</c:v>
                </c:pt>
                <c:pt idx="480">
                  <c:v>45772</c:v>
                </c:pt>
                <c:pt idx="481">
                  <c:v>45773</c:v>
                </c:pt>
                <c:pt idx="482">
                  <c:v>45774</c:v>
                </c:pt>
                <c:pt idx="483">
                  <c:v>45775</c:v>
                </c:pt>
                <c:pt idx="484">
                  <c:v>45776</c:v>
                </c:pt>
                <c:pt idx="485">
                  <c:v>45777</c:v>
                </c:pt>
                <c:pt idx="486">
                  <c:v>45778</c:v>
                </c:pt>
                <c:pt idx="487">
                  <c:v>45779</c:v>
                </c:pt>
                <c:pt idx="488">
                  <c:v>45780</c:v>
                </c:pt>
                <c:pt idx="489">
                  <c:v>45781</c:v>
                </c:pt>
                <c:pt idx="490">
                  <c:v>45782</c:v>
                </c:pt>
                <c:pt idx="491">
                  <c:v>45783</c:v>
                </c:pt>
                <c:pt idx="492">
                  <c:v>45784</c:v>
                </c:pt>
                <c:pt idx="493">
                  <c:v>45785</c:v>
                </c:pt>
                <c:pt idx="494">
                  <c:v>45786</c:v>
                </c:pt>
                <c:pt idx="495">
                  <c:v>45787</c:v>
                </c:pt>
                <c:pt idx="496">
                  <c:v>45788</c:v>
                </c:pt>
                <c:pt idx="497">
                  <c:v>45789</c:v>
                </c:pt>
                <c:pt idx="498">
                  <c:v>45790</c:v>
                </c:pt>
                <c:pt idx="499">
                  <c:v>45791</c:v>
                </c:pt>
                <c:pt idx="500">
                  <c:v>45792</c:v>
                </c:pt>
                <c:pt idx="501">
                  <c:v>45793</c:v>
                </c:pt>
                <c:pt idx="502">
                  <c:v>45794</c:v>
                </c:pt>
                <c:pt idx="503">
                  <c:v>45795</c:v>
                </c:pt>
                <c:pt idx="504">
                  <c:v>45796</c:v>
                </c:pt>
                <c:pt idx="505">
                  <c:v>45797</c:v>
                </c:pt>
                <c:pt idx="506">
                  <c:v>45798</c:v>
                </c:pt>
                <c:pt idx="507">
                  <c:v>45799</c:v>
                </c:pt>
                <c:pt idx="508">
                  <c:v>45800</c:v>
                </c:pt>
                <c:pt idx="509">
                  <c:v>45801</c:v>
                </c:pt>
                <c:pt idx="510">
                  <c:v>45802</c:v>
                </c:pt>
                <c:pt idx="511">
                  <c:v>45803</c:v>
                </c:pt>
                <c:pt idx="512">
                  <c:v>45804</c:v>
                </c:pt>
                <c:pt idx="513">
                  <c:v>45805</c:v>
                </c:pt>
                <c:pt idx="514">
                  <c:v>45806</c:v>
                </c:pt>
                <c:pt idx="515">
                  <c:v>45807</c:v>
                </c:pt>
                <c:pt idx="516">
                  <c:v>45808</c:v>
                </c:pt>
                <c:pt idx="517">
                  <c:v>45809</c:v>
                </c:pt>
                <c:pt idx="518">
                  <c:v>45810</c:v>
                </c:pt>
                <c:pt idx="519">
                  <c:v>45811</c:v>
                </c:pt>
                <c:pt idx="520">
                  <c:v>45812</c:v>
                </c:pt>
                <c:pt idx="521">
                  <c:v>45813</c:v>
                </c:pt>
                <c:pt idx="522">
                  <c:v>45814</c:v>
                </c:pt>
                <c:pt idx="523">
                  <c:v>45815</c:v>
                </c:pt>
                <c:pt idx="524">
                  <c:v>45816</c:v>
                </c:pt>
                <c:pt idx="525">
                  <c:v>45817</c:v>
                </c:pt>
                <c:pt idx="526">
                  <c:v>45818</c:v>
                </c:pt>
                <c:pt idx="527">
                  <c:v>45819</c:v>
                </c:pt>
                <c:pt idx="528">
                  <c:v>45820</c:v>
                </c:pt>
                <c:pt idx="529">
                  <c:v>45821</c:v>
                </c:pt>
                <c:pt idx="530">
                  <c:v>45822</c:v>
                </c:pt>
                <c:pt idx="531">
                  <c:v>45823</c:v>
                </c:pt>
                <c:pt idx="532">
                  <c:v>45824</c:v>
                </c:pt>
                <c:pt idx="533">
                  <c:v>45825</c:v>
                </c:pt>
                <c:pt idx="534">
                  <c:v>45826</c:v>
                </c:pt>
                <c:pt idx="535">
                  <c:v>45827</c:v>
                </c:pt>
                <c:pt idx="536">
                  <c:v>45828</c:v>
                </c:pt>
                <c:pt idx="537">
                  <c:v>45829</c:v>
                </c:pt>
                <c:pt idx="538">
                  <c:v>45830</c:v>
                </c:pt>
                <c:pt idx="539">
                  <c:v>45831</c:v>
                </c:pt>
                <c:pt idx="540">
                  <c:v>45832</c:v>
                </c:pt>
                <c:pt idx="541">
                  <c:v>45833</c:v>
                </c:pt>
                <c:pt idx="542">
                  <c:v>45834</c:v>
                </c:pt>
                <c:pt idx="543">
                  <c:v>45835</c:v>
                </c:pt>
                <c:pt idx="544">
                  <c:v>45836</c:v>
                </c:pt>
                <c:pt idx="545">
                  <c:v>45837</c:v>
                </c:pt>
                <c:pt idx="546">
                  <c:v>45838</c:v>
                </c:pt>
              </c:numCache>
            </c:numRef>
          </c:cat>
          <c:val>
            <c:numRef>
              <c:f>'2025 Forecast'!$E$2:$E$548</c:f>
              <c:numCache>
                <c:formatCode>General</c:formatCode>
                <c:ptCount val="547"/>
                <c:pt idx="365" formatCode="#,##0">
                  <c:v>13781</c:v>
                </c:pt>
                <c:pt idx="366" formatCode="#,##0">
                  <c:v>18149.450500621704</c:v>
                </c:pt>
                <c:pt idx="367" formatCode="#,##0">
                  <c:v>19902.783196415177</c:v>
                </c:pt>
                <c:pt idx="368" formatCode="#,##0">
                  <c:v>21328.521286434261</c:v>
                </c:pt>
                <c:pt idx="369" formatCode="#,##0">
                  <c:v>22699.207165390988</c:v>
                </c:pt>
                <c:pt idx="370" formatCode="#,##0">
                  <c:v>23402.684223974968</c:v>
                </c:pt>
                <c:pt idx="371" formatCode="#,##0">
                  <c:v>21925.608155533668</c:v>
                </c:pt>
                <c:pt idx="372" formatCode="#,##0">
                  <c:v>23080.795421255487</c:v>
                </c:pt>
                <c:pt idx="373" formatCode="#,##0">
                  <c:v>24368.136036199456</c:v>
                </c:pt>
                <c:pt idx="374" formatCode="#,##0">
                  <c:v>25375.54038701213</c:v>
                </c:pt>
                <c:pt idx="375" formatCode="#,##0">
                  <c:v>26302.422024832533</c:v>
                </c:pt>
                <c:pt idx="376" formatCode="#,##0">
                  <c:v>27301.7958833431</c:v>
                </c:pt>
                <c:pt idx="377" formatCode="#,##0">
                  <c:v>27712.50185123647</c:v>
                </c:pt>
                <c:pt idx="378" formatCode="#,##0">
                  <c:v>25995.877674372528</c:v>
                </c:pt>
                <c:pt idx="379" formatCode="#,##0">
                  <c:v>26949.869518719948</c:v>
                </c:pt>
                <c:pt idx="380" formatCode="#,##0">
                  <c:v>28027.78711013887</c:v>
                </c:pt>
                <c:pt idx="381" formatCode="#,##0">
                  <c:v>28889.849651958386</c:v>
                </c:pt>
                <c:pt idx="382" formatCode="#,##0">
                  <c:v>29688.400912364374</c:v>
                </c:pt>
                <c:pt idx="383" formatCode="#,##0">
                  <c:v>30573.344996582906</c:v>
                </c:pt>
                <c:pt idx="384" formatCode="#,##0">
                  <c:v>30881.164548255358</c:v>
                </c:pt>
                <c:pt idx="385" formatCode="#,##0">
                  <c:v>29071.371228829135</c:v>
                </c:pt>
                <c:pt idx="386" formatCode="#,##0">
                  <c:v>29940.469979762856</c:v>
                </c:pt>
                <c:pt idx="387" formatCode="#,##0">
                  <c:v>30923.091043715376</c:v>
                </c:pt>
                <c:pt idx="388" formatCode="#,##0">
                  <c:v>31714.906980845975</c:v>
                </c:pt>
                <c:pt idx="389" formatCode="#,##0">
                  <c:v>32448.455493376474</c:v>
                </c:pt>
                <c:pt idx="390" formatCode="#,##0">
                  <c:v>33273.023690309921</c:v>
                </c:pt>
                <c:pt idx="391" formatCode="#,##0">
                  <c:v>33524.574866257783</c:v>
                </c:pt>
                <c:pt idx="392" formatCode="#,##0">
                  <c:v>31662.179847462678</c:v>
                </c:pt>
                <c:pt idx="393" formatCode="#,##0">
                  <c:v>32481.966538246328</c:v>
                </c:pt>
                <c:pt idx="394" formatCode="#,##0">
                  <c:v>33407.543924412043</c:v>
                </c:pt>
                <c:pt idx="395" formatCode="#,##0">
                  <c:v>34156.299831442928</c:v>
                </c:pt>
                <c:pt idx="396" formatCode="#,##0">
                  <c:v>34849.172695249872</c:v>
                </c:pt>
                <c:pt idx="397" formatCode="#,##0">
                  <c:v>35635.241218979965</c:v>
                </c:pt>
                <c:pt idx="398" formatCode="#,##0">
                  <c:v>35850.284975008777</c:v>
                </c:pt>
                <c:pt idx="399" formatCode="#,##0">
                  <c:v>33953.212102903788</c:v>
                </c:pt>
                <c:pt idx="400" formatCode="#,##0">
                  <c:v>34740.005848099121</c:v>
                </c:pt>
                <c:pt idx="401" formatCode="#,##0">
                  <c:v>35626.761992145155</c:v>
                </c:pt>
                <c:pt idx="402" formatCode="#,##0">
                  <c:v>36345.851681464861</c:v>
                </c:pt>
                <c:pt idx="403" formatCode="#,##0">
                  <c:v>37010.370979233827</c:v>
                </c:pt>
                <c:pt idx="404" formatCode="#,##0">
                  <c:v>37769.307076652942</c:v>
                </c:pt>
                <c:pt idx="405" formatCode="#,##0">
                  <c:v>37958.356717101015</c:v>
                </c:pt>
                <c:pt idx="406" formatCode="#,##0">
                  <c:v>36036.352861117106</c:v>
                </c:pt>
                <c:pt idx="407" formatCode="#,##0">
                  <c:v>36799.210338739133</c:v>
                </c:pt>
                <c:pt idx="408" formatCode="#,##0">
                  <c:v>37657.478115773571</c:v>
                </c:pt>
                <c:pt idx="409" formatCode="#,##0">
                  <c:v>38354.643459026192</c:v>
                </c:pt>
                <c:pt idx="410" formatCode="#,##0">
                  <c:v>38998.049291063719</c:v>
                </c:pt>
                <c:pt idx="411" formatCode="#,##0">
                  <c:v>39736.635724249194</c:v>
                </c:pt>
                <c:pt idx="412" formatCode="#,##0">
                  <c:v>39906.056153568017</c:v>
                </c:pt>
                <c:pt idx="413" formatCode="#,##0">
                  <c:v>37965.103549785745</c:v>
                </c:pt>
                <c:pt idx="414" formatCode="#,##0">
                  <c:v>38709.655784332826</c:v>
                </c:pt>
                <c:pt idx="415" formatCode="#,##0">
                  <c:v>39545.950767055438</c:v>
                </c:pt>
                <c:pt idx="416" formatCode="#,##0">
                  <c:v>40226.134463370821</c:v>
                </c:pt>
                <c:pt idx="417" formatCode="#,##0">
                  <c:v>40853.099844494849</c:v>
                </c:pt>
                <c:pt idx="418" formatCode="#,##0">
                  <c:v>41575.760080450171</c:v>
                </c:pt>
                <c:pt idx="419" formatCode="#,##0">
                  <c:v>41729.743457766046</c:v>
                </c:pt>
                <c:pt idx="420" formatCode="#,##0">
                  <c:v>39773.819515253053</c:v>
                </c:pt>
                <c:pt idx="421" formatCode="#,##0">
                  <c:v>40503.844227714253</c:v>
                </c:pt>
                <c:pt idx="422" formatCode="#,##0">
                  <c:v>41322.581603466286</c:v>
                </c:pt>
                <c:pt idx="423" formatCode="#,##0">
                  <c:v>41989.162105223615</c:v>
                </c:pt>
                <c:pt idx="424" formatCode="#,##0">
                  <c:v>42602.906156731653</c:v>
                </c:pt>
                <c:pt idx="425" formatCode="#,##0">
                  <c:v>43312.710279756851</c:v>
                </c:pt>
                <c:pt idx="426" formatCode="#,##0">
                  <c:v>43454.187106152778</c:v>
                </c:pt>
                <c:pt idx="427" formatCode="#,##0">
                  <c:v>41486.091438743017</c:v>
                </c:pt>
                <c:pt idx="428" formatCode="#,##0">
                  <c:v>42204.265366927553</c:v>
                </c:pt>
                <c:pt idx="429" formatCode="#,##0">
                  <c:v>43008.597304508119</c:v>
                </c:pt>
                <c:pt idx="430" formatCode="#,##0">
                  <c:v>43664.001964588184</c:v>
                </c:pt>
                <c:pt idx="431" formatCode="#,##0">
                  <c:v>44266.851165200285</c:v>
                </c:pt>
                <c:pt idx="432" formatCode="#,##0">
                  <c:v>44966.030526750699</c:v>
                </c:pt>
                <c:pt idx="433" formatCode="#,##0">
                  <c:v>45097.142359130434</c:v>
                </c:pt>
                <c:pt idx="434" formatCode="#,##0">
                  <c:v>43118.931683654278</c:v>
                </c:pt>
                <c:pt idx="435" formatCode="#,##0">
                  <c:v>43827.231312874981</c:v>
                </c:pt>
                <c:pt idx="436" formatCode="#,##0">
                  <c:v>44619.499238412434</c:v>
                </c:pt>
                <c:pt idx="437" formatCode="#,##0">
                  <c:v>45265.539799873914</c:v>
                </c:pt>
                <c:pt idx="438" formatCode="#,##0">
                  <c:v>45859.238562327388</c:v>
                </c:pt>
                <c:pt idx="439" formatCode="#,##0">
                  <c:v>46549.473676516587</c:v>
                </c:pt>
                <c:pt idx="440" formatCode="#,##0">
                  <c:v>46671.840340586088</c:v>
                </c:pt>
                <c:pt idx="441" formatCode="#,##0">
                  <c:v>44685.076800309864</c:v>
                </c:pt>
                <c:pt idx="442" formatCode="#,##0">
                  <c:v>45385.00940878236</c:v>
                </c:pt>
                <c:pt idx="443" formatCode="#,##0">
                  <c:v>46167.00755281368</c:v>
                </c:pt>
                <c:pt idx="444" formatCode="#,##0">
                  <c:v>46805.077577129668</c:v>
                </c:pt>
                <c:pt idx="445" formatCode="#,##0">
                  <c:v>47390.972606357398</c:v>
                </c:pt>
                <c:pt idx="446" formatCode="#,##0">
                  <c:v>48073.565482709142</c:v>
                </c:pt>
                <c:pt idx="447" formatCode="#,##0">
                  <c:v>48188.446327398444</c:v>
                </c:pt>
                <c:pt idx="448" formatCode="#,##0">
                  <c:v>46194.348528067239</c:v>
                </c:pt>
                <c:pt idx="449" formatCode="#,##0">
                  <c:v>46887.093786529236</c:v>
                </c:pt>
                <c:pt idx="450" formatCode="#,##0">
                  <c:v>47660.232065762422</c:v>
                </c:pt>
                <c:pt idx="451" formatCode="#,##0">
                  <c:v>48291.429898264119</c:v>
                </c:pt>
                <c:pt idx="452" formatCode="#,##0">
                  <c:v>48870.585809213808</c:v>
                </c:pt>
                <c:pt idx="453" formatCode="#,##0">
                  <c:v>49546.568753239197</c:v>
                </c:pt>
                <c:pt idx="454" formatCode="#,##0">
                  <c:v>49654.965119665554</c:v>
                </c:pt>
                <c:pt idx="455" formatCode="#,##0">
                  <c:v>47654.504712037786</c:v>
                </c:pt>
                <c:pt idx="456" formatCode="#,##0">
                  <c:v>48341.005788443348</c:v>
                </c:pt>
                <c:pt idx="457" formatCode="#,##0">
                  <c:v>49106.41532240987</c:v>
                </c:pt>
                <c:pt idx="458" formatCode="#,##0">
                  <c:v>49731.624248991706</c:v>
                </c:pt>
                <c:pt idx="459" formatCode="#,##0">
                  <c:v>50304.899357191622</c:v>
                </c:pt>
                <c:pt idx="460" formatCode="#,##0">
                  <c:v>50975.106682262325</c:v>
                </c:pt>
                <c:pt idx="461" formatCode="#,##0">
                  <c:v>51077.829802223016</c:v>
                </c:pt>
                <c:pt idx="462" formatCode="#,##0">
                  <c:v>49071.795812307464</c:v>
                </c:pt>
                <c:pt idx="463" formatCode="#,##0">
                  <c:v>49752.820360500729</c:v>
                </c:pt>
                <c:pt idx="464" formatCode="#,##0">
                  <c:v>50511.424511013203</c:v>
                </c:pt>
                <c:pt idx="465" formatCode="#,##0">
                  <c:v>51131.367001413135</c:v>
                </c:pt>
                <c:pt idx="466" formatCode="#,##0">
                  <c:v>51699.464850938806</c:v>
                </c:pt>
                <c:pt idx="467" formatCode="#,##0">
                  <c:v>52364.581855297125</c:v>
                </c:pt>
                <c:pt idx="468" formatCode="#,##0">
                  <c:v>52462.299430037878</c:v>
                </c:pt>
                <c:pt idx="469" formatCode="#,##0">
                  <c:v>50451.342581635879</c:v>
                </c:pt>
                <c:pt idx="470" formatCode="#,##0">
                  <c:v>51127.524939839481</c:v>
                </c:pt>
                <c:pt idx="471" formatCode="#,##0">
                  <c:v>51880.088700968401</c:v>
                </c:pt>
                <c:pt idx="472" formatCode="#,##0">
                  <c:v>52495.364283283532</c:v>
                </c:pt>
                <c:pt idx="473" formatCode="#,##0">
                  <c:v>53058.869767066841</c:v>
                </c:pt>
                <c:pt idx="474" formatCode="#,##0">
                  <c:v>53719.467198210034</c:v>
                </c:pt>
                <c:pt idx="475" formatCode="#,##0">
                  <c:v>53812.736298719472</c:v>
                </c:pt>
                <c:pt idx="476" formatCode="#,##0">
                  <c:v>51797.40043550144</c:v>
                </c:pt>
                <c:pt idx="477" formatCode="#,##0">
                  <c:v>52469.271650527116</c:v>
                </c:pt>
                <c:pt idx="478" formatCode="#,##0">
                  <c:v>53216.436935278209</c:v>
                </c:pt>
                <c:pt idx="479" formatCode="#,##0">
                  <c:v>53827.54935387725</c:v>
                </c:pt>
                <c:pt idx="480" formatCode="#,##0">
                  <c:v>54386.954701073686</c:v>
                </c:pt>
                <c:pt idx="481" formatCode="#,##0">
                  <c:v>55043.513633624876</c:v>
                </c:pt>
                <c:pt idx="482" formatCode="#,##0">
                  <c:v>55132.804526329011</c:v>
                </c:pt>
                <c:pt idx="483" formatCode="#,##0">
                  <c:v>53113.549439203882</c:v>
                </c:pt>
                <c:pt idx="484" formatCode="#,##0">
                  <c:v>53781.559146119769</c:v>
                </c:pt>
                <c:pt idx="485" formatCode="#,##0">
                  <c:v>54523.870593806176</c:v>
                </c:pt>
                <c:pt idx="486" formatCode="#,##0">
                  <c:v>55131.247733518889</c:v>
                </c:pt>
                <c:pt idx="487" formatCode="#,##0">
                  <c:v>55686.971630578097</c:v>
                </c:pt>
                <c:pt idx="488" formatCode="#,##0">
                  <c:v>56339.901823420936</c:v>
                </c:pt>
                <c:pt idx="489" formatCode="#,##0">
                  <c:v>56425.615600325109</c:v>
                </c:pt>
                <c:pt idx="490" formatCode="#,##0">
                  <c:v>54402.833965439495</c:v>
                </c:pt>
                <c:pt idx="491" formatCode="#,##0">
                  <c:v>55067.366666319023</c:v>
                </c:pt>
                <c:pt idx="492" formatCode="#,##0">
                  <c:v>55805.290904486668</c:v>
                </c:pt>
                <c:pt idx="493" formatCode="#,##0">
                  <c:v>56409.299701548654</c:v>
                </c:pt>
                <c:pt idx="494" formatCode="#,##0">
                  <c:v>56961.701638637402</c:v>
                </c:pt>
                <c:pt idx="495" formatCode="#,##0">
                  <c:v>57611.355342691793</c:v>
                </c:pt>
                <c:pt idx="496" formatCode="#,##0">
                  <c:v>57693.837214994048</c:v>
                </c:pt>
                <c:pt idx="497" formatCode="#,##0">
                  <c:v>55667.867396363756</c:v>
                </c:pt>
                <c:pt idx="498" formatCode="#,##0">
                  <c:v>56329.254793890839</c:v>
                </c:pt>
                <c:pt idx="499" formatCode="#,##0">
                  <c:v>57063.195073229152</c:v>
                </c:pt>
                <c:pt idx="500" formatCode="#,##0">
                  <c:v>57664.152870994687</c:v>
                </c:pt>
                <c:pt idx="501" formatCode="#,##0">
                  <c:v>58213.544092380514</c:v>
                </c:pt>
                <c:pt idx="502" formatCode="#,##0">
                  <c:v>58860.226613176193</c:v>
                </c:pt>
                <c:pt idx="503" formatCode="#,##0">
                  <c:v>58939.776102661985</c:v>
                </c:pt>
                <c:pt idx="504" formatCode="#,##0">
                  <c:v>56910.911988182968</c:v>
                </c:pt>
                <c:pt idx="505" formatCode="#,##0">
                  <c:v>57569.442481286416</c:v>
                </c:pt>
                <c:pt idx="506" formatCode="#,##0">
                  <c:v>58299.749971439131</c:v>
                </c:pt>
                <c:pt idx="507" formatCode="#,##0">
                  <c:v>58897.933303247788</c:v>
                </c:pt>
                <c:pt idx="508" formatCode="#,##0">
                  <c:v>59444.585293613993</c:v>
                </c:pt>
                <c:pt idx="509" formatCode="#,##0">
                  <c:v>60088.563193180496</c:v>
                </c:pt>
                <c:pt idx="510" formatCode="#,##0">
                  <c:v>60165.442061233</c:v>
                </c:pt>
                <c:pt idx="511" formatCode="#,##0">
                  <c:v>58133.940729807771</c:v>
                </c:pt>
                <c:pt idx="512" formatCode="#,##0">
                  <c:v>58789.866829379986</c:v>
                </c:pt>
                <c:pt idx="513" formatCode="#,##0">
                  <c:v>59516.849460581368</c:v>
                </c:pt>
                <c:pt idx="514" formatCode="#,##0">
                  <c:v>60112.500936943266</c:v>
                </c:pt>
                <c:pt idx="515" formatCode="#,##0">
                  <c:v>60656.652087940165</c:v>
                </c:pt>
                <c:pt idx="516" formatCode="#,##0">
                  <c:v>61298.159639285499</c:v>
                </c:pt>
                <c:pt idx="517" formatCode="#,##0">
                  <c:v>61372.598137463443</c:v>
                </c:pt>
                <c:pt idx="518" formatCode="#,##0">
                  <c:v>59338.685913480622</c:v>
                </c:pt>
                <c:pt idx="519" formatCode="#,##0">
                  <c:v>59992.230108211144</c:v>
                </c:pt>
                <c:pt idx="520" formatCode="#,##0">
                  <c:v>60716.15957944651</c:v>
                </c:pt>
                <c:pt idx="521" formatCode="#,##0">
                  <c:v>61309.49335587224</c:v>
                </c:pt>
                <c:pt idx="522" formatCode="#,##0">
                  <c:v>61851.354267308692</c:v>
                </c:pt>
                <c:pt idx="523" formatCode="#,##0">
                  <c:v>62490.598595124662</c:v>
                </c:pt>
                <c:pt idx="524" formatCode="#,##0">
                  <c:v>62562.800451267169</c:v>
                </c:pt>
                <c:pt idx="525" formatCode="#,##0">
                  <c:v>60526.677741738284</c:v>
                </c:pt>
                <c:pt idx="526" formatCode="#,##0">
                  <c:v>61178.037191674448</c:v>
                </c:pt>
                <c:pt idx="527" formatCode="#,##0">
                  <c:v>61899.154588835816</c:v>
                </c:pt>
                <c:pt idx="528" formatCode="#,##0">
                  <c:v>62490.360755497451</c:v>
                </c:pt>
                <c:pt idx="529" formatCode="#,##0">
                  <c:v>63030.118497425537</c:v>
                </c:pt>
                <c:pt idx="530" formatCode="#,##0">
                  <c:v>63667.283717088074</c:v>
                </c:pt>
                <c:pt idx="531" formatCode="#,##0">
                  <c:v>63737.430155537222</c:v>
                </c:pt>
                <c:pt idx="532" formatCode="#,##0">
                  <c:v>61699.275355671198</c:v>
                </c:pt>
                <c:pt idx="533" formatCode="#,##0">
                  <c:v>62348.62568710577</c:v>
                </c:pt>
                <c:pt idx="534" formatCode="#,##0">
                  <c:v>63067.146033292433</c:v>
                </c:pt>
                <c:pt idx="535" formatCode="#,##0">
                  <c:v>63656.394174929163</c:v>
                </c:pt>
                <c:pt idx="536" formatCode="#,##0">
                  <c:v>64194.215748669609</c:v>
                </c:pt>
                <c:pt idx="537" formatCode="#,##0">
                  <c:v>64829.466331711825</c:v>
                </c:pt>
                <c:pt idx="538" formatCode="#,##0">
                  <c:v>64897.719346429505</c:v>
                </c:pt>
                <c:pt idx="539" formatCode="#,##0">
                  <c:v>62857.692023464333</c:v>
                </c:pt>
                <c:pt idx="540" formatCode="#,##0">
                  <c:v>63505.190426433044</c:v>
                </c:pt>
                <c:pt idx="541" formatCode="#,##0">
                  <c:v>64221.306401957532</c:v>
                </c:pt>
                <c:pt idx="542" formatCode="#,##0">
                  <c:v>64808.748511588288</c:v>
                </c:pt>
                <c:pt idx="543" formatCode="#,##0">
                  <c:v>65344.783685940369</c:v>
                </c:pt>
                <c:pt idx="544" formatCode="#,##0">
                  <c:v>65978.267221257614</c:v>
                </c:pt>
                <c:pt idx="545" formatCode="#,##0">
                  <c:v>66044.772264429412</c:v>
                </c:pt>
                <c:pt idx="546" formatCode="#,##0">
                  <c:v>64003.015775947817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75-430B-83E2-B6470A34F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9980431"/>
        <c:axId val="1789952111"/>
      </c:lineChart>
      <c:catAx>
        <c:axId val="178998043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952111"/>
        <c:crosses val="autoZero"/>
        <c:auto val="1"/>
        <c:lblAlgn val="ctr"/>
        <c:lblOffset val="100"/>
        <c:noMultiLvlLbl val="0"/>
      </c:catAx>
      <c:valAx>
        <c:axId val="178995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98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16</xdr:row>
      <xdr:rowOff>0</xdr:rowOff>
    </xdr:from>
    <xdr:to>
      <xdr:col>11</xdr:col>
      <xdr:colOff>114300</xdr:colOff>
      <xdr:row>30</xdr:row>
      <xdr:rowOff>135255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949589-0EAB-4A6D-9B66-2004AB8331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</xdr:colOff>
      <xdr:row>31</xdr:row>
      <xdr:rowOff>175260</xdr:rowOff>
    </xdr:from>
    <xdr:to>
      <xdr:col>11</xdr:col>
      <xdr:colOff>320040</xdr:colOff>
      <xdr:row>47</xdr:row>
      <xdr:rowOff>20955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039A2C-BB7A-419D-9E30-ACE399E73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22860</xdr:colOff>
      <xdr:row>48</xdr:row>
      <xdr:rowOff>15240</xdr:rowOff>
    </xdr:from>
    <xdr:to>
      <xdr:col>11</xdr:col>
      <xdr:colOff>327660</xdr:colOff>
      <xdr:row>63</xdr:row>
      <xdr:rowOff>43815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FCA5AC-5A95-4D56-BCFA-5E1B6E88B2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53341</xdr:colOff>
      <xdr:row>1</xdr:row>
      <xdr:rowOff>15240</xdr:rowOff>
    </xdr:from>
    <xdr:to>
      <xdr:col>19</xdr:col>
      <xdr:colOff>68580</xdr:colOff>
      <xdr:row>14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0F0C05F-9F31-4A5D-A056-EC446871CC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0</xdr:row>
      <xdr:rowOff>161925</xdr:rowOff>
    </xdr:from>
    <xdr:to>
      <xdr:col>11</xdr:col>
      <xdr:colOff>137160</xdr:colOff>
      <xdr:row>14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CFF7EFB-92D1-4C08-86D2-BF84F21BB9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30480</xdr:colOff>
      <xdr:row>16</xdr:row>
      <xdr:rowOff>15240</xdr:rowOff>
    </xdr:from>
    <xdr:to>
      <xdr:col>19</xdr:col>
      <xdr:colOff>83820</xdr:colOff>
      <xdr:row>30</xdr:row>
      <xdr:rowOff>62865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716FD5B-0FB8-4A09-AD3C-AB52AB878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2</xdr:row>
      <xdr:rowOff>49530</xdr:rowOff>
    </xdr:from>
    <xdr:to>
      <xdr:col>17</xdr:col>
      <xdr:colOff>581025</xdr:colOff>
      <xdr:row>22</xdr:row>
      <xdr:rowOff>59055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8F993E-38C0-FBB3-14E0-A1C1B88E6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LAVI SINGH" refreshedDate="45793.464630092596" createdVersion="8" refreshedVersion="8" minRefreshableVersion="3" recordCount="1597" xr:uid="{C7F8BBBB-AD5E-452A-BF3E-37C76224034E}">
  <cacheSource type="worksheet">
    <worksheetSource name="CleanedData"/>
  </cacheSource>
  <cacheFields count="16">
    <cacheField name="DAY" numFmtId="14">
      <sharedItems containsSemiMixedTypes="0" containsNonDate="0" containsDate="1" containsString="0" minDate="2024-01-01T00:00:00" maxDate="2025-01-01T00:00:00" count="366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</sharedItems>
      <fieldGroup par="15"/>
    </cacheField>
    <cacheField name="CALLS_HANDLED" numFmtId="2">
      <sharedItems containsSemiMixedTypes="0" containsString="0" containsNumber="1" minValue="1.5" maxValue="13041"/>
    </cacheField>
    <cacheField name="CALLS_MISSED" numFmtId="2">
      <sharedItems containsSemiMixedTypes="0" containsString="0" containsNumber="1" minValue="0" maxValue="1417.5"/>
    </cacheField>
    <cacheField name="QUEUE" numFmtId="0">
      <sharedItems count="3">
        <s v="Customer Queue"/>
        <s v="Customer Queue - Vendor B"/>
        <s v="Customer Queue - Vendor A"/>
      </sharedItems>
    </cacheField>
    <cacheField name="VENDOR_COMPANY" numFmtId="0">
      <sharedItems count="2">
        <s v="Vendor A"/>
        <s v="Vendor B"/>
      </sharedItems>
    </cacheField>
    <cacheField name="SATISFIED" numFmtId="1">
      <sharedItems containsSemiMixedTypes="0" containsString="0" containsNumber="1" containsInteger="1" minValue="1" maxValue="8603"/>
    </cacheField>
    <cacheField name="CALLS_WITHIN_SLA" numFmtId="2">
      <sharedItems containsSemiMixedTypes="0" containsString="0" containsNumber="1" minValue="1.2021319105143584" maxValue="12529.550826221475"/>
    </cacheField>
    <cacheField name="IS_OUTAGE?" numFmtId="0">
      <sharedItems/>
    </cacheField>
    <cacheField name="Handled_Calls" numFmtId="1">
      <sharedItems containsSemiMixedTypes="0" containsString="0" containsNumber="1" containsInteger="1" minValue="2" maxValue="13041"/>
    </cacheField>
    <cacheField name="Missed_Calls" numFmtId="1">
      <sharedItems containsSemiMixedTypes="0" containsString="0" containsNumber="1" containsInteger="1" minValue="0" maxValue="1418"/>
    </cacheField>
    <cacheField name="Within_SLA" numFmtId="1">
      <sharedItems containsSemiMixedTypes="0" containsString="0" containsNumber="1" containsInteger="1" minValue="1" maxValue="12530"/>
    </cacheField>
    <cacheField name="DayOfWeek" numFmtId="10">
      <sharedItems count="7">
        <s v="Monday"/>
        <s v="Tuesday"/>
        <s v="Wednesday"/>
        <s v="Thursday"/>
        <s v="Friday"/>
        <s v="Saturday"/>
        <s v="Sunday"/>
      </sharedItems>
    </cacheField>
    <cacheField name="Condition" numFmtId="0">
      <sharedItems count="2">
        <s v="Outage Day"/>
        <s v="Normal Day"/>
      </sharedItems>
    </cacheField>
    <cacheField name="Month" numFmtId="0">
      <sharedItems count="12">
        <s v="Jan 2024"/>
        <s v="Feb 2024"/>
        <s v="Mar 2024"/>
        <s v="Apr 2024"/>
        <s v="May 2024"/>
        <s v="Jun 2024"/>
        <s v="Jul 2024"/>
        <s v="Aug 2024"/>
        <s v="Sep 2024"/>
        <s v="Oct 2024"/>
        <s v="Nov 2024"/>
        <s v="Dec 2024"/>
      </sharedItems>
    </cacheField>
    <cacheField name="Days (DAY)" numFmtId="0" databaseField="0">
      <fieldGroup base="0">
        <rangePr groupBy="days" startDate="2024-01-01T00:00:00" endDate="2025-01-01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5"/>
        </groupItems>
      </fieldGroup>
    </cacheField>
    <cacheField name="Months (DAY)" numFmtId="0" databaseField="0">
      <fieldGroup base="0">
        <rangePr groupBy="months" startDate="2024-01-01T00:00:00" endDate="2025-01-0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LAVI SINGH" refreshedDate="45793.665982523147" createdVersion="8" refreshedVersion="8" minRefreshableVersion="3" recordCount="181" xr:uid="{F68B3DD8-7C7F-4ED4-A0C7-B84B2343285D}">
  <cacheSource type="worksheet">
    <worksheetSource name="Forecasted_2025_Data"/>
  </cacheSource>
  <cacheFields count="6">
    <cacheField name="Row Labels" numFmtId="14">
      <sharedItems containsSemiMixedTypes="0" containsNonDate="0" containsDate="1" containsString="0" minDate="2025-01-01T00:00:00" maxDate="2025-07-01T00:00:00"/>
    </cacheField>
    <cacheField name="Sum of Handled_Calls" numFmtId="0">
      <sharedItems containsNonDate="0" containsString="0" containsBlank="1"/>
    </cacheField>
    <cacheField name="Forecast(Sum of Handled_Calls)" numFmtId="3">
      <sharedItems containsSemiMixedTypes="0" containsString="0" containsNumber="1" minValue="11855.953020729004" maxValue="15553.27394889057"/>
    </cacheField>
    <cacheField name="Lower Confidence Bound(Sum of Handled_Calls)" numFmtId="3">
      <sharedItems containsSemiMixedTypes="0" containsString="0" containsNumber="1" minValue="-40291.109734489815" maxValue="10444.704067094932"/>
    </cacheField>
    <cacheField name="Upper Confidence Bound(Sum of Handled_Calls)" numFmtId="3">
      <sharedItems containsSemiMixedTypes="0" containsString="0" containsNumber="1" minValue="18149.450500621704" maxValue="66044.772264429412"/>
    </cacheField>
    <cacheField name="Month" numFmtId="0">
      <sharedItems count="6">
        <s v="Jan-2025"/>
        <s v="Feb-2025"/>
        <s v="Mar-2025"/>
        <s v="Apr-2025"/>
        <s v="May-2025"/>
        <s v="Jun-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7">
  <r>
    <x v="0"/>
    <n v="1060.5"/>
    <n v="73.5"/>
    <x v="0"/>
    <x v="0"/>
    <n v="460"/>
    <n v="986.98602873487505"/>
    <b v="1"/>
    <n v="1061"/>
    <n v="74"/>
    <n v="987"/>
    <x v="0"/>
    <x v="0"/>
    <x v="0"/>
  </r>
  <r>
    <x v="0"/>
    <n v="2151"/>
    <n v="73.5"/>
    <x v="0"/>
    <x v="1"/>
    <n v="235"/>
    <n v="1789.6952540268494"/>
    <b v="0"/>
    <n v="2151"/>
    <n v="74"/>
    <n v="1790"/>
    <x v="0"/>
    <x v="1"/>
    <x v="0"/>
  </r>
  <r>
    <x v="0"/>
    <n v="6667.5"/>
    <n v="322.5"/>
    <x v="1"/>
    <x v="1"/>
    <n v="4297"/>
    <n v="6214.1451229807753"/>
    <b v="0"/>
    <n v="6668"/>
    <n v="323"/>
    <n v="6214"/>
    <x v="0"/>
    <x v="1"/>
    <x v="0"/>
  </r>
  <r>
    <x v="0"/>
    <n v="10255.5"/>
    <n v="63"/>
    <x v="2"/>
    <x v="0"/>
    <n v="4099"/>
    <n v="9004.283722708622"/>
    <b v="1"/>
    <n v="10256"/>
    <n v="63"/>
    <n v="9004"/>
    <x v="0"/>
    <x v="0"/>
    <x v="0"/>
  </r>
  <r>
    <x v="1"/>
    <n v="718.5"/>
    <n v="13.5"/>
    <x v="0"/>
    <x v="0"/>
    <n v="125"/>
    <n v="650.91478347676673"/>
    <b v="1"/>
    <n v="719"/>
    <n v="14"/>
    <n v="651"/>
    <x v="1"/>
    <x v="0"/>
    <x v="0"/>
  </r>
  <r>
    <x v="1"/>
    <n v="1266"/>
    <n v="13.5"/>
    <x v="0"/>
    <x v="1"/>
    <n v="240"/>
    <n v="1037.6618812537811"/>
    <b v="1"/>
    <n v="1266"/>
    <n v="14"/>
    <n v="1038"/>
    <x v="1"/>
    <x v="0"/>
    <x v="0"/>
  </r>
  <r>
    <x v="1"/>
    <n v="5535"/>
    <n v="16.5"/>
    <x v="1"/>
    <x v="1"/>
    <n v="589"/>
    <n v="4895.3239018309114"/>
    <b v="1"/>
    <n v="5535"/>
    <n v="17"/>
    <n v="4895"/>
    <x v="1"/>
    <x v="0"/>
    <x v="0"/>
  </r>
  <r>
    <x v="1"/>
    <n v="7809"/>
    <n v="201"/>
    <x v="2"/>
    <x v="0"/>
    <n v="4876"/>
    <n v="6974.3103062720647"/>
    <b v="1"/>
    <n v="7809"/>
    <n v="201"/>
    <n v="6974"/>
    <x v="1"/>
    <x v="0"/>
    <x v="0"/>
  </r>
  <r>
    <x v="2"/>
    <n v="1.5"/>
    <n v="0"/>
    <x v="1"/>
    <x v="0"/>
    <n v="1"/>
    <n v="1.3579656700428258"/>
    <b v="0"/>
    <n v="2"/>
    <n v="0"/>
    <n v="1"/>
    <x v="2"/>
    <x v="1"/>
    <x v="0"/>
  </r>
  <r>
    <x v="2"/>
    <n v="3"/>
    <n v="0"/>
    <x v="2"/>
    <x v="1"/>
    <n v="1"/>
    <n v="2.6241478024560152"/>
    <b v="0"/>
    <n v="3"/>
    <n v="0"/>
    <n v="3"/>
    <x v="2"/>
    <x v="1"/>
    <x v="0"/>
  </r>
  <r>
    <x v="2"/>
    <n v="1171.5"/>
    <n v="66"/>
    <x v="0"/>
    <x v="0"/>
    <n v="438"/>
    <n v="1119.1274016295008"/>
    <b v="0"/>
    <n v="1172"/>
    <n v="66"/>
    <n v="1119"/>
    <x v="2"/>
    <x v="1"/>
    <x v="0"/>
  </r>
  <r>
    <x v="2"/>
    <n v="1423.5"/>
    <n v="66"/>
    <x v="0"/>
    <x v="1"/>
    <n v="621"/>
    <n v="1275.5733028447851"/>
    <b v="0"/>
    <n v="1424"/>
    <n v="66"/>
    <n v="1276"/>
    <x v="2"/>
    <x v="1"/>
    <x v="0"/>
  </r>
  <r>
    <x v="2"/>
    <n v="5545.5"/>
    <n v="195"/>
    <x v="1"/>
    <x v="1"/>
    <n v="2321"/>
    <n v="4935.3677261159064"/>
    <b v="0"/>
    <n v="5546"/>
    <n v="195"/>
    <n v="4935"/>
    <x v="2"/>
    <x v="1"/>
    <x v="0"/>
  </r>
  <r>
    <x v="2"/>
    <n v="7672.5"/>
    <n v="60"/>
    <x v="2"/>
    <x v="0"/>
    <n v="4862"/>
    <n v="7036.9695781836599"/>
    <b v="0"/>
    <n v="7673"/>
    <n v="60"/>
    <n v="7037"/>
    <x v="2"/>
    <x v="1"/>
    <x v="0"/>
  </r>
  <r>
    <x v="3"/>
    <n v="739.5"/>
    <n v="48"/>
    <x v="0"/>
    <x v="0"/>
    <n v="480"/>
    <n v="695.79148712497431"/>
    <b v="0"/>
    <n v="740"/>
    <n v="48"/>
    <n v="696"/>
    <x v="3"/>
    <x v="1"/>
    <x v="0"/>
  </r>
  <r>
    <x v="3"/>
    <n v="1483.5"/>
    <n v="48"/>
    <x v="0"/>
    <x v="1"/>
    <n v="491"/>
    <n v="1290.352833803815"/>
    <b v="0"/>
    <n v="1484"/>
    <n v="48"/>
    <n v="1290"/>
    <x v="3"/>
    <x v="1"/>
    <x v="0"/>
  </r>
  <r>
    <x v="3"/>
    <n v="4767"/>
    <n v="102"/>
    <x v="1"/>
    <x v="1"/>
    <n v="261"/>
    <n v="4054.0162950818062"/>
    <b v="0"/>
    <n v="4767"/>
    <n v="102"/>
    <n v="4054"/>
    <x v="3"/>
    <x v="1"/>
    <x v="0"/>
  </r>
  <r>
    <x v="3"/>
    <n v="9540"/>
    <n v="480"/>
    <x v="2"/>
    <x v="0"/>
    <n v="1886"/>
    <n v="8974.8995634941984"/>
    <b v="0"/>
    <n v="9540"/>
    <n v="480"/>
    <n v="8975"/>
    <x v="3"/>
    <x v="1"/>
    <x v="0"/>
  </r>
  <r>
    <x v="4"/>
    <n v="1275"/>
    <n v="82.5"/>
    <x v="0"/>
    <x v="0"/>
    <n v="27"/>
    <n v="1253.5035052404066"/>
    <b v="0"/>
    <n v="1275"/>
    <n v="83"/>
    <n v="1254"/>
    <x v="4"/>
    <x v="1"/>
    <x v="0"/>
  </r>
  <r>
    <x v="4"/>
    <n v="1336.5"/>
    <n v="82.5"/>
    <x v="0"/>
    <x v="1"/>
    <n v="433"/>
    <n v="1222.13735368941"/>
    <b v="0"/>
    <n v="1337"/>
    <n v="83"/>
    <n v="1222"/>
    <x v="4"/>
    <x v="1"/>
    <x v="0"/>
  </r>
  <r>
    <x v="4"/>
    <n v="5475"/>
    <n v="40.5"/>
    <x v="1"/>
    <x v="1"/>
    <n v="1861"/>
    <n v="4813.8667312763009"/>
    <b v="0"/>
    <n v="5475"/>
    <n v="41"/>
    <n v="4814"/>
    <x v="4"/>
    <x v="1"/>
    <x v="0"/>
  </r>
  <r>
    <x v="4"/>
    <n v="8536.5"/>
    <n v="415.5"/>
    <x v="2"/>
    <x v="0"/>
    <n v="2932"/>
    <n v="8013.4988897244393"/>
    <b v="0"/>
    <n v="8537"/>
    <n v="416"/>
    <n v="8013"/>
    <x v="4"/>
    <x v="1"/>
    <x v="0"/>
  </r>
  <r>
    <x v="5"/>
    <n v="1.5"/>
    <n v="1.5"/>
    <x v="2"/>
    <x v="1"/>
    <n v="1"/>
    <n v="2.4279332149009472"/>
    <b v="0"/>
    <n v="2"/>
    <n v="2"/>
    <n v="2"/>
    <x v="5"/>
    <x v="1"/>
    <x v="0"/>
  </r>
  <r>
    <x v="5"/>
    <n v="1288.5"/>
    <n v="60"/>
    <x v="0"/>
    <x v="1"/>
    <n v="557"/>
    <n v="1140.642797974363"/>
    <b v="0"/>
    <n v="1289"/>
    <n v="60"/>
    <n v="1141"/>
    <x v="5"/>
    <x v="1"/>
    <x v="0"/>
  </r>
  <r>
    <x v="5"/>
    <n v="1518"/>
    <n v="60"/>
    <x v="0"/>
    <x v="0"/>
    <n v="170"/>
    <n v="1384.549627456425"/>
    <b v="0"/>
    <n v="1518"/>
    <n v="60"/>
    <n v="1385"/>
    <x v="5"/>
    <x v="1"/>
    <x v="0"/>
  </r>
  <r>
    <x v="5"/>
    <n v="5766"/>
    <n v="51"/>
    <x v="1"/>
    <x v="1"/>
    <n v="2086"/>
    <n v="4911.171365073481"/>
    <b v="0"/>
    <n v="5766"/>
    <n v="51"/>
    <n v="4911"/>
    <x v="5"/>
    <x v="1"/>
    <x v="0"/>
  </r>
  <r>
    <x v="5"/>
    <n v="10162.5"/>
    <n v="544.5"/>
    <x v="2"/>
    <x v="0"/>
    <n v="5118"/>
    <n v="9864.9675572066044"/>
    <b v="0"/>
    <n v="10163"/>
    <n v="545"/>
    <n v="9865"/>
    <x v="5"/>
    <x v="1"/>
    <x v="0"/>
  </r>
  <r>
    <x v="6"/>
    <n v="1.5"/>
    <n v="1.5"/>
    <x v="2"/>
    <x v="1"/>
    <n v="1"/>
    <n v="2.5357140210163558"/>
    <b v="0"/>
    <n v="2"/>
    <n v="2"/>
    <n v="3"/>
    <x v="6"/>
    <x v="1"/>
    <x v="0"/>
  </r>
  <r>
    <x v="6"/>
    <n v="1.5"/>
    <n v="1.5"/>
    <x v="1"/>
    <x v="0"/>
    <n v="1"/>
    <n v="2.6261681446731151"/>
    <b v="0"/>
    <n v="2"/>
    <n v="2"/>
    <n v="3"/>
    <x v="6"/>
    <x v="1"/>
    <x v="0"/>
  </r>
  <r>
    <x v="6"/>
    <n v="1143"/>
    <n v="111"/>
    <x v="0"/>
    <x v="1"/>
    <n v="733"/>
    <n v="1049.5656477228199"/>
    <b v="0"/>
    <n v="1143"/>
    <n v="111"/>
    <n v="1050"/>
    <x v="6"/>
    <x v="1"/>
    <x v="0"/>
  </r>
  <r>
    <x v="6"/>
    <n v="1762.5"/>
    <n v="111"/>
    <x v="0"/>
    <x v="0"/>
    <n v="1156"/>
    <n v="1696.8735315358956"/>
    <b v="0"/>
    <n v="1763"/>
    <n v="111"/>
    <n v="1697"/>
    <x v="6"/>
    <x v="1"/>
    <x v="0"/>
  </r>
  <r>
    <x v="6"/>
    <n v="5605.5"/>
    <n v="184.5"/>
    <x v="1"/>
    <x v="1"/>
    <n v="1671"/>
    <n v="5082.8867495189897"/>
    <b v="0"/>
    <n v="5606"/>
    <n v="185"/>
    <n v="5083"/>
    <x v="6"/>
    <x v="1"/>
    <x v="0"/>
  </r>
  <r>
    <x v="6"/>
    <n v="8728.5"/>
    <n v="364.5"/>
    <x v="2"/>
    <x v="0"/>
    <n v="550"/>
    <n v="8229.8531347550725"/>
    <b v="0"/>
    <n v="8729"/>
    <n v="365"/>
    <n v="8230"/>
    <x v="6"/>
    <x v="1"/>
    <x v="0"/>
  </r>
  <r>
    <x v="7"/>
    <n v="1.5"/>
    <n v="0"/>
    <x v="1"/>
    <x v="0"/>
    <n v="1"/>
    <n v="1.3997440845370979"/>
    <b v="0"/>
    <n v="2"/>
    <n v="0"/>
    <n v="1"/>
    <x v="0"/>
    <x v="1"/>
    <x v="0"/>
  </r>
  <r>
    <x v="7"/>
    <n v="3"/>
    <n v="0"/>
    <x v="2"/>
    <x v="1"/>
    <n v="1"/>
    <n v="2.5900520035367789"/>
    <b v="0"/>
    <n v="3"/>
    <n v="0"/>
    <n v="3"/>
    <x v="0"/>
    <x v="1"/>
    <x v="0"/>
  </r>
  <r>
    <x v="7"/>
    <n v="736.5"/>
    <n v="6"/>
    <x v="0"/>
    <x v="0"/>
    <n v="215"/>
    <n v="675.74336736882231"/>
    <b v="0"/>
    <n v="737"/>
    <n v="6"/>
    <n v="676"/>
    <x v="0"/>
    <x v="1"/>
    <x v="0"/>
  </r>
  <r>
    <x v="7"/>
    <n v="787.5"/>
    <n v="6"/>
    <x v="0"/>
    <x v="1"/>
    <n v="332"/>
    <n v="691.8425680026586"/>
    <b v="0"/>
    <n v="788"/>
    <n v="6"/>
    <n v="692"/>
    <x v="0"/>
    <x v="1"/>
    <x v="0"/>
  </r>
  <r>
    <x v="7"/>
    <n v="4990.5"/>
    <n v="139.5"/>
    <x v="1"/>
    <x v="1"/>
    <n v="2645"/>
    <n v="4518.3676613444841"/>
    <b v="0"/>
    <n v="4991"/>
    <n v="140"/>
    <n v="4518"/>
    <x v="0"/>
    <x v="1"/>
    <x v="0"/>
  </r>
  <r>
    <x v="7"/>
    <n v="8259"/>
    <n v="94.5"/>
    <x v="2"/>
    <x v="0"/>
    <n v="3526"/>
    <n v="7458.6427318605456"/>
    <b v="0"/>
    <n v="8259"/>
    <n v="95"/>
    <n v="7459"/>
    <x v="0"/>
    <x v="1"/>
    <x v="0"/>
  </r>
  <r>
    <x v="8"/>
    <n v="753"/>
    <n v="7.5"/>
    <x v="0"/>
    <x v="0"/>
    <n v="125"/>
    <n v="679.17206195021049"/>
    <b v="0"/>
    <n v="753"/>
    <n v="8"/>
    <n v="679"/>
    <x v="1"/>
    <x v="1"/>
    <x v="0"/>
  </r>
  <r>
    <x v="8"/>
    <n v="964.5"/>
    <n v="7.5"/>
    <x v="0"/>
    <x v="1"/>
    <n v="199"/>
    <n v="777.67414555785842"/>
    <b v="1"/>
    <n v="965"/>
    <n v="8"/>
    <n v="778"/>
    <x v="1"/>
    <x v="0"/>
    <x v="0"/>
  </r>
  <r>
    <x v="8"/>
    <n v="4090.5"/>
    <n v="162"/>
    <x v="1"/>
    <x v="1"/>
    <n v="413"/>
    <n v="3538.9940922973096"/>
    <b v="0"/>
    <n v="4091"/>
    <n v="162"/>
    <n v="3539"/>
    <x v="1"/>
    <x v="1"/>
    <x v="0"/>
  </r>
  <r>
    <x v="8"/>
    <n v="7035"/>
    <n v="117"/>
    <x v="2"/>
    <x v="0"/>
    <n v="654"/>
    <n v="6328.5308811929208"/>
    <b v="0"/>
    <n v="7035"/>
    <n v="117"/>
    <n v="6329"/>
    <x v="1"/>
    <x v="1"/>
    <x v="0"/>
  </r>
  <r>
    <x v="9"/>
    <n v="375"/>
    <n v="4.5"/>
    <x v="0"/>
    <x v="0"/>
    <n v="143"/>
    <n v="330.66498940060427"/>
    <b v="1"/>
    <n v="375"/>
    <n v="5"/>
    <n v="331"/>
    <x v="2"/>
    <x v="0"/>
    <x v="0"/>
  </r>
  <r>
    <x v="9"/>
    <n v="906"/>
    <n v="4.5"/>
    <x v="0"/>
    <x v="1"/>
    <n v="253"/>
    <n v="755.3233483785699"/>
    <b v="0"/>
    <n v="906"/>
    <n v="5"/>
    <n v="755"/>
    <x v="2"/>
    <x v="1"/>
    <x v="0"/>
  </r>
  <r>
    <x v="9"/>
    <n v="4347"/>
    <n v="6"/>
    <x v="1"/>
    <x v="1"/>
    <n v="1882"/>
    <n v="3621.4741914583001"/>
    <b v="0"/>
    <n v="4347"/>
    <n v="6"/>
    <n v="3621"/>
    <x v="2"/>
    <x v="1"/>
    <x v="0"/>
  </r>
  <r>
    <x v="9"/>
    <n v="7650"/>
    <n v="313.5"/>
    <x v="2"/>
    <x v="0"/>
    <n v="4447"/>
    <n v="7029.3109126667669"/>
    <b v="0"/>
    <n v="7650"/>
    <n v="314"/>
    <n v="7029"/>
    <x v="2"/>
    <x v="1"/>
    <x v="0"/>
  </r>
  <r>
    <x v="10"/>
    <n v="1.5"/>
    <n v="0"/>
    <x v="1"/>
    <x v="0"/>
    <n v="1"/>
    <n v="1.3179577902743189"/>
    <b v="1"/>
    <n v="2"/>
    <n v="0"/>
    <n v="1"/>
    <x v="3"/>
    <x v="0"/>
    <x v="0"/>
  </r>
  <r>
    <x v="10"/>
    <n v="567"/>
    <n v="33"/>
    <x v="0"/>
    <x v="0"/>
    <n v="131"/>
    <n v="559.19665941233939"/>
    <b v="1"/>
    <n v="567"/>
    <n v="33"/>
    <n v="559"/>
    <x v="3"/>
    <x v="0"/>
    <x v="0"/>
  </r>
  <r>
    <x v="10"/>
    <n v="714"/>
    <n v="33"/>
    <x v="0"/>
    <x v="1"/>
    <n v="175"/>
    <n v="609.77819882257404"/>
    <b v="1"/>
    <n v="714"/>
    <n v="33"/>
    <n v="610"/>
    <x v="3"/>
    <x v="0"/>
    <x v="0"/>
  </r>
  <r>
    <x v="10"/>
    <n v="6051"/>
    <n v="274.5"/>
    <x v="1"/>
    <x v="1"/>
    <n v="3751"/>
    <n v="5391.0681742010784"/>
    <b v="1"/>
    <n v="6051"/>
    <n v="275"/>
    <n v="5391"/>
    <x v="3"/>
    <x v="0"/>
    <x v="0"/>
  </r>
  <r>
    <x v="10"/>
    <n v="8325"/>
    <n v="444"/>
    <x v="2"/>
    <x v="0"/>
    <n v="1944"/>
    <n v="7729.3432632558051"/>
    <b v="1"/>
    <n v="8325"/>
    <n v="444"/>
    <n v="7729"/>
    <x v="3"/>
    <x v="0"/>
    <x v="0"/>
  </r>
  <r>
    <x v="11"/>
    <n v="1090.5"/>
    <n v="12"/>
    <x v="0"/>
    <x v="0"/>
    <n v="167"/>
    <n v="980.27564045013628"/>
    <b v="1"/>
    <n v="1091"/>
    <n v="12"/>
    <n v="980"/>
    <x v="4"/>
    <x v="0"/>
    <x v="0"/>
  </r>
  <r>
    <x v="11"/>
    <n v="1426.5"/>
    <n v="12"/>
    <x v="0"/>
    <x v="1"/>
    <n v="478"/>
    <n v="1220.4905871030749"/>
    <b v="1"/>
    <n v="1427"/>
    <n v="12"/>
    <n v="1220"/>
    <x v="4"/>
    <x v="0"/>
    <x v="0"/>
  </r>
  <r>
    <x v="11"/>
    <n v="6076.5"/>
    <n v="3"/>
    <x v="1"/>
    <x v="1"/>
    <n v="3511"/>
    <n v="5149.431079210196"/>
    <b v="1"/>
    <n v="6077"/>
    <n v="3"/>
    <n v="5149"/>
    <x v="4"/>
    <x v="0"/>
    <x v="0"/>
  </r>
  <r>
    <x v="11"/>
    <n v="7767"/>
    <n v="79.5"/>
    <x v="2"/>
    <x v="0"/>
    <n v="760"/>
    <n v="6918.3728756077908"/>
    <b v="1"/>
    <n v="7767"/>
    <n v="80"/>
    <n v="6918"/>
    <x v="4"/>
    <x v="0"/>
    <x v="0"/>
  </r>
  <r>
    <x v="12"/>
    <n v="1.5"/>
    <n v="0"/>
    <x v="1"/>
    <x v="0"/>
    <n v="1"/>
    <n v="1.3290465662908351"/>
    <b v="0"/>
    <n v="2"/>
    <n v="0"/>
    <n v="1"/>
    <x v="5"/>
    <x v="1"/>
    <x v="0"/>
  </r>
  <r>
    <x v="12"/>
    <n v="1830"/>
    <n v="84"/>
    <x v="0"/>
    <x v="0"/>
    <n v="548"/>
    <n v="1714.5337037555207"/>
    <b v="0"/>
    <n v="1830"/>
    <n v="84"/>
    <n v="1715"/>
    <x v="5"/>
    <x v="1"/>
    <x v="0"/>
  </r>
  <r>
    <x v="12"/>
    <n v="2082"/>
    <n v="84"/>
    <x v="0"/>
    <x v="1"/>
    <n v="1051"/>
    <n v="1884.0476610104486"/>
    <b v="0"/>
    <n v="2082"/>
    <n v="84"/>
    <n v="1884"/>
    <x v="5"/>
    <x v="1"/>
    <x v="0"/>
  </r>
  <r>
    <x v="12"/>
    <n v="5676"/>
    <n v="147"/>
    <x v="1"/>
    <x v="1"/>
    <n v="3545"/>
    <n v="4912.6144993602356"/>
    <b v="0"/>
    <n v="5676"/>
    <n v="147"/>
    <n v="4913"/>
    <x v="5"/>
    <x v="1"/>
    <x v="0"/>
  </r>
  <r>
    <x v="12"/>
    <n v="8839.5"/>
    <n v="76.5"/>
    <x v="2"/>
    <x v="0"/>
    <n v="2268"/>
    <n v="8234.4108477261216"/>
    <b v="0"/>
    <n v="8840"/>
    <n v="77"/>
    <n v="8234"/>
    <x v="5"/>
    <x v="1"/>
    <x v="0"/>
  </r>
  <r>
    <x v="13"/>
    <n v="1248"/>
    <n v="45"/>
    <x v="0"/>
    <x v="0"/>
    <n v="776"/>
    <n v="1130.3290622500438"/>
    <b v="0"/>
    <n v="1248"/>
    <n v="45"/>
    <n v="1130"/>
    <x v="6"/>
    <x v="1"/>
    <x v="0"/>
  </r>
  <r>
    <x v="13"/>
    <n v="1786.5"/>
    <n v="45"/>
    <x v="0"/>
    <x v="1"/>
    <n v="371"/>
    <n v="1584.3388512810131"/>
    <b v="0"/>
    <n v="1787"/>
    <n v="45"/>
    <n v="1584"/>
    <x v="6"/>
    <x v="1"/>
    <x v="0"/>
  </r>
  <r>
    <x v="13"/>
    <n v="5508"/>
    <n v="238.5"/>
    <x v="1"/>
    <x v="1"/>
    <n v="1874"/>
    <n v="4908.0142093654131"/>
    <b v="0"/>
    <n v="5508"/>
    <n v="239"/>
    <n v="4908"/>
    <x v="6"/>
    <x v="1"/>
    <x v="0"/>
  </r>
  <r>
    <x v="13"/>
    <n v="9114"/>
    <n v="549"/>
    <x v="2"/>
    <x v="0"/>
    <n v="4933"/>
    <n v="9067.0596422617782"/>
    <b v="0"/>
    <n v="9114"/>
    <n v="549"/>
    <n v="9067"/>
    <x v="6"/>
    <x v="1"/>
    <x v="0"/>
  </r>
  <r>
    <x v="14"/>
    <n v="1.5"/>
    <n v="0"/>
    <x v="2"/>
    <x v="1"/>
    <n v="1"/>
    <n v="1.2115028971608466"/>
    <b v="1"/>
    <n v="2"/>
    <n v="0"/>
    <n v="1"/>
    <x v="0"/>
    <x v="0"/>
    <x v="0"/>
  </r>
  <r>
    <x v="14"/>
    <n v="1.5"/>
    <n v="0"/>
    <x v="1"/>
    <x v="0"/>
    <n v="1"/>
    <n v="1.3150509968934345"/>
    <b v="0"/>
    <n v="2"/>
    <n v="0"/>
    <n v="1"/>
    <x v="0"/>
    <x v="1"/>
    <x v="0"/>
  </r>
  <r>
    <x v="14"/>
    <n v="805.5"/>
    <n v="28.5"/>
    <x v="0"/>
    <x v="0"/>
    <n v="234"/>
    <n v="728.99422560318897"/>
    <b v="0"/>
    <n v="806"/>
    <n v="29"/>
    <n v="729"/>
    <x v="0"/>
    <x v="1"/>
    <x v="0"/>
  </r>
  <r>
    <x v="14"/>
    <n v="1372.5"/>
    <n v="28.5"/>
    <x v="0"/>
    <x v="1"/>
    <n v="765"/>
    <n v="1243.0509741556064"/>
    <b v="0"/>
    <n v="1373"/>
    <n v="29"/>
    <n v="1243"/>
    <x v="0"/>
    <x v="1"/>
    <x v="0"/>
  </r>
  <r>
    <x v="14"/>
    <n v="5523"/>
    <n v="129"/>
    <x v="1"/>
    <x v="1"/>
    <n v="2865"/>
    <n v="4944.4185711920718"/>
    <b v="0"/>
    <n v="5523"/>
    <n v="129"/>
    <n v="4944"/>
    <x v="0"/>
    <x v="1"/>
    <x v="0"/>
  </r>
  <r>
    <x v="14"/>
    <n v="8619"/>
    <n v="367.5"/>
    <x v="2"/>
    <x v="0"/>
    <n v="5042"/>
    <n v="7962.1912249588459"/>
    <b v="0"/>
    <n v="8619"/>
    <n v="368"/>
    <n v="7962"/>
    <x v="0"/>
    <x v="1"/>
    <x v="0"/>
  </r>
  <r>
    <x v="15"/>
    <n v="1401"/>
    <n v="129"/>
    <x v="0"/>
    <x v="1"/>
    <n v="867"/>
    <n v="1319.9259492945243"/>
    <b v="0"/>
    <n v="1401"/>
    <n v="129"/>
    <n v="1320"/>
    <x v="1"/>
    <x v="1"/>
    <x v="0"/>
  </r>
  <r>
    <x v="15"/>
    <n v="2869.5"/>
    <n v="129"/>
    <x v="0"/>
    <x v="0"/>
    <n v="390"/>
    <n v="2713.0023070697248"/>
    <b v="0"/>
    <n v="2870"/>
    <n v="129"/>
    <n v="2713"/>
    <x v="1"/>
    <x v="1"/>
    <x v="0"/>
  </r>
  <r>
    <x v="15"/>
    <n v="3754.5"/>
    <n v="117"/>
    <x v="1"/>
    <x v="1"/>
    <n v="988"/>
    <n v="3304.6856961107342"/>
    <b v="0"/>
    <n v="3755"/>
    <n v="117"/>
    <n v="3305"/>
    <x v="1"/>
    <x v="1"/>
    <x v="0"/>
  </r>
  <r>
    <x v="15"/>
    <n v="6999"/>
    <n v="36"/>
    <x v="2"/>
    <x v="0"/>
    <n v="1202"/>
    <n v="6206.9516646711527"/>
    <b v="0"/>
    <n v="6999"/>
    <n v="36"/>
    <n v="6207"/>
    <x v="1"/>
    <x v="1"/>
    <x v="0"/>
  </r>
  <r>
    <x v="16"/>
    <n v="1.5"/>
    <n v="0"/>
    <x v="1"/>
    <x v="0"/>
    <n v="1"/>
    <n v="1.383750171884262"/>
    <b v="0"/>
    <n v="2"/>
    <n v="0"/>
    <n v="1"/>
    <x v="2"/>
    <x v="1"/>
    <x v="0"/>
  </r>
  <r>
    <x v="16"/>
    <n v="594"/>
    <n v="39"/>
    <x v="0"/>
    <x v="0"/>
    <n v="339"/>
    <n v="570.21327819894657"/>
    <b v="0"/>
    <n v="594"/>
    <n v="39"/>
    <n v="570"/>
    <x v="2"/>
    <x v="1"/>
    <x v="0"/>
  </r>
  <r>
    <x v="16"/>
    <n v="681"/>
    <n v="39"/>
    <x v="0"/>
    <x v="1"/>
    <n v="141"/>
    <n v="625.4415212779511"/>
    <b v="0"/>
    <n v="681"/>
    <n v="39"/>
    <n v="625"/>
    <x v="2"/>
    <x v="1"/>
    <x v="0"/>
  </r>
  <r>
    <x v="16"/>
    <n v="4933.5"/>
    <n v="42"/>
    <x v="1"/>
    <x v="1"/>
    <n v="2250"/>
    <n v="4265.1127056049299"/>
    <b v="0"/>
    <n v="4934"/>
    <n v="42"/>
    <n v="4265"/>
    <x v="2"/>
    <x v="1"/>
    <x v="0"/>
  </r>
  <r>
    <x v="16"/>
    <n v="9771"/>
    <n v="199.5"/>
    <x v="2"/>
    <x v="0"/>
    <n v="320"/>
    <n v="9278.7302234827639"/>
    <b v="0"/>
    <n v="9771"/>
    <n v="200"/>
    <n v="9279"/>
    <x v="2"/>
    <x v="1"/>
    <x v="0"/>
  </r>
  <r>
    <x v="17"/>
    <n v="1.5"/>
    <n v="0"/>
    <x v="1"/>
    <x v="0"/>
    <n v="1"/>
    <n v="1.4033903676196995"/>
    <b v="0"/>
    <n v="2"/>
    <n v="0"/>
    <n v="1"/>
    <x v="3"/>
    <x v="1"/>
    <x v="0"/>
  </r>
  <r>
    <x v="17"/>
    <n v="1176"/>
    <n v="13.5"/>
    <x v="0"/>
    <x v="1"/>
    <n v="6"/>
    <n v="991.85875355701637"/>
    <b v="0"/>
    <n v="1176"/>
    <n v="14"/>
    <n v="992"/>
    <x v="3"/>
    <x v="1"/>
    <x v="0"/>
  </r>
  <r>
    <x v="17"/>
    <n v="1492.5"/>
    <n v="13.5"/>
    <x v="0"/>
    <x v="0"/>
    <n v="644"/>
    <n v="1357.5770137313223"/>
    <b v="0"/>
    <n v="1493"/>
    <n v="14"/>
    <n v="1358"/>
    <x v="3"/>
    <x v="1"/>
    <x v="0"/>
  </r>
  <r>
    <x v="17"/>
    <n v="4758"/>
    <n v="175.5"/>
    <x v="1"/>
    <x v="1"/>
    <n v="2200"/>
    <n v="4303.1850747513554"/>
    <b v="0"/>
    <n v="4758"/>
    <n v="176"/>
    <n v="4303"/>
    <x v="3"/>
    <x v="1"/>
    <x v="0"/>
  </r>
  <r>
    <x v="17"/>
    <n v="8883"/>
    <n v="277.5"/>
    <x v="2"/>
    <x v="0"/>
    <n v="4950"/>
    <n v="8031.2519594617988"/>
    <b v="0"/>
    <n v="8883"/>
    <n v="278"/>
    <n v="8031"/>
    <x v="3"/>
    <x v="1"/>
    <x v="0"/>
  </r>
  <r>
    <x v="18"/>
    <n v="1239"/>
    <n v="76.5"/>
    <x v="0"/>
    <x v="0"/>
    <n v="362"/>
    <n v="1191.5606785433654"/>
    <b v="0"/>
    <n v="1239"/>
    <n v="77"/>
    <n v="1192"/>
    <x v="4"/>
    <x v="1"/>
    <x v="0"/>
  </r>
  <r>
    <x v="18"/>
    <n v="1473"/>
    <n v="76.5"/>
    <x v="0"/>
    <x v="1"/>
    <n v="250"/>
    <n v="1306.5375758946875"/>
    <b v="0"/>
    <n v="1473"/>
    <n v="77"/>
    <n v="1307"/>
    <x v="4"/>
    <x v="1"/>
    <x v="0"/>
  </r>
  <r>
    <x v="18"/>
    <n v="5226"/>
    <n v="231"/>
    <x v="1"/>
    <x v="1"/>
    <n v="2948"/>
    <n v="4465.3398406988326"/>
    <b v="0"/>
    <n v="5226"/>
    <n v="231"/>
    <n v="4465"/>
    <x v="4"/>
    <x v="1"/>
    <x v="0"/>
  </r>
  <r>
    <x v="18"/>
    <n v="8775"/>
    <n v="252"/>
    <x v="2"/>
    <x v="0"/>
    <n v="168"/>
    <n v="7872.1951617437899"/>
    <b v="0"/>
    <n v="8775"/>
    <n v="252"/>
    <n v="7872"/>
    <x v="4"/>
    <x v="1"/>
    <x v="0"/>
  </r>
  <r>
    <x v="19"/>
    <n v="1.5"/>
    <n v="0"/>
    <x v="2"/>
    <x v="1"/>
    <n v="1"/>
    <n v="1.3220758836285436"/>
    <b v="0"/>
    <n v="2"/>
    <n v="0"/>
    <n v="1"/>
    <x v="5"/>
    <x v="1"/>
    <x v="0"/>
  </r>
  <r>
    <x v="19"/>
    <n v="1.5"/>
    <n v="0"/>
    <x v="1"/>
    <x v="0"/>
    <n v="1"/>
    <n v="1.3698958401795647"/>
    <b v="0"/>
    <n v="2"/>
    <n v="0"/>
    <n v="1"/>
    <x v="5"/>
    <x v="1"/>
    <x v="0"/>
  </r>
  <r>
    <x v="19"/>
    <n v="904.5"/>
    <n v="48"/>
    <x v="0"/>
    <x v="0"/>
    <n v="209"/>
    <n v="880.18507813768758"/>
    <b v="0"/>
    <n v="905"/>
    <n v="48"/>
    <n v="880"/>
    <x v="5"/>
    <x v="1"/>
    <x v="0"/>
  </r>
  <r>
    <x v="19"/>
    <n v="1011"/>
    <n v="48"/>
    <x v="0"/>
    <x v="1"/>
    <n v="323"/>
    <n v="852.76334408516016"/>
    <b v="0"/>
    <n v="1011"/>
    <n v="48"/>
    <n v="853"/>
    <x v="5"/>
    <x v="1"/>
    <x v="0"/>
  </r>
  <r>
    <x v="19"/>
    <n v="6649.5"/>
    <n v="81"/>
    <x v="1"/>
    <x v="1"/>
    <n v="4134"/>
    <n v="5410.8148651323072"/>
    <b v="0"/>
    <n v="6650"/>
    <n v="81"/>
    <n v="5411"/>
    <x v="5"/>
    <x v="1"/>
    <x v="0"/>
  </r>
  <r>
    <x v="19"/>
    <n v="9886.5"/>
    <n v="57"/>
    <x v="2"/>
    <x v="0"/>
    <n v="2245"/>
    <n v="9308.6267749447634"/>
    <b v="0"/>
    <n v="9887"/>
    <n v="57"/>
    <n v="9309"/>
    <x v="5"/>
    <x v="1"/>
    <x v="0"/>
  </r>
  <r>
    <x v="20"/>
    <n v="1.5"/>
    <n v="0"/>
    <x v="2"/>
    <x v="1"/>
    <n v="1"/>
    <n v="1.206766988836806"/>
    <b v="1"/>
    <n v="2"/>
    <n v="0"/>
    <n v="1"/>
    <x v="6"/>
    <x v="0"/>
    <x v="0"/>
  </r>
  <r>
    <x v="20"/>
    <n v="484.5"/>
    <n v="25.5"/>
    <x v="0"/>
    <x v="0"/>
    <n v="131"/>
    <n v="447.21593685955207"/>
    <b v="0"/>
    <n v="485"/>
    <n v="26"/>
    <n v="447"/>
    <x v="6"/>
    <x v="1"/>
    <x v="0"/>
  </r>
  <r>
    <x v="20"/>
    <n v="1066.5"/>
    <n v="25.5"/>
    <x v="0"/>
    <x v="1"/>
    <n v="280"/>
    <n v="966.72653441377759"/>
    <b v="0"/>
    <n v="1067"/>
    <n v="26"/>
    <n v="967"/>
    <x v="6"/>
    <x v="1"/>
    <x v="0"/>
  </r>
  <r>
    <x v="20"/>
    <n v="5695.5"/>
    <n v="219"/>
    <x v="1"/>
    <x v="1"/>
    <n v="413"/>
    <n v="5076.0282953652686"/>
    <b v="0"/>
    <n v="5696"/>
    <n v="219"/>
    <n v="5076"/>
    <x v="6"/>
    <x v="1"/>
    <x v="0"/>
  </r>
  <r>
    <x v="20"/>
    <n v="8665.5"/>
    <n v="91.5"/>
    <x v="2"/>
    <x v="0"/>
    <n v="2256"/>
    <n v="7758.9011432447915"/>
    <b v="0"/>
    <n v="8666"/>
    <n v="92"/>
    <n v="7759"/>
    <x v="6"/>
    <x v="1"/>
    <x v="0"/>
  </r>
  <r>
    <x v="21"/>
    <n v="1.5"/>
    <n v="0"/>
    <x v="2"/>
    <x v="1"/>
    <n v="1"/>
    <n v="1.2844909643134934"/>
    <b v="0"/>
    <n v="2"/>
    <n v="0"/>
    <n v="1"/>
    <x v="0"/>
    <x v="1"/>
    <x v="0"/>
  </r>
  <r>
    <x v="21"/>
    <n v="817.5"/>
    <n v="33"/>
    <x v="0"/>
    <x v="1"/>
    <n v="409"/>
    <n v="704.8410730958509"/>
    <b v="0"/>
    <n v="818"/>
    <n v="33"/>
    <n v="705"/>
    <x v="0"/>
    <x v="1"/>
    <x v="0"/>
  </r>
  <r>
    <x v="21"/>
    <n v="925.5"/>
    <n v="33"/>
    <x v="0"/>
    <x v="0"/>
    <n v="7"/>
    <n v="842.65359793976995"/>
    <b v="0"/>
    <n v="926"/>
    <n v="33"/>
    <n v="843"/>
    <x v="0"/>
    <x v="1"/>
    <x v="0"/>
  </r>
  <r>
    <x v="21"/>
    <n v="4543.5"/>
    <n v="46.5"/>
    <x v="1"/>
    <x v="1"/>
    <n v="2633"/>
    <n v="3813.0981835271418"/>
    <b v="0"/>
    <n v="4544"/>
    <n v="47"/>
    <n v="3813"/>
    <x v="0"/>
    <x v="1"/>
    <x v="0"/>
  </r>
  <r>
    <x v="21"/>
    <n v="7492.5"/>
    <n v="415.5"/>
    <x v="2"/>
    <x v="0"/>
    <n v="3241"/>
    <n v="7127.5681900514237"/>
    <b v="0"/>
    <n v="7493"/>
    <n v="416"/>
    <n v="7128"/>
    <x v="0"/>
    <x v="1"/>
    <x v="0"/>
  </r>
  <r>
    <x v="22"/>
    <n v="381"/>
    <n v="6"/>
    <x v="0"/>
    <x v="0"/>
    <n v="136"/>
    <n v="337.37978541319848"/>
    <b v="0"/>
    <n v="381"/>
    <n v="6"/>
    <n v="337"/>
    <x v="1"/>
    <x v="1"/>
    <x v="0"/>
  </r>
  <r>
    <x v="22"/>
    <n v="439.5"/>
    <n v="6"/>
    <x v="0"/>
    <x v="1"/>
    <n v="95"/>
    <n v="364.29058600306519"/>
    <b v="0"/>
    <n v="440"/>
    <n v="6"/>
    <n v="364"/>
    <x v="1"/>
    <x v="1"/>
    <x v="0"/>
  </r>
  <r>
    <x v="22"/>
    <n v="6121.5"/>
    <n v="304.5"/>
    <x v="1"/>
    <x v="1"/>
    <n v="2543"/>
    <n v="5297.2289479055435"/>
    <b v="0"/>
    <n v="6122"/>
    <n v="305"/>
    <n v="5297"/>
    <x v="1"/>
    <x v="1"/>
    <x v="0"/>
  </r>
  <r>
    <x v="22"/>
    <n v="7152"/>
    <n v="334.5"/>
    <x v="2"/>
    <x v="0"/>
    <n v="2377"/>
    <n v="6814.6518556180808"/>
    <b v="1"/>
    <n v="7152"/>
    <n v="335"/>
    <n v="6815"/>
    <x v="1"/>
    <x v="0"/>
    <x v="0"/>
  </r>
  <r>
    <x v="23"/>
    <n v="1039.5"/>
    <n v="36"/>
    <x v="0"/>
    <x v="0"/>
    <n v="639"/>
    <n v="956.1668353469862"/>
    <b v="0"/>
    <n v="1040"/>
    <n v="36"/>
    <n v="956"/>
    <x v="2"/>
    <x v="1"/>
    <x v="0"/>
  </r>
  <r>
    <x v="23"/>
    <n v="1371"/>
    <n v="36"/>
    <x v="0"/>
    <x v="1"/>
    <n v="250"/>
    <n v="1156.2839593738054"/>
    <b v="0"/>
    <n v="1371"/>
    <n v="36"/>
    <n v="1156"/>
    <x v="2"/>
    <x v="1"/>
    <x v="0"/>
  </r>
  <r>
    <x v="23"/>
    <n v="4861.5"/>
    <n v="28.5"/>
    <x v="1"/>
    <x v="1"/>
    <n v="1719"/>
    <n v="4013.9192848592597"/>
    <b v="0"/>
    <n v="4862"/>
    <n v="29"/>
    <n v="4014"/>
    <x v="2"/>
    <x v="1"/>
    <x v="0"/>
  </r>
  <r>
    <x v="23"/>
    <n v="8308.5"/>
    <n v="436.5"/>
    <x v="2"/>
    <x v="0"/>
    <n v="5412"/>
    <n v="7763.3714314167855"/>
    <b v="0"/>
    <n v="8309"/>
    <n v="437"/>
    <n v="7763"/>
    <x v="2"/>
    <x v="1"/>
    <x v="0"/>
  </r>
  <r>
    <x v="24"/>
    <n v="1.5"/>
    <n v="0"/>
    <x v="2"/>
    <x v="1"/>
    <n v="1"/>
    <n v="1.2989025573418169"/>
    <b v="0"/>
    <n v="2"/>
    <n v="0"/>
    <n v="1"/>
    <x v="3"/>
    <x v="1"/>
    <x v="0"/>
  </r>
  <r>
    <x v="24"/>
    <n v="582"/>
    <n v="40.5"/>
    <x v="0"/>
    <x v="1"/>
    <n v="231"/>
    <n v="535.54122643149356"/>
    <b v="0"/>
    <n v="582"/>
    <n v="41"/>
    <n v="536"/>
    <x v="3"/>
    <x v="1"/>
    <x v="0"/>
  </r>
  <r>
    <x v="24"/>
    <n v="613.5"/>
    <n v="40.5"/>
    <x v="0"/>
    <x v="0"/>
    <n v="113"/>
    <n v="597.34759324667323"/>
    <b v="0"/>
    <n v="614"/>
    <n v="41"/>
    <n v="597"/>
    <x v="3"/>
    <x v="1"/>
    <x v="0"/>
  </r>
  <r>
    <x v="24"/>
    <n v="7107"/>
    <n v="366"/>
    <x v="2"/>
    <x v="0"/>
    <n v="1321"/>
    <n v="6856.6347376340582"/>
    <b v="0"/>
    <n v="7107"/>
    <n v="366"/>
    <n v="6857"/>
    <x v="3"/>
    <x v="1"/>
    <x v="0"/>
  </r>
  <r>
    <x v="24"/>
    <n v="8112"/>
    <n v="69"/>
    <x v="1"/>
    <x v="1"/>
    <n v="2933"/>
    <n v="7278.7739941879163"/>
    <b v="0"/>
    <n v="8112"/>
    <n v="69"/>
    <n v="7279"/>
    <x v="3"/>
    <x v="1"/>
    <x v="0"/>
  </r>
  <r>
    <x v="25"/>
    <n v="3"/>
    <n v="0"/>
    <x v="2"/>
    <x v="1"/>
    <n v="1"/>
    <n v="2.6347701236513279"/>
    <b v="0"/>
    <n v="3"/>
    <n v="0"/>
    <n v="3"/>
    <x v="4"/>
    <x v="1"/>
    <x v="0"/>
  </r>
  <r>
    <x v="25"/>
    <n v="1123.5"/>
    <n v="76.5"/>
    <x v="0"/>
    <x v="1"/>
    <n v="160"/>
    <n v="1015.6580281133845"/>
    <b v="0"/>
    <n v="1124"/>
    <n v="77"/>
    <n v="1016"/>
    <x v="4"/>
    <x v="1"/>
    <x v="0"/>
  </r>
  <r>
    <x v="25"/>
    <n v="1284"/>
    <n v="76.5"/>
    <x v="0"/>
    <x v="0"/>
    <n v="784"/>
    <n v="1202.4899771998867"/>
    <b v="0"/>
    <n v="1284"/>
    <n v="77"/>
    <n v="1202"/>
    <x v="4"/>
    <x v="1"/>
    <x v="0"/>
  </r>
  <r>
    <x v="25"/>
    <n v="7515"/>
    <n v="240"/>
    <x v="1"/>
    <x v="1"/>
    <n v="570"/>
    <n v="6778.9271172479612"/>
    <b v="1"/>
    <n v="7515"/>
    <n v="240"/>
    <n v="6779"/>
    <x v="4"/>
    <x v="0"/>
    <x v="0"/>
  </r>
  <r>
    <x v="25"/>
    <n v="8886"/>
    <n v="459"/>
    <x v="2"/>
    <x v="0"/>
    <n v="2097"/>
    <n v="8309.8623376283304"/>
    <b v="0"/>
    <n v="8886"/>
    <n v="459"/>
    <n v="8310"/>
    <x v="4"/>
    <x v="1"/>
    <x v="0"/>
  </r>
  <r>
    <x v="26"/>
    <n v="676.5"/>
    <n v="66"/>
    <x v="0"/>
    <x v="1"/>
    <n v="234"/>
    <n v="645.62530392109977"/>
    <b v="0"/>
    <n v="677"/>
    <n v="66"/>
    <n v="646"/>
    <x v="5"/>
    <x v="1"/>
    <x v="0"/>
  </r>
  <r>
    <x v="26"/>
    <n v="1146"/>
    <n v="66"/>
    <x v="0"/>
    <x v="0"/>
    <n v="574"/>
    <n v="1100.8487940615662"/>
    <b v="0"/>
    <n v="1146"/>
    <n v="66"/>
    <n v="1101"/>
    <x v="5"/>
    <x v="1"/>
    <x v="0"/>
  </r>
  <r>
    <x v="26"/>
    <n v="6238.5"/>
    <n v="268.5"/>
    <x v="1"/>
    <x v="1"/>
    <n v="1654"/>
    <n v="5267.9913006841643"/>
    <b v="0"/>
    <n v="6239"/>
    <n v="269"/>
    <n v="5268"/>
    <x v="5"/>
    <x v="1"/>
    <x v="0"/>
  </r>
  <r>
    <x v="26"/>
    <n v="10560"/>
    <n v="669"/>
    <x v="2"/>
    <x v="0"/>
    <n v="6229"/>
    <n v="10340.718390727572"/>
    <b v="1"/>
    <n v="10560"/>
    <n v="669"/>
    <n v="10341"/>
    <x v="5"/>
    <x v="0"/>
    <x v="0"/>
  </r>
  <r>
    <x v="27"/>
    <n v="1.5"/>
    <n v="0"/>
    <x v="2"/>
    <x v="1"/>
    <n v="1"/>
    <n v="1.2458775217494569"/>
    <b v="1"/>
    <n v="2"/>
    <n v="0"/>
    <n v="1"/>
    <x v="6"/>
    <x v="0"/>
    <x v="0"/>
  </r>
  <r>
    <x v="27"/>
    <n v="807"/>
    <n v="12"/>
    <x v="0"/>
    <x v="1"/>
    <n v="98"/>
    <n v="725.52968280979314"/>
    <b v="1"/>
    <n v="807"/>
    <n v="12"/>
    <n v="726"/>
    <x v="6"/>
    <x v="0"/>
    <x v="0"/>
  </r>
  <r>
    <x v="27"/>
    <n v="1074"/>
    <n v="12"/>
    <x v="0"/>
    <x v="0"/>
    <n v="615"/>
    <n v="1009.0664265769295"/>
    <b v="1"/>
    <n v="1074"/>
    <n v="12"/>
    <n v="1009"/>
    <x v="6"/>
    <x v="0"/>
    <x v="0"/>
  </r>
  <r>
    <x v="27"/>
    <n v="7423.5"/>
    <n v="102"/>
    <x v="1"/>
    <x v="1"/>
    <n v="142"/>
    <n v="6414.6590310599122"/>
    <b v="1"/>
    <n v="7424"/>
    <n v="102"/>
    <n v="6415"/>
    <x v="6"/>
    <x v="0"/>
    <x v="0"/>
  </r>
  <r>
    <x v="27"/>
    <n v="8586"/>
    <n v="118.5"/>
    <x v="2"/>
    <x v="0"/>
    <n v="254"/>
    <n v="7764.3235287333609"/>
    <b v="1"/>
    <n v="8586"/>
    <n v="119"/>
    <n v="7764"/>
    <x v="6"/>
    <x v="0"/>
    <x v="0"/>
  </r>
  <r>
    <x v="28"/>
    <n v="1.5"/>
    <n v="0"/>
    <x v="2"/>
    <x v="1"/>
    <n v="1"/>
    <n v="1.3126315416231855"/>
    <b v="0"/>
    <n v="2"/>
    <n v="0"/>
    <n v="1"/>
    <x v="0"/>
    <x v="1"/>
    <x v="0"/>
  </r>
  <r>
    <x v="28"/>
    <n v="706.5"/>
    <n v="21"/>
    <x v="0"/>
    <x v="1"/>
    <n v="65"/>
    <n v="588.12682775421058"/>
    <b v="0"/>
    <n v="707"/>
    <n v="21"/>
    <n v="588"/>
    <x v="0"/>
    <x v="1"/>
    <x v="0"/>
  </r>
  <r>
    <x v="28"/>
    <n v="715.5"/>
    <n v="21"/>
    <x v="0"/>
    <x v="0"/>
    <n v="32"/>
    <n v="641.04937247538305"/>
    <b v="1"/>
    <n v="716"/>
    <n v="21"/>
    <n v="641"/>
    <x v="0"/>
    <x v="0"/>
    <x v="0"/>
  </r>
  <r>
    <x v="28"/>
    <n v="6721.5"/>
    <n v="79.5"/>
    <x v="1"/>
    <x v="1"/>
    <n v="3751"/>
    <n v="5586.4112240032127"/>
    <b v="0"/>
    <n v="6722"/>
    <n v="80"/>
    <n v="5586"/>
    <x v="0"/>
    <x v="1"/>
    <x v="0"/>
  </r>
  <r>
    <x v="28"/>
    <n v="7839"/>
    <n v="33"/>
    <x v="2"/>
    <x v="0"/>
    <n v="2483"/>
    <n v="7342.6442190790458"/>
    <b v="0"/>
    <n v="7839"/>
    <n v="33"/>
    <n v="7343"/>
    <x v="0"/>
    <x v="1"/>
    <x v="0"/>
  </r>
  <r>
    <x v="29"/>
    <n v="1.5"/>
    <n v="0"/>
    <x v="2"/>
    <x v="1"/>
    <n v="1"/>
    <n v="1.3244074372065764"/>
    <b v="1"/>
    <n v="2"/>
    <n v="0"/>
    <n v="1"/>
    <x v="1"/>
    <x v="0"/>
    <x v="0"/>
  </r>
  <r>
    <x v="29"/>
    <n v="486"/>
    <n v="12"/>
    <x v="0"/>
    <x v="0"/>
    <n v="253"/>
    <n v="445.52039614748304"/>
    <b v="1"/>
    <n v="486"/>
    <n v="12"/>
    <n v="446"/>
    <x v="1"/>
    <x v="0"/>
    <x v="0"/>
  </r>
  <r>
    <x v="29"/>
    <n v="505.5"/>
    <n v="12"/>
    <x v="0"/>
    <x v="1"/>
    <n v="207"/>
    <n v="423.81770106874177"/>
    <b v="1"/>
    <n v="506"/>
    <n v="12"/>
    <n v="424"/>
    <x v="1"/>
    <x v="0"/>
    <x v="0"/>
  </r>
  <r>
    <x v="29"/>
    <n v="7263"/>
    <n v="187.5"/>
    <x v="1"/>
    <x v="1"/>
    <n v="4766"/>
    <n v="6583.3250687156042"/>
    <b v="1"/>
    <n v="7263"/>
    <n v="188"/>
    <n v="6583"/>
    <x v="1"/>
    <x v="0"/>
    <x v="0"/>
  </r>
  <r>
    <x v="29"/>
    <n v="8128.5"/>
    <n v="526.5"/>
    <x v="2"/>
    <x v="0"/>
    <n v="1664"/>
    <n v="7714.1359696924173"/>
    <b v="1"/>
    <n v="8129"/>
    <n v="527"/>
    <n v="7714"/>
    <x v="1"/>
    <x v="0"/>
    <x v="0"/>
  </r>
  <r>
    <x v="30"/>
    <n v="4.5"/>
    <n v="1.5"/>
    <x v="2"/>
    <x v="1"/>
    <n v="1"/>
    <n v="5.0523346931492759"/>
    <b v="0"/>
    <n v="5"/>
    <n v="2"/>
    <n v="5"/>
    <x v="2"/>
    <x v="1"/>
    <x v="0"/>
  </r>
  <r>
    <x v="30"/>
    <n v="1564.5"/>
    <n v="33"/>
    <x v="0"/>
    <x v="1"/>
    <n v="102"/>
    <n v="1368.2728097899669"/>
    <b v="0"/>
    <n v="1565"/>
    <n v="33"/>
    <n v="1368"/>
    <x v="2"/>
    <x v="1"/>
    <x v="0"/>
  </r>
  <r>
    <x v="30"/>
    <n v="1735.5"/>
    <n v="33"/>
    <x v="0"/>
    <x v="0"/>
    <n v="32"/>
    <n v="1592.1438670374275"/>
    <b v="0"/>
    <n v="1736"/>
    <n v="33"/>
    <n v="1592"/>
    <x v="2"/>
    <x v="1"/>
    <x v="0"/>
  </r>
  <r>
    <x v="30"/>
    <n v="4983"/>
    <n v="64.5"/>
    <x v="1"/>
    <x v="1"/>
    <n v="3214"/>
    <n v="4263.6883961425538"/>
    <b v="0"/>
    <n v="4983"/>
    <n v="65"/>
    <n v="4264"/>
    <x v="2"/>
    <x v="1"/>
    <x v="0"/>
  </r>
  <r>
    <x v="30"/>
    <n v="9741"/>
    <n v="183"/>
    <x v="2"/>
    <x v="0"/>
    <n v="3808"/>
    <n v="9229.5485314130474"/>
    <b v="0"/>
    <n v="9741"/>
    <n v="183"/>
    <n v="9230"/>
    <x v="2"/>
    <x v="1"/>
    <x v="0"/>
  </r>
  <r>
    <x v="31"/>
    <n v="13.5"/>
    <n v="3"/>
    <x v="2"/>
    <x v="1"/>
    <n v="9"/>
    <n v="14.371071025507797"/>
    <b v="0"/>
    <n v="14"/>
    <n v="3"/>
    <n v="14"/>
    <x v="3"/>
    <x v="1"/>
    <x v="1"/>
  </r>
  <r>
    <x v="31"/>
    <n v="610.5"/>
    <n v="33"/>
    <x v="0"/>
    <x v="0"/>
    <n v="39"/>
    <n v="573.5842662174955"/>
    <b v="0"/>
    <n v="611"/>
    <n v="33"/>
    <n v="574"/>
    <x v="3"/>
    <x v="1"/>
    <x v="1"/>
  </r>
  <r>
    <x v="31"/>
    <n v="1036.5"/>
    <n v="33"/>
    <x v="0"/>
    <x v="1"/>
    <n v="297"/>
    <n v="855.93185226544085"/>
    <b v="0"/>
    <n v="1037"/>
    <n v="33"/>
    <n v="856"/>
    <x v="3"/>
    <x v="1"/>
    <x v="1"/>
  </r>
  <r>
    <x v="31"/>
    <n v="7771.5"/>
    <n v="97.5"/>
    <x v="1"/>
    <x v="1"/>
    <n v="4489"/>
    <n v="6755.0674592190107"/>
    <b v="0"/>
    <n v="7772"/>
    <n v="98"/>
    <n v="6755"/>
    <x v="3"/>
    <x v="1"/>
    <x v="1"/>
  </r>
  <r>
    <x v="31"/>
    <n v="10848"/>
    <n v="640.5"/>
    <x v="2"/>
    <x v="0"/>
    <n v="3346"/>
    <n v="10669.552242145657"/>
    <b v="0"/>
    <n v="10848"/>
    <n v="641"/>
    <n v="10670"/>
    <x v="3"/>
    <x v="1"/>
    <x v="1"/>
  </r>
  <r>
    <x v="32"/>
    <n v="1.5"/>
    <n v="0"/>
    <x v="1"/>
    <x v="0"/>
    <n v="1"/>
    <n v="1.3229536380199469"/>
    <b v="0"/>
    <n v="2"/>
    <n v="0"/>
    <n v="1"/>
    <x v="4"/>
    <x v="1"/>
    <x v="1"/>
  </r>
  <r>
    <x v="32"/>
    <n v="1483.5"/>
    <n v="25.5"/>
    <x v="0"/>
    <x v="0"/>
    <n v="612"/>
    <n v="1377.8998601314763"/>
    <b v="0"/>
    <n v="1484"/>
    <n v="26"/>
    <n v="1378"/>
    <x v="4"/>
    <x v="1"/>
    <x v="1"/>
  </r>
  <r>
    <x v="32"/>
    <n v="1821"/>
    <n v="25.5"/>
    <x v="0"/>
    <x v="1"/>
    <n v="611"/>
    <n v="1492.6792161913022"/>
    <b v="0"/>
    <n v="1821"/>
    <n v="26"/>
    <n v="1493"/>
    <x v="4"/>
    <x v="1"/>
    <x v="1"/>
  </r>
  <r>
    <x v="32"/>
    <n v="6670.5"/>
    <n v="249"/>
    <x v="1"/>
    <x v="1"/>
    <n v="4367"/>
    <n v="5805.0068657043921"/>
    <b v="0"/>
    <n v="6671"/>
    <n v="249"/>
    <n v="5805"/>
    <x v="4"/>
    <x v="1"/>
    <x v="1"/>
  </r>
  <r>
    <x v="32"/>
    <n v="11436"/>
    <n v="288"/>
    <x v="2"/>
    <x v="0"/>
    <n v="7509"/>
    <n v="10624.205446811146"/>
    <b v="0"/>
    <n v="11436"/>
    <n v="288"/>
    <n v="10624"/>
    <x v="4"/>
    <x v="1"/>
    <x v="1"/>
  </r>
  <r>
    <x v="33"/>
    <n v="1.5"/>
    <n v="0"/>
    <x v="2"/>
    <x v="1"/>
    <n v="1"/>
    <n v="1.2704727545949028"/>
    <b v="0"/>
    <n v="2"/>
    <n v="0"/>
    <n v="1"/>
    <x v="5"/>
    <x v="1"/>
    <x v="1"/>
  </r>
  <r>
    <x v="33"/>
    <n v="1134"/>
    <n v="169.5"/>
    <x v="0"/>
    <x v="1"/>
    <n v="552"/>
    <n v="1144.2717038471665"/>
    <b v="0"/>
    <n v="1134"/>
    <n v="170"/>
    <n v="1144"/>
    <x v="5"/>
    <x v="1"/>
    <x v="1"/>
  </r>
  <r>
    <x v="33"/>
    <n v="1671"/>
    <n v="61.5"/>
    <x v="1"/>
    <x v="1"/>
    <n v="293"/>
    <n v="1439.7914183768091"/>
    <b v="0"/>
    <n v="1671"/>
    <n v="62"/>
    <n v="1440"/>
    <x v="5"/>
    <x v="1"/>
    <x v="1"/>
  </r>
  <r>
    <x v="33"/>
    <n v="3220.5"/>
    <n v="190.5"/>
    <x v="2"/>
    <x v="0"/>
    <n v="2052"/>
    <n v="3159.2184078616983"/>
    <b v="0"/>
    <n v="3221"/>
    <n v="191"/>
    <n v="3159"/>
    <x v="5"/>
    <x v="1"/>
    <x v="1"/>
  </r>
  <r>
    <x v="33"/>
    <n v="4039.5"/>
    <n v="169.5"/>
    <x v="0"/>
    <x v="0"/>
    <n v="1756"/>
    <n v="3771.9467447019906"/>
    <b v="0"/>
    <n v="4040"/>
    <n v="170"/>
    <n v="3772"/>
    <x v="5"/>
    <x v="1"/>
    <x v="1"/>
  </r>
  <r>
    <x v="34"/>
    <n v="705"/>
    <n v="9"/>
    <x v="0"/>
    <x v="1"/>
    <n v="308"/>
    <n v="599.80995269160201"/>
    <b v="0"/>
    <n v="705"/>
    <n v="9"/>
    <n v="600"/>
    <x v="6"/>
    <x v="1"/>
    <x v="1"/>
  </r>
  <r>
    <x v="34"/>
    <n v="2034"/>
    <n v="37.5"/>
    <x v="1"/>
    <x v="1"/>
    <n v="963"/>
    <n v="1760.1625074582325"/>
    <b v="0"/>
    <n v="2034"/>
    <n v="38"/>
    <n v="1760"/>
    <x v="6"/>
    <x v="1"/>
    <x v="1"/>
  </r>
  <r>
    <x v="34"/>
    <n v="2124"/>
    <n v="9"/>
    <x v="0"/>
    <x v="0"/>
    <n v="1305"/>
    <n v="1906.1452154550775"/>
    <b v="0"/>
    <n v="2124"/>
    <n v="9"/>
    <n v="1906"/>
    <x v="6"/>
    <x v="1"/>
    <x v="1"/>
  </r>
  <r>
    <x v="34"/>
    <n v="4650"/>
    <n v="121.5"/>
    <x v="2"/>
    <x v="0"/>
    <n v="2568"/>
    <n v="4400.7064102671457"/>
    <b v="0"/>
    <n v="4650"/>
    <n v="122"/>
    <n v="4401"/>
    <x v="6"/>
    <x v="1"/>
    <x v="1"/>
  </r>
  <r>
    <x v="35"/>
    <n v="1.5"/>
    <n v="0"/>
    <x v="2"/>
    <x v="1"/>
    <n v="1"/>
    <n v="1.2509731164110489"/>
    <b v="0"/>
    <n v="2"/>
    <n v="0"/>
    <n v="1"/>
    <x v="0"/>
    <x v="1"/>
    <x v="1"/>
  </r>
  <r>
    <x v="35"/>
    <n v="1594.5"/>
    <n v="21"/>
    <x v="0"/>
    <x v="0"/>
    <n v="281"/>
    <n v="1407.9264986136416"/>
    <b v="0"/>
    <n v="1595"/>
    <n v="21"/>
    <n v="1408"/>
    <x v="0"/>
    <x v="1"/>
    <x v="1"/>
  </r>
  <r>
    <x v="35"/>
    <n v="1906.5"/>
    <n v="67.5"/>
    <x v="1"/>
    <x v="1"/>
    <n v="466"/>
    <n v="1659.3168288829086"/>
    <b v="0"/>
    <n v="1907"/>
    <n v="68"/>
    <n v="1659"/>
    <x v="0"/>
    <x v="1"/>
    <x v="1"/>
  </r>
  <r>
    <x v="35"/>
    <n v="2106"/>
    <n v="21"/>
    <x v="0"/>
    <x v="1"/>
    <n v="1057"/>
    <n v="1741.6144970598771"/>
    <b v="0"/>
    <n v="2106"/>
    <n v="21"/>
    <n v="1742"/>
    <x v="0"/>
    <x v="1"/>
    <x v="1"/>
  </r>
  <r>
    <x v="35"/>
    <n v="6789"/>
    <n v="171"/>
    <x v="2"/>
    <x v="0"/>
    <n v="4411"/>
    <n v="6518.9193869906558"/>
    <b v="0"/>
    <n v="6789"/>
    <n v="171"/>
    <n v="6519"/>
    <x v="0"/>
    <x v="1"/>
    <x v="1"/>
  </r>
  <r>
    <x v="36"/>
    <n v="1.5"/>
    <n v="0"/>
    <x v="1"/>
    <x v="0"/>
    <n v="1"/>
    <n v="1.380866247534468"/>
    <b v="0"/>
    <n v="2"/>
    <n v="0"/>
    <n v="1"/>
    <x v="1"/>
    <x v="1"/>
    <x v="1"/>
  </r>
  <r>
    <x v="36"/>
    <n v="436.5"/>
    <n v="42"/>
    <x v="0"/>
    <x v="1"/>
    <n v="195"/>
    <n v="405.32525446547817"/>
    <b v="0"/>
    <n v="437"/>
    <n v="42"/>
    <n v="405"/>
    <x v="1"/>
    <x v="1"/>
    <x v="1"/>
  </r>
  <r>
    <x v="36"/>
    <n v="732"/>
    <n v="42"/>
    <x v="0"/>
    <x v="0"/>
    <n v="55"/>
    <n v="707.55608682846093"/>
    <b v="0"/>
    <n v="732"/>
    <n v="42"/>
    <n v="708"/>
    <x v="1"/>
    <x v="1"/>
    <x v="1"/>
  </r>
  <r>
    <x v="36"/>
    <n v="5049"/>
    <n v="229.5"/>
    <x v="1"/>
    <x v="1"/>
    <n v="3205"/>
    <n v="4387.9789567083963"/>
    <b v="0"/>
    <n v="5049"/>
    <n v="230"/>
    <n v="4388"/>
    <x v="1"/>
    <x v="1"/>
    <x v="1"/>
  </r>
  <r>
    <x v="36"/>
    <n v="5803.5"/>
    <n v="382.5"/>
    <x v="2"/>
    <x v="0"/>
    <n v="3683"/>
    <n v="5443.2842246322771"/>
    <b v="0"/>
    <n v="5804"/>
    <n v="383"/>
    <n v="5443"/>
    <x v="1"/>
    <x v="1"/>
    <x v="1"/>
  </r>
  <r>
    <x v="37"/>
    <n v="496.5"/>
    <n v="34.5"/>
    <x v="0"/>
    <x v="1"/>
    <n v="188"/>
    <n v="462.59283925111583"/>
    <b v="0"/>
    <n v="497"/>
    <n v="35"/>
    <n v="463"/>
    <x v="2"/>
    <x v="1"/>
    <x v="1"/>
  </r>
  <r>
    <x v="37"/>
    <n v="1018.5"/>
    <n v="34.5"/>
    <x v="0"/>
    <x v="0"/>
    <n v="506"/>
    <n v="986.00519330904842"/>
    <b v="0"/>
    <n v="1019"/>
    <n v="35"/>
    <n v="986"/>
    <x v="2"/>
    <x v="1"/>
    <x v="1"/>
  </r>
  <r>
    <x v="37"/>
    <n v="4851"/>
    <n v="69"/>
    <x v="1"/>
    <x v="1"/>
    <n v="2805"/>
    <n v="4007.369803383921"/>
    <b v="0"/>
    <n v="4851"/>
    <n v="69"/>
    <n v="4007"/>
    <x v="2"/>
    <x v="1"/>
    <x v="1"/>
  </r>
  <r>
    <x v="37"/>
    <n v="6066"/>
    <n v="145.5"/>
    <x v="2"/>
    <x v="0"/>
    <n v="1516"/>
    <n v="5432.8884607908449"/>
    <b v="0"/>
    <n v="6066"/>
    <n v="146"/>
    <n v="5433"/>
    <x v="2"/>
    <x v="1"/>
    <x v="1"/>
  </r>
  <r>
    <x v="38"/>
    <n v="1.5"/>
    <n v="0"/>
    <x v="1"/>
    <x v="0"/>
    <n v="1"/>
    <n v="1.3781976499543349"/>
    <b v="0"/>
    <n v="2"/>
    <n v="0"/>
    <n v="1"/>
    <x v="3"/>
    <x v="1"/>
    <x v="1"/>
  </r>
  <r>
    <x v="38"/>
    <n v="3"/>
    <n v="0"/>
    <x v="2"/>
    <x v="1"/>
    <n v="2"/>
    <n v="2.585183472339708"/>
    <b v="0"/>
    <n v="3"/>
    <n v="0"/>
    <n v="3"/>
    <x v="3"/>
    <x v="1"/>
    <x v="1"/>
  </r>
  <r>
    <x v="38"/>
    <n v="973.5"/>
    <n v="24"/>
    <x v="0"/>
    <x v="0"/>
    <n v="431"/>
    <n v="896.24868028680021"/>
    <b v="0"/>
    <n v="974"/>
    <n v="24"/>
    <n v="896"/>
    <x v="3"/>
    <x v="1"/>
    <x v="1"/>
  </r>
  <r>
    <x v="38"/>
    <n v="1185"/>
    <n v="24"/>
    <x v="0"/>
    <x v="1"/>
    <n v="483"/>
    <n v="1015.223568025067"/>
    <b v="0"/>
    <n v="1185"/>
    <n v="24"/>
    <n v="1015"/>
    <x v="3"/>
    <x v="1"/>
    <x v="1"/>
  </r>
  <r>
    <x v="38"/>
    <n v="5190"/>
    <n v="183"/>
    <x v="1"/>
    <x v="1"/>
    <n v="2318"/>
    <n v="4372.8975838732749"/>
    <b v="0"/>
    <n v="5190"/>
    <n v="183"/>
    <n v="4373"/>
    <x v="3"/>
    <x v="1"/>
    <x v="1"/>
  </r>
  <r>
    <x v="38"/>
    <n v="5455.5"/>
    <n v="160.5"/>
    <x v="2"/>
    <x v="0"/>
    <n v="2584"/>
    <n v="4893.505202429762"/>
    <b v="1"/>
    <n v="5456"/>
    <n v="161"/>
    <n v="4894"/>
    <x v="3"/>
    <x v="0"/>
    <x v="1"/>
  </r>
  <r>
    <x v="39"/>
    <n v="1.5"/>
    <n v="0"/>
    <x v="1"/>
    <x v="0"/>
    <n v="1"/>
    <n v="1.314518822490657"/>
    <b v="1"/>
    <n v="2"/>
    <n v="0"/>
    <n v="1"/>
    <x v="4"/>
    <x v="0"/>
    <x v="1"/>
  </r>
  <r>
    <x v="39"/>
    <n v="966"/>
    <n v="69"/>
    <x v="0"/>
    <x v="1"/>
    <n v="567"/>
    <n v="832.78799418489314"/>
    <b v="1"/>
    <n v="966"/>
    <n v="69"/>
    <n v="833"/>
    <x v="4"/>
    <x v="0"/>
    <x v="1"/>
  </r>
  <r>
    <x v="39"/>
    <n v="1203"/>
    <n v="69"/>
    <x v="0"/>
    <x v="0"/>
    <n v="192"/>
    <n v="1171.1354912153897"/>
    <b v="1"/>
    <n v="1203"/>
    <n v="69"/>
    <n v="1171"/>
    <x v="4"/>
    <x v="0"/>
    <x v="1"/>
  </r>
  <r>
    <x v="39"/>
    <n v="4632"/>
    <n v="304.5"/>
    <x v="2"/>
    <x v="0"/>
    <n v="2798"/>
    <n v="4560.5308643227581"/>
    <b v="1"/>
    <n v="4632"/>
    <n v="305"/>
    <n v="4561"/>
    <x v="4"/>
    <x v="0"/>
    <x v="1"/>
  </r>
  <r>
    <x v="39"/>
    <n v="6223.5"/>
    <n v="73.5"/>
    <x v="1"/>
    <x v="1"/>
    <n v="3832"/>
    <n v="5140.1273391397872"/>
    <b v="1"/>
    <n v="6224"/>
    <n v="74"/>
    <n v="5140"/>
    <x v="4"/>
    <x v="0"/>
    <x v="1"/>
  </r>
  <r>
    <x v="40"/>
    <n v="1581"/>
    <n v="37.5"/>
    <x v="0"/>
    <x v="0"/>
    <n v="890"/>
    <n v="1491.290156865578"/>
    <b v="0"/>
    <n v="1581"/>
    <n v="38"/>
    <n v="1491"/>
    <x v="5"/>
    <x v="1"/>
    <x v="1"/>
  </r>
  <r>
    <x v="40"/>
    <n v="1903.5"/>
    <n v="37.5"/>
    <x v="0"/>
    <x v="1"/>
    <n v="499"/>
    <n v="1685.5668695809227"/>
    <b v="0"/>
    <n v="1904"/>
    <n v="38"/>
    <n v="1686"/>
    <x v="5"/>
    <x v="1"/>
    <x v="1"/>
  </r>
  <r>
    <x v="40"/>
    <n v="6111"/>
    <n v="165"/>
    <x v="1"/>
    <x v="1"/>
    <n v="2596"/>
    <n v="5291.522868916637"/>
    <b v="0"/>
    <n v="6111"/>
    <n v="165"/>
    <n v="5292"/>
    <x v="5"/>
    <x v="1"/>
    <x v="1"/>
  </r>
  <r>
    <x v="40"/>
    <n v="6360"/>
    <n v="267"/>
    <x v="2"/>
    <x v="0"/>
    <n v="1512"/>
    <n v="6016.0369290472081"/>
    <b v="0"/>
    <n v="6360"/>
    <n v="267"/>
    <n v="6016"/>
    <x v="5"/>
    <x v="1"/>
    <x v="1"/>
  </r>
  <r>
    <x v="41"/>
    <n v="2809.5"/>
    <n v="88.5"/>
    <x v="0"/>
    <x v="0"/>
    <n v="887"/>
    <n v="2606.748325659094"/>
    <b v="1"/>
    <n v="2810"/>
    <n v="89"/>
    <n v="2607"/>
    <x v="6"/>
    <x v="0"/>
    <x v="1"/>
  </r>
  <r>
    <x v="41"/>
    <n v="3840"/>
    <n v="88.5"/>
    <x v="0"/>
    <x v="1"/>
    <n v="1562"/>
    <n v="3149.1612745535122"/>
    <b v="1"/>
    <n v="3840"/>
    <n v="89"/>
    <n v="3149"/>
    <x v="6"/>
    <x v="0"/>
    <x v="1"/>
  </r>
  <r>
    <x v="41"/>
    <n v="4467"/>
    <n v="18"/>
    <x v="1"/>
    <x v="1"/>
    <n v="2511"/>
    <n v="3604.6030765453202"/>
    <b v="1"/>
    <n v="4467"/>
    <n v="18"/>
    <n v="3605"/>
    <x v="6"/>
    <x v="0"/>
    <x v="1"/>
  </r>
  <r>
    <x v="41"/>
    <n v="7258.5"/>
    <n v="246"/>
    <x v="2"/>
    <x v="0"/>
    <n v="240"/>
    <n v="6731.8597239613309"/>
    <b v="1"/>
    <n v="7259"/>
    <n v="246"/>
    <n v="6732"/>
    <x v="6"/>
    <x v="0"/>
    <x v="1"/>
  </r>
  <r>
    <x v="42"/>
    <n v="3223.5"/>
    <n v="10.5"/>
    <x v="0"/>
    <x v="1"/>
    <n v="1644"/>
    <n v="2712.1882231184791"/>
    <b v="0"/>
    <n v="3224"/>
    <n v="11"/>
    <n v="2712"/>
    <x v="0"/>
    <x v="1"/>
    <x v="1"/>
  </r>
  <r>
    <x v="42"/>
    <n v="3478.5"/>
    <n v="10.5"/>
    <x v="0"/>
    <x v="0"/>
    <n v="292"/>
    <n v="3226.9502610926661"/>
    <b v="0"/>
    <n v="3479"/>
    <n v="11"/>
    <n v="3227"/>
    <x v="0"/>
    <x v="1"/>
    <x v="1"/>
  </r>
  <r>
    <x v="42"/>
    <n v="4009.5"/>
    <n v="214.5"/>
    <x v="2"/>
    <x v="0"/>
    <n v="496"/>
    <n v="3756.3250339493934"/>
    <b v="0"/>
    <n v="4010"/>
    <n v="215"/>
    <n v="3756"/>
    <x v="0"/>
    <x v="1"/>
    <x v="1"/>
  </r>
  <r>
    <x v="42"/>
    <n v="4977"/>
    <n v="79.5"/>
    <x v="1"/>
    <x v="1"/>
    <n v="1118"/>
    <n v="4264.0971073574101"/>
    <b v="0"/>
    <n v="4977"/>
    <n v="80"/>
    <n v="4264"/>
    <x v="0"/>
    <x v="1"/>
    <x v="1"/>
  </r>
  <r>
    <x v="43"/>
    <n v="97.5"/>
    <n v="4.5"/>
    <x v="0"/>
    <x v="0"/>
    <n v="15"/>
    <n v="94.229892519666009"/>
    <b v="0"/>
    <n v="98"/>
    <n v="5"/>
    <n v="94"/>
    <x v="1"/>
    <x v="1"/>
    <x v="1"/>
  </r>
  <r>
    <x v="43"/>
    <n v="142.5"/>
    <n v="4.5"/>
    <x v="0"/>
    <x v="1"/>
    <n v="34"/>
    <n v="122.22669407341364"/>
    <b v="0"/>
    <n v="143"/>
    <n v="5"/>
    <n v="122"/>
    <x v="1"/>
    <x v="1"/>
    <x v="1"/>
  </r>
  <r>
    <x v="43"/>
    <n v="5695.5"/>
    <n v="88.5"/>
    <x v="1"/>
    <x v="1"/>
    <n v="1565"/>
    <n v="4730.8233632543206"/>
    <b v="0"/>
    <n v="5696"/>
    <n v="89"/>
    <n v="4731"/>
    <x v="1"/>
    <x v="1"/>
    <x v="1"/>
  </r>
  <r>
    <x v="43"/>
    <n v="10195.5"/>
    <n v="447"/>
    <x v="2"/>
    <x v="0"/>
    <n v="6689"/>
    <n v="9716.8286516135631"/>
    <b v="0"/>
    <n v="10196"/>
    <n v="447"/>
    <n v="9717"/>
    <x v="1"/>
    <x v="1"/>
    <x v="1"/>
  </r>
  <r>
    <x v="44"/>
    <n v="4870.5"/>
    <n v="45"/>
    <x v="1"/>
    <x v="1"/>
    <n v="505"/>
    <n v="4329.2864626789597"/>
    <b v="0"/>
    <n v="4871"/>
    <n v="45"/>
    <n v="4329"/>
    <x v="2"/>
    <x v="1"/>
    <x v="1"/>
  </r>
  <r>
    <x v="44"/>
    <n v="5458.5"/>
    <n v="13.5"/>
    <x v="0"/>
    <x v="1"/>
    <n v="899"/>
    <n v="4651.3440626618058"/>
    <b v="0"/>
    <n v="5459"/>
    <n v="14"/>
    <n v="4651"/>
    <x v="2"/>
    <x v="1"/>
    <x v="1"/>
  </r>
  <r>
    <x v="44"/>
    <n v="6142.5"/>
    <n v="13.5"/>
    <x v="0"/>
    <x v="0"/>
    <n v="1383"/>
    <n v="5747.7585879391163"/>
    <b v="0"/>
    <n v="6143"/>
    <n v="14"/>
    <n v="5748"/>
    <x v="2"/>
    <x v="1"/>
    <x v="1"/>
  </r>
  <r>
    <x v="44"/>
    <n v="8425.5"/>
    <n v="229.5"/>
    <x v="2"/>
    <x v="0"/>
    <n v="4965"/>
    <n v="8057.8802856611119"/>
    <b v="0"/>
    <n v="8426"/>
    <n v="230"/>
    <n v="8058"/>
    <x v="2"/>
    <x v="1"/>
    <x v="1"/>
  </r>
  <r>
    <x v="45"/>
    <n v="1.5"/>
    <n v="0"/>
    <x v="1"/>
    <x v="0"/>
    <n v="1"/>
    <n v="1.3989747667663575"/>
    <b v="0"/>
    <n v="2"/>
    <n v="0"/>
    <n v="1"/>
    <x v="3"/>
    <x v="1"/>
    <x v="1"/>
  </r>
  <r>
    <x v="45"/>
    <n v="2470.5"/>
    <n v="151.5"/>
    <x v="0"/>
    <x v="1"/>
    <n v="484"/>
    <n v="2217.845348583538"/>
    <b v="0"/>
    <n v="2471"/>
    <n v="152"/>
    <n v="2218"/>
    <x v="3"/>
    <x v="1"/>
    <x v="1"/>
  </r>
  <r>
    <x v="45"/>
    <n v="5577"/>
    <n v="273"/>
    <x v="2"/>
    <x v="0"/>
    <n v="3254"/>
    <n v="5103.6484832882343"/>
    <b v="0"/>
    <n v="5577"/>
    <n v="273"/>
    <n v="5104"/>
    <x v="3"/>
    <x v="1"/>
    <x v="1"/>
  </r>
  <r>
    <x v="45"/>
    <n v="5698.5"/>
    <n v="151.5"/>
    <x v="0"/>
    <x v="0"/>
    <n v="3674"/>
    <n v="5093.7089393144861"/>
    <b v="1"/>
    <n v="5699"/>
    <n v="152"/>
    <n v="5094"/>
    <x v="3"/>
    <x v="0"/>
    <x v="1"/>
  </r>
  <r>
    <x v="45"/>
    <n v="6871.5"/>
    <n v="24"/>
    <x v="1"/>
    <x v="1"/>
    <n v="4465"/>
    <n v="5947.0478131162845"/>
    <b v="0"/>
    <n v="6872"/>
    <n v="24"/>
    <n v="5947"/>
    <x v="3"/>
    <x v="1"/>
    <x v="1"/>
  </r>
  <r>
    <x v="46"/>
    <n v="3"/>
    <n v="1.5"/>
    <x v="2"/>
    <x v="1"/>
    <n v="1"/>
    <n v="3.7121754904121516"/>
    <b v="0"/>
    <n v="3"/>
    <n v="2"/>
    <n v="4"/>
    <x v="4"/>
    <x v="1"/>
    <x v="1"/>
  </r>
  <r>
    <x v="46"/>
    <n v="471"/>
    <n v="15"/>
    <x v="0"/>
    <x v="0"/>
    <n v="267"/>
    <n v="432.26828632464833"/>
    <b v="0"/>
    <n v="471"/>
    <n v="15"/>
    <n v="432"/>
    <x v="4"/>
    <x v="1"/>
    <x v="1"/>
  </r>
  <r>
    <x v="46"/>
    <n v="780"/>
    <n v="15"/>
    <x v="0"/>
    <x v="1"/>
    <n v="402"/>
    <n v="672.29669352956705"/>
    <b v="0"/>
    <n v="780"/>
    <n v="15"/>
    <n v="672"/>
    <x v="4"/>
    <x v="1"/>
    <x v="1"/>
  </r>
  <r>
    <x v="46"/>
    <n v="9412.5"/>
    <n v="30"/>
    <x v="1"/>
    <x v="1"/>
    <n v="5998"/>
    <n v="7954.0689356561825"/>
    <b v="0"/>
    <n v="9413"/>
    <n v="30"/>
    <n v="7954"/>
    <x v="4"/>
    <x v="1"/>
    <x v="1"/>
  </r>
  <r>
    <x v="46"/>
    <n v="11929.5"/>
    <n v="792"/>
    <x v="2"/>
    <x v="0"/>
    <n v="5172"/>
    <n v="11867.851712021617"/>
    <b v="1"/>
    <n v="11930"/>
    <n v="792"/>
    <n v="11868"/>
    <x v="4"/>
    <x v="0"/>
    <x v="1"/>
  </r>
  <r>
    <x v="47"/>
    <n v="3"/>
    <n v="0"/>
    <x v="1"/>
    <x v="0"/>
    <n v="1"/>
    <n v="2.6291459215578694"/>
    <b v="0"/>
    <n v="3"/>
    <n v="0"/>
    <n v="3"/>
    <x v="5"/>
    <x v="1"/>
    <x v="1"/>
  </r>
  <r>
    <x v="47"/>
    <n v="508.5"/>
    <n v="43.5"/>
    <x v="0"/>
    <x v="1"/>
    <n v="279"/>
    <n v="472.338312333933"/>
    <b v="0"/>
    <n v="509"/>
    <n v="44"/>
    <n v="472"/>
    <x v="5"/>
    <x v="1"/>
    <x v="1"/>
  </r>
  <r>
    <x v="47"/>
    <n v="1827"/>
    <n v="43.5"/>
    <x v="0"/>
    <x v="0"/>
    <n v="1009"/>
    <n v="1671.3074585498932"/>
    <b v="0"/>
    <n v="1827"/>
    <n v="44"/>
    <n v="1671"/>
    <x v="5"/>
    <x v="1"/>
    <x v="1"/>
  </r>
  <r>
    <x v="47"/>
    <n v="6210"/>
    <n v="240"/>
    <x v="1"/>
    <x v="1"/>
    <n v="1568"/>
    <n v="5202.0954684660392"/>
    <b v="1"/>
    <n v="6210"/>
    <n v="240"/>
    <n v="5202"/>
    <x v="5"/>
    <x v="0"/>
    <x v="1"/>
  </r>
  <r>
    <x v="47"/>
    <n v="13041"/>
    <n v="787.5"/>
    <x v="2"/>
    <x v="0"/>
    <n v="8603"/>
    <n v="12529.550826221475"/>
    <b v="1"/>
    <n v="13041"/>
    <n v="788"/>
    <n v="12530"/>
    <x v="5"/>
    <x v="0"/>
    <x v="1"/>
  </r>
  <r>
    <x v="48"/>
    <n v="3"/>
    <n v="0"/>
    <x v="2"/>
    <x v="1"/>
    <n v="2"/>
    <n v="2.4054557123085809"/>
    <b v="0"/>
    <n v="3"/>
    <n v="0"/>
    <n v="2"/>
    <x v="6"/>
    <x v="1"/>
    <x v="1"/>
  </r>
  <r>
    <x v="48"/>
    <n v="774"/>
    <n v="6"/>
    <x v="0"/>
    <x v="0"/>
    <n v="238"/>
    <n v="707.847381183072"/>
    <b v="0"/>
    <n v="774"/>
    <n v="6"/>
    <n v="708"/>
    <x v="6"/>
    <x v="1"/>
    <x v="1"/>
  </r>
  <r>
    <x v="48"/>
    <n v="1002"/>
    <n v="6"/>
    <x v="0"/>
    <x v="1"/>
    <n v="325"/>
    <n v="808.01161506513108"/>
    <b v="0"/>
    <n v="1002"/>
    <n v="6"/>
    <n v="808"/>
    <x v="6"/>
    <x v="1"/>
    <x v="1"/>
  </r>
  <r>
    <x v="48"/>
    <n v="5553"/>
    <n v="268.5"/>
    <x v="1"/>
    <x v="1"/>
    <n v="903"/>
    <n v="4852.4091375033222"/>
    <b v="0"/>
    <n v="5553"/>
    <n v="269"/>
    <n v="4852"/>
    <x v="6"/>
    <x v="1"/>
    <x v="1"/>
  </r>
  <r>
    <x v="48"/>
    <n v="11169"/>
    <n v="459"/>
    <x v="2"/>
    <x v="0"/>
    <n v="84"/>
    <n v="10155.243913200469"/>
    <b v="0"/>
    <n v="11169"/>
    <n v="459"/>
    <n v="10155"/>
    <x v="6"/>
    <x v="1"/>
    <x v="1"/>
  </r>
  <r>
    <x v="49"/>
    <n v="1.5"/>
    <n v="0"/>
    <x v="1"/>
    <x v="0"/>
    <n v="1"/>
    <n v="1.3790639501627113"/>
    <b v="0"/>
    <n v="2"/>
    <n v="0"/>
    <n v="1"/>
    <x v="0"/>
    <x v="1"/>
    <x v="1"/>
  </r>
  <r>
    <x v="49"/>
    <n v="931.5"/>
    <n v="18"/>
    <x v="0"/>
    <x v="1"/>
    <n v="494"/>
    <n v="767.72996796343978"/>
    <b v="0"/>
    <n v="932"/>
    <n v="18"/>
    <n v="768"/>
    <x v="0"/>
    <x v="1"/>
    <x v="1"/>
  </r>
  <r>
    <x v="49"/>
    <n v="952.5"/>
    <n v="18"/>
    <x v="0"/>
    <x v="0"/>
    <n v="437"/>
    <n v="869.68288144833184"/>
    <b v="0"/>
    <n v="953"/>
    <n v="18"/>
    <n v="870"/>
    <x v="0"/>
    <x v="1"/>
    <x v="1"/>
  </r>
  <r>
    <x v="49"/>
    <n v="7447.5"/>
    <n v="403.5"/>
    <x v="2"/>
    <x v="0"/>
    <n v="1686"/>
    <n v="7306.0333230120395"/>
    <b v="0"/>
    <n v="7448"/>
    <n v="404"/>
    <n v="7306"/>
    <x v="0"/>
    <x v="1"/>
    <x v="1"/>
  </r>
  <r>
    <x v="49"/>
    <n v="9000"/>
    <n v="403.5"/>
    <x v="1"/>
    <x v="1"/>
    <n v="5621"/>
    <n v="7594.0460615271377"/>
    <b v="0"/>
    <n v="9000"/>
    <n v="404"/>
    <n v="7594"/>
    <x v="0"/>
    <x v="1"/>
    <x v="1"/>
  </r>
  <r>
    <x v="50"/>
    <n v="342"/>
    <n v="12"/>
    <x v="0"/>
    <x v="0"/>
    <n v="81"/>
    <n v="324.96033481098419"/>
    <b v="0"/>
    <n v="342"/>
    <n v="12"/>
    <n v="325"/>
    <x v="1"/>
    <x v="1"/>
    <x v="1"/>
  </r>
  <r>
    <x v="50"/>
    <n v="532.5"/>
    <n v="12"/>
    <x v="0"/>
    <x v="1"/>
    <n v="172"/>
    <n v="479.92131972749968"/>
    <b v="0"/>
    <n v="533"/>
    <n v="12"/>
    <n v="480"/>
    <x v="1"/>
    <x v="1"/>
    <x v="1"/>
  </r>
  <r>
    <x v="50"/>
    <n v="6333"/>
    <n v="190.5"/>
    <x v="1"/>
    <x v="1"/>
    <n v="989"/>
    <n v="5409.1418542329211"/>
    <b v="0"/>
    <n v="6333"/>
    <n v="191"/>
    <n v="5409"/>
    <x v="1"/>
    <x v="1"/>
    <x v="1"/>
  </r>
  <r>
    <x v="50"/>
    <n v="7659"/>
    <n v="25.5"/>
    <x v="2"/>
    <x v="0"/>
    <n v="408"/>
    <n v="6716.5989962908025"/>
    <b v="1"/>
    <n v="7659"/>
    <n v="26"/>
    <n v="6717"/>
    <x v="1"/>
    <x v="0"/>
    <x v="1"/>
  </r>
  <r>
    <x v="51"/>
    <n v="108"/>
    <n v="1.5"/>
    <x v="0"/>
    <x v="0"/>
    <n v="16"/>
    <n v="98.010890718121559"/>
    <b v="0"/>
    <n v="108"/>
    <n v="2"/>
    <n v="98"/>
    <x v="2"/>
    <x v="1"/>
    <x v="1"/>
  </r>
  <r>
    <x v="51"/>
    <n v="373.5"/>
    <n v="1.5"/>
    <x v="0"/>
    <x v="1"/>
    <n v="36"/>
    <n v="322.7842055893654"/>
    <b v="0"/>
    <n v="374"/>
    <n v="2"/>
    <n v="323"/>
    <x v="2"/>
    <x v="1"/>
    <x v="1"/>
  </r>
  <r>
    <x v="51"/>
    <n v="8925"/>
    <n v="321"/>
    <x v="1"/>
    <x v="1"/>
    <n v="4966"/>
    <n v="8182.6307247254717"/>
    <b v="0"/>
    <n v="8925"/>
    <n v="321"/>
    <n v="8183"/>
    <x v="2"/>
    <x v="1"/>
    <x v="1"/>
  </r>
  <r>
    <x v="51"/>
    <n v="9186"/>
    <n v="60"/>
    <x v="2"/>
    <x v="0"/>
    <n v="229"/>
    <n v="8049.6160472721567"/>
    <b v="0"/>
    <n v="9186"/>
    <n v="60"/>
    <n v="8050"/>
    <x v="2"/>
    <x v="1"/>
    <x v="1"/>
  </r>
  <r>
    <x v="52"/>
    <n v="465"/>
    <n v="7.5"/>
    <x v="0"/>
    <x v="0"/>
    <n v="72"/>
    <n v="426.99571561222587"/>
    <b v="0"/>
    <n v="465"/>
    <n v="8"/>
    <n v="427"/>
    <x v="3"/>
    <x v="1"/>
    <x v="1"/>
  </r>
  <r>
    <x v="52"/>
    <n v="1194"/>
    <n v="7.5"/>
    <x v="0"/>
    <x v="1"/>
    <n v="697"/>
    <n v="1059.7345061214239"/>
    <b v="0"/>
    <n v="1194"/>
    <n v="8"/>
    <n v="1060"/>
    <x v="3"/>
    <x v="1"/>
    <x v="1"/>
  </r>
  <r>
    <x v="52"/>
    <n v="8634"/>
    <n v="109.5"/>
    <x v="2"/>
    <x v="0"/>
    <n v="5421"/>
    <n v="7952.5459408903935"/>
    <b v="0"/>
    <n v="8634"/>
    <n v="110"/>
    <n v="7953"/>
    <x v="3"/>
    <x v="1"/>
    <x v="1"/>
  </r>
  <r>
    <x v="52"/>
    <n v="9001.5"/>
    <n v="330"/>
    <x v="1"/>
    <x v="1"/>
    <n v="2295"/>
    <n v="8244.5367326510222"/>
    <b v="0"/>
    <n v="9002"/>
    <n v="330"/>
    <n v="8245"/>
    <x v="3"/>
    <x v="1"/>
    <x v="1"/>
  </r>
  <r>
    <x v="53"/>
    <n v="1.5"/>
    <n v="1.5"/>
    <x v="2"/>
    <x v="1"/>
    <n v="1"/>
    <n v="2.5322432418569041"/>
    <b v="0"/>
    <n v="2"/>
    <n v="2"/>
    <n v="3"/>
    <x v="4"/>
    <x v="1"/>
    <x v="1"/>
  </r>
  <r>
    <x v="53"/>
    <n v="1.5"/>
    <n v="0"/>
    <x v="1"/>
    <x v="0"/>
    <n v="1"/>
    <n v="1.4041791063382156"/>
    <b v="0"/>
    <n v="2"/>
    <n v="0"/>
    <n v="1"/>
    <x v="4"/>
    <x v="1"/>
    <x v="1"/>
  </r>
  <r>
    <x v="53"/>
    <n v="340.5"/>
    <n v="25.5"/>
    <x v="0"/>
    <x v="1"/>
    <n v="178"/>
    <n v="296.3935672731717"/>
    <b v="0"/>
    <n v="341"/>
    <n v="26"/>
    <n v="296"/>
    <x v="4"/>
    <x v="1"/>
    <x v="1"/>
  </r>
  <r>
    <x v="53"/>
    <n v="868.5"/>
    <n v="25.5"/>
    <x v="0"/>
    <x v="0"/>
    <n v="47"/>
    <n v="808.30422550529488"/>
    <b v="0"/>
    <n v="869"/>
    <n v="26"/>
    <n v="808"/>
    <x v="4"/>
    <x v="1"/>
    <x v="1"/>
  </r>
  <r>
    <x v="53"/>
    <n v="10131"/>
    <n v="21"/>
    <x v="2"/>
    <x v="0"/>
    <n v="6578"/>
    <n v="8895.7011307557004"/>
    <b v="0"/>
    <n v="10131"/>
    <n v="21"/>
    <n v="8896"/>
    <x v="4"/>
    <x v="1"/>
    <x v="1"/>
  </r>
  <r>
    <x v="53"/>
    <n v="11245.5"/>
    <n v="484.5"/>
    <x v="1"/>
    <x v="1"/>
    <n v="3007"/>
    <n v="9390.1124264847294"/>
    <b v="1"/>
    <n v="11246"/>
    <n v="485"/>
    <n v="9390"/>
    <x v="4"/>
    <x v="0"/>
    <x v="1"/>
  </r>
  <r>
    <x v="54"/>
    <n v="709.5"/>
    <n v="129"/>
    <x v="0"/>
    <x v="1"/>
    <n v="469"/>
    <n v="717.25193159370292"/>
    <b v="0"/>
    <n v="710"/>
    <n v="129"/>
    <n v="717"/>
    <x v="5"/>
    <x v="1"/>
    <x v="1"/>
  </r>
  <r>
    <x v="54"/>
    <n v="2095.5"/>
    <n v="129"/>
    <x v="0"/>
    <x v="0"/>
    <n v="151"/>
    <n v="2088.1822103776458"/>
    <b v="0"/>
    <n v="2096"/>
    <n v="129"/>
    <n v="2088"/>
    <x v="5"/>
    <x v="1"/>
    <x v="1"/>
  </r>
  <r>
    <x v="54"/>
    <n v="4890"/>
    <n v="18"/>
    <x v="1"/>
    <x v="1"/>
    <n v="1744"/>
    <n v="3958.2952717038997"/>
    <b v="1"/>
    <n v="4890"/>
    <n v="18"/>
    <n v="3958"/>
    <x v="5"/>
    <x v="0"/>
    <x v="1"/>
  </r>
  <r>
    <x v="54"/>
    <n v="9846"/>
    <n v="354"/>
    <x v="2"/>
    <x v="0"/>
    <n v="3998"/>
    <n v="9212.042541075487"/>
    <b v="0"/>
    <n v="9846"/>
    <n v="354"/>
    <n v="9212"/>
    <x v="5"/>
    <x v="1"/>
    <x v="1"/>
  </r>
  <r>
    <x v="55"/>
    <n v="883.5"/>
    <n v="163.5"/>
    <x v="0"/>
    <x v="1"/>
    <n v="51"/>
    <n v="893.42634896607524"/>
    <b v="0"/>
    <n v="884"/>
    <n v="164"/>
    <n v="893"/>
    <x v="6"/>
    <x v="1"/>
    <x v="1"/>
  </r>
  <r>
    <x v="55"/>
    <n v="2601"/>
    <n v="163.5"/>
    <x v="0"/>
    <x v="0"/>
    <n v="327"/>
    <n v="2532.6151742191278"/>
    <b v="0"/>
    <n v="2601"/>
    <n v="164"/>
    <n v="2533"/>
    <x v="6"/>
    <x v="1"/>
    <x v="1"/>
  </r>
  <r>
    <x v="55"/>
    <n v="5760"/>
    <n v="186"/>
    <x v="1"/>
    <x v="1"/>
    <n v="1711"/>
    <n v="5037.3619904054913"/>
    <b v="0"/>
    <n v="5760"/>
    <n v="186"/>
    <n v="5037"/>
    <x v="6"/>
    <x v="1"/>
    <x v="1"/>
  </r>
  <r>
    <x v="55"/>
    <n v="7254"/>
    <n v="376.5"/>
    <x v="2"/>
    <x v="0"/>
    <n v="548"/>
    <n v="6710.3885434697713"/>
    <b v="0"/>
    <n v="7254"/>
    <n v="377"/>
    <n v="6710"/>
    <x v="6"/>
    <x v="1"/>
    <x v="1"/>
  </r>
  <r>
    <x v="56"/>
    <n v="3"/>
    <n v="1.5"/>
    <x v="2"/>
    <x v="1"/>
    <n v="2"/>
    <n v="3.8320953494293124"/>
    <b v="0"/>
    <n v="3"/>
    <n v="2"/>
    <n v="4"/>
    <x v="0"/>
    <x v="1"/>
    <x v="1"/>
  </r>
  <r>
    <x v="56"/>
    <n v="1188"/>
    <n v="150"/>
    <x v="0"/>
    <x v="1"/>
    <n v="225"/>
    <n v="1159.7202461153161"/>
    <b v="0"/>
    <n v="1188"/>
    <n v="150"/>
    <n v="1160"/>
    <x v="0"/>
    <x v="1"/>
    <x v="1"/>
  </r>
  <r>
    <x v="56"/>
    <n v="2328"/>
    <n v="150"/>
    <x v="0"/>
    <x v="0"/>
    <n v="1478"/>
    <n v="2250.3899865295916"/>
    <b v="0"/>
    <n v="2328"/>
    <n v="150"/>
    <n v="2250"/>
    <x v="0"/>
    <x v="1"/>
    <x v="1"/>
  </r>
  <r>
    <x v="56"/>
    <n v="7393.5"/>
    <n v="52.5"/>
    <x v="2"/>
    <x v="0"/>
    <n v="4137"/>
    <n v="6842.5740635014699"/>
    <b v="0"/>
    <n v="7394"/>
    <n v="53"/>
    <n v="6843"/>
    <x v="0"/>
    <x v="1"/>
    <x v="1"/>
  </r>
  <r>
    <x v="56"/>
    <n v="7930.5"/>
    <n v="18"/>
    <x v="1"/>
    <x v="1"/>
    <n v="4340"/>
    <n v="6939.3368509548591"/>
    <b v="0"/>
    <n v="7931"/>
    <n v="18"/>
    <n v="6939"/>
    <x v="0"/>
    <x v="1"/>
    <x v="1"/>
  </r>
  <r>
    <x v="57"/>
    <n v="1.5"/>
    <n v="1.5"/>
    <x v="2"/>
    <x v="1"/>
    <n v="1"/>
    <n v="2.5001990478403258"/>
    <b v="0"/>
    <n v="2"/>
    <n v="2"/>
    <n v="3"/>
    <x v="1"/>
    <x v="1"/>
    <x v="1"/>
  </r>
  <r>
    <x v="57"/>
    <n v="433.5"/>
    <n v="25.5"/>
    <x v="0"/>
    <x v="0"/>
    <n v="45"/>
    <n v="415.67044088455475"/>
    <b v="0"/>
    <n v="434"/>
    <n v="26"/>
    <n v="416"/>
    <x v="1"/>
    <x v="1"/>
    <x v="1"/>
  </r>
  <r>
    <x v="57"/>
    <n v="589.5"/>
    <n v="25.5"/>
    <x v="0"/>
    <x v="1"/>
    <n v="130"/>
    <n v="522.76168444255291"/>
    <b v="0"/>
    <n v="590"/>
    <n v="26"/>
    <n v="523"/>
    <x v="1"/>
    <x v="1"/>
    <x v="1"/>
  </r>
  <r>
    <x v="57"/>
    <n v="6511.5"/>
    <n v="252"/>
    <x v="1"/>
    <x v="1"/>
    <n v="193"/>
    <n v="5998.3049940482833"/>
    <b v="0"/>
    <n v="6512"/>
    <n v="252"/>
    <n v="5998"/>
    <x v="1"/>
    <x v="1"/>
    <x v="1"/>
  </r>
  <r>
    <x v="57"/>
    <n v="7233"/>
    <n v="468"/>
    <x v="2"/>
    <x v="0"/>
    <n v="2389"/>
    <n v="6948.5723934486186"/>
    <b v="0"/>
    <n v="7233"/>
    <n v="468"/>
    <n v="6949"/>
    <x v="1"/>
    <x v="1"/>
    <x v="1"/>
  </r>
  <r>
    <x v="58"/>
    <n v="4.5"/>
    <n v="1.5"/>
    <x v="2"/>
    <x v="1"/>
    <n v="1"/>
    <n v="4.9435275185748662"/>
    <b v="0"/>
    <n v="5"/>
    <n v="2"/>
    <n v="5"/>
    <x v="2"/>
    <x v="1"/>
    <x v="1"/>
  </r>
  <r>
    <x v="58"/>
    <n v="552"/>
    <n v="6"/>
    <x v="0"/>
    <x v="1"/>
    <n v="192"/>
    <n v="477.94854655131974"/>
    <b v="0"/>
    <n v="552"/>
    <n v="6"/>
    <n v="478"/>
    <x v="2"/>
    <x v="1"/>
    <x v="1"/>
  </r>
  <r>
    <x v="58"/>
    <n v="934.5"/>
    <n v="6"/>
    <x v="0"/>
    <x v="0"/>
    <n v="616"/>
    <n v="851.04136327765059"/>
    <b v="0"/>
    <n v="935"/>
    <n v="6"/>
    <n v="851"/>
    <x v="2"/>
    <x v="1"/>
    <x v="1"/>
  </r>
  <r>
    <x v="58"/>
    <n v="6939"/>
    <n v="208.5"/>
    <x v="2"/>
    <x v="0"/>
    <n v="4605"/>
    <n v="6363.7831026624453"/>
    <b v="0"/>
    <n v="6939"/>
    <n v="209"/>
    <n v="6364"/>
    <x v="2"/>
    <x v="1"/>
    <x v="1"/>
  </r>
  <r>
    <x v="58"/>
    <n v="7281"/>
    <n v="291"/>
    <x v="1"/>
    <x v="1"/>
    <n v="3968"/>
    <n v="6269.2059262588518"/>
    <b v="0"/>
    <n v="7281"/>
    <n v="291"/>
    <n v="6269"/>
    <x v="2"/>
    <x v="1"/>
    <x v="1"/>
  </r>
  <r>
    <x v="59"/>
    <n v="1.5"/>
    <n v="0"/>
    <x v="2"/>
    <x v="1"/>
    <n v="1"/>
    <n v="1.2125875610285926"/>
    <b v="1"/>
    <n v="2"/>
    <n v="0"/>
    <n v="1"/>
    <x v="3"/>
    <x v="0"/>
    <x v="1"/>
  </r>
  <r>
    <x v="59"/>
    <n v="1.5"/>
    <n v="0"/>
    <x v="1"/>
    <x v="0"/>
    <n v="1"/>
    <n v="1.3340309708268736"/>
    <b v="0"/>
    <n v="2"/>
    <n v="0"/>
    <n v="1"/>
    <x v="3"/>
    <x v="1"/>
    <x v="1"/>
  </r>
  <r>
    <x v="59"/>
    <n v="661.5"/>
    <n v="6"/>
    <x v="0"/>
    <x v="0"/>
    <n v="11"/>
    <n v="581.11115255275956"/>
    <b v="0"/>
    <n v="662"/>
    <n v="6"/>
    <n v="581"/>
    <x v="3"/>
    <x v="1"/>
    <x v="1"/>
  </r>
  <r>
    <x v="59"/>
    <n v="865.5"/>
    <n v="6"/>
    <x v="0"/>
    <x v="1"/>
    <n v="192"/>
    <n v="766.63329639418725"/>
    <b v="0"/>
    <n v="866"/>
    <n v="6"/>
    <n v="767"/>
    <x v="3"/>
    <x v="1"/>
    <x v="1"/>
  </r>
  <r>
    <x v="59"/>
    <n v="5914.5"/>
    <n v="243"/>
    <x v="1"/>
    <x v="1"/>
    <n v="759"/>
    <n v="5346.7259692540492"/>
    <b v="0"/>
    <n v="5915"/>
    <n v="243"/>
    <n v="5347"/>
    <x v="3"/>
    <x v="1"/>
    <x v="1"/>
  </r>
  <r>
    <x v="59"/>
    <n v="10782"/>
    <n v="460.5"/>
    <x v="2"/>
    <x v="0"/>
    <n v="6673"/>
    <n v="10464.546368025256"/>
    <b v="0"/>
    <n v="10782"/>
    <n v="461"/>
    <n v="10465"/>
    <x v="3"/>
    <x v="1"/>
    <x v="1"/>
  </r>
  <r>
    <x v="60"/>
    <n v="430.5"/>
    <n v="10.5"/>
    <x v="0"/>
    <x v="0"/>
    <n v="196"/>
    <n v="385.72532994426774"/>
    <b v="0"/>
    <n v="431"/>
    <n v="11"/>
    <n v="386"/>
    <x v="4"/>
    <x v="1"/>
    <x v="2"/>
  </r>
  <r>
    <x v="60"/>
    <n v="1164"/>
    <n v="10.5"/>
    <x v="0"/>
    <x v="1"/>
    <n v="6"/>
    <n v="945.82306060831979"/>
    <b v="1"/>
    <n v="1164"/>
    <n v="11"/>
    <n v="946"/>
    <x v="4"/>
    <x v="0"/>
    <x v="2"/>
  </r>
  <r>
    <x v="60"/>
    <n v="5332.5"/>
    <n v="42"/>
    <x v="1"/>
    <x v="1"/>
    <n v="3240"/>
    <n v="4405.1081912392883"/>
    <b v="0"/>
    <n v="5333"/>
    <n v="42"/>
    <n v="4405"/>
    <x v="4"/>
    <x v="1"/>
    <x v="2"/>
  </r>
  <r>
    <x v="60"/>
    <n v="11709"/>
    <n v="478.5"/>
    <x v="2"/>
    <x v="0"/>
    <n v="5228"/>
    <n v="10699.888871623392"/>
    <b v="0"/>
    <n v="11709"/>
    <n v="479"/>
    <n v="10700"/>
    <x v="4"/>
    <x v="1"/>
    <x v="2"/>
  </r>
  <r>
    <x v="61"/>
    <n v="1.5"/>
    <n v="0"/>
    <x v="2"/>
    <x v="1"/>
    <n v="1"/>
    <n v="1.2342772916560365"/>
    <b v="0"/>
    <n v="2"/>
    <n v="0"/>
    <n v="1"/>
    <x v="5"/>
    <x v="1"/>
    <x v="2"/>
  </r>
  <r>
    <x v="61"/>
    <n v="3"/>
    <n v="0"/>
    <x v="1"/>
    <x v="0"/>
    <n v="2"/>
    <n v="2.6820628215875097"/>
    <b v="0"/>
    <n v="3"/>
    <n v="0"/>
    <n v="3"/>
    <x v="5"/>
    <x v="1"/>
    <x v="2"/>
  </r>
  <r>
    <x v="61"/>
    <n v="352.5"/>
    <n v="52.5"/>
    <x v="0"/>
    <x v="1"/>
    <n v="146"/>
    <n v="346.89000088163897"/>
    <b v="0"/>
    <n v="353"/>
    <n v="53"/>
    <n v="347"/>
    <x v="5"/>
    <x v="1"/>
    <x v="2"/>
  </r>
  <r>
    <x v="61"/>
    <n v="1662"/>
    <n v="52.5"/>
    <x v="0"/>
    <x v="0"/>
    <n v="688"/>
    <n v="1568.2011780318805"/>
    <b v="0"/>
    <n v="1662"/>
    <n v="53"/>
    <n v="1568"/>
    <x v="5"/>
    <x v="1"/>
    <x v="2"/>
  </r>
  <r>
    <x v="61"/>
    <n v="6184.5"/>
    <n v="93"/>
    <x v="1"/>
    <x v="1"/>
    <n v="4096"/>
    <n v="5040.4454559677488"/>
    <b v="0"/>
    <n v="6185"/>
    <n v="93"/>
    <n v="5040"/>
    <x v="5"/>
    <x v="1"/>
    <x v="2"/>
  </r>
  <r>
    <x v="61"/>
    <n v="10266"/>
    <n v="709.5"/>
    <x v="2"/>
    <x v="0"/>
    <n v="5217"/>
    <n v="10299.179958810348"/>
    <b v="1"/>
    <n v="10266"/>
    <n v="710"/>
    <n v="10299"/>
    <x v="5"/>
    <x v="0"/>
    <x v="2"/>
  </r>
  <r>
    <x v="62"/>
    <n v="1.5"/>
    <n v="0"/>
    <x v="2"/>
    <x v="1"/>
    <n v="1"/>
    <n v="1.2425923871390969"/>
    <b v="0"/>
    <n v="2"/>
    <n v="0"/>
    <n v="1"/>
    <x v="6"/>
    <x v="1"/>
    <x v="2"/>
  </r>
  <r>
    <x v="62"/>
    <n v="972"/>
    <n v="37.5"/>
    <x v="0"/>
    <x v="1"/>
    <n v="378"/>
    <n v="879.13877403167157"/>
    <b v="0"/>
    <n v="972"/>
    <n v="38"/>
    <n v="879"/>
    <x v="6"/>
    <x v="1"/>
    <x v="2"/>
  </r>
  <r>
    <x v="62"/>
    <n v="1059"/>
    <n v="37.5"/>
    <x v="0"/>
    <x v="0"/>
    <n v="24"/>
    <n v="959.87155967913816"/>
    <b v="0"/>
    <n v="1059"/>
    <n v="38"/>
    <n v="960"/>
    <x v="6"/>
    <x v="1"/>
    <x v="2"/>
  </r>
  <r>
    <x v="62"/>
    <n v="7743"/>
    <n v="294"/>
    <x v="1"/>
    <x v="1"/>
    <n v="1239"/>
    <n v="6715.9365419264532"/>
    <b v="0"/>
    <n v="7743"/>
    <n v="294"/>
    <n v="6716"/>
    <x v="6"/>
    <x v="1"/>
    <x v="2"/>
  </r>
  <r>
    <x v="62"/>
    <n v="8098.5"/>
    <n v="492"/>
    <x v="2"/>
    <x v="0"/>
    <n v="1000"/>
    <n v="7609.8854549923099"/>
    <b v="1"/>
    <n v="8099"/>
    <n v="492"/>
    <n v="7610"/>
    <x v="6"/>
    <x v="0"/>
    <x v="2"/>
  </r>
  <r>
    <x v="63"/>
    <n v="3"/>
    <n v="1.5"/>
    <x v="1"/>
    <x v="0"/>
    <n v="2"/>
    <n v="4.213086711866735"/>
    <b v="0"/>
    <n v="3"/>
    <n v="2"/>
    <n v="4"/>
    <x v="0"/>
    <x v="1"/>
    <x v="2"/>
  </r>
  <r>
    <x v="63"/>
    <n v="6"/>
    <n v="1.5"/>
    <x v="2"/>
    <x v="1"/>
    <n v="1"/>
    <n v="6.4876923034243124"/>
    <b v="0"/>
    <n v="6"/>
    <n v="2"/>
    <n v="6"/>
    <x v="0"/>
    <x v="1"/>
    <x v="2"/>
  </r>
  <r>
    <x v="63"/>
    <n v="364.5"/>
    <n v="13.5"/>
    <x v="0"/>
    <x v="0"/>
    <n v="146"/>
    <n v="342.37179116721177"/>
    <b v="0"/>
    <n v="365"/>
    <n v="14"/>
    <n v="342"/>
    <x v="0"/>
    <x v="1"/>
    <x v="2"/>
  </r>
  <r>
    <x v="63"/>
    <n v="1014"/>
    <n v="13.5"/>
    <x v="0"/>
    <x v="1"/>
    <n v="657"/>
    <n v="883.4000839335622"/>
    <b v="0"/>
    <n v="1014"/>
    <n v="14"/>
    <n v="883"/>
    <x v="0"/>
    <x v="1"/>
    <x v="2"/>
  </r>
  <r>
    <x v="63"/>
    <n v="8073"/>
    <n v="196.5"/>
    <x v="1"/>
    <x v="1"/>
    <n v="5255"/>
    <n v="6623.1854225810184"/>
    <b v="1"/>
    <n v="8073"/>
    <n v="197"/>
    <n v="6623"/>
    <x v="0"/>
    <x v="0"/>
    <x v="2"/>
  </r>
  <r>
    <x v="63"/>
    <n v="8358"/>
    <n v="348"/>
    <x v="2"/>
    <x v="0"/>
    <n v="5460"/>
    <n v="8058.6369890252345"/>
    <b v="0"/>
    <n v="8358"/>
    <n v="348"/>
    <n v="8059"/>
    <x v="0"/>
    <x v="1"/>
    <x v="2"/>
  </r>
  <r>
    <x v="64"/>
    <n v="1.5"/>
    <n v="0"/>
    <x v="2"/>
    <x v="1"/>
    <n v="1"/>
    <n v="1.2864862048791179"/>
    <b v="0"/>
    <n v="2"/>
    <n v="0"/>
    <n v="1"/>
    <x v="1"/>
    <x v="1"/>
    <x v="2"/>
  </r>
  <r>
    <x v="64"/>
    <n v="832.5"/>
    <n v="27"/>
    <x v="0"/>
    <x v="0"/>
    <n v="11"/>
    <n v="775.26650765313843"/>
    <b v="0"/>
    <n v="833"/>
    <n v="27"/>
    <n v="775"/>
    <x v="1"/>
    <x v="1"/>
    <x v="2"/>
  </r>
  <r>
    <x v="64"/>
    <n v="1173"/>
    <n v="27"/>
    <x v="0"/>
    <x v="1"/>
    <n v="380"/>
    <n v="1064.2080094101577"/>
    <b v="0"/>
    <n v="1173"/>
    <n v="27"/>
    <n v="1064"/>
    <x v="1"/>
    <x v="1"/>
    <x v="2"/>
  </r>
  <r>
    <x v="64"/>
    <n v="7090.5"/>
    <n v="255"/>
    <x v="1"/>
    <x v="1"/>
    <n v="4529"/>
    <n v="6207.766761875414"/>
    <b v="0"/>
    <n v="7091"/>
    <n v="255"/>
    <n v="6208"/>
    <x v="1"/>
    <x v="1"/>
    <x v="2"/>
  </r>
  <r>
    <x v="64"/>
    <n v="7840.5"/>
    <n v="40.5"/>
    <x v="2"/>
    <x v="0"/>
    <n v="3749"/>
    <n v="7039.8231472694251"/>
    <b v="0"/>
    <n v="7841"/>
    <n v="41"/>
    <n v="7040"/>
    <x v="1"/>
    <x v="1"/>
    <x v="2"/>
  </r>
  <r>
    <x v="65"/>
    <n v="3"/>
    <n v="0"/>
    <x v="2"/>
    <x v="1"/>
    <n v="1"/>
    <n v="2.4819267414480475"/>
    <b v="0"/>
    <n v="3"/>
    <n v="0"/>
    <n v="2"/>
    <x v="2"/>
    <x v="1"/>
    <x v="2"/>
  </r>
  <r>
    <x v="65"/>
    <n v="690"/>
    <n v="9"/>
    <x v="0"/>
    <x v="1"/>
    <n v="279"/>
    <n v="561.76652606341406"/>
    <b v="0"/>
    <n v="690"/>
    <n v="9"/>
    <n v="562"/>
    <x v="2"/>
    <x v="1"/>
    <x v="2"/>
  </r>
  <r>
    <x v="65"/>
    <n v="925.5"/>
    <n v="9"/>
    <x v="0"/>
    <x v="0"/>
    <n v="34"/>
    <n v="825.24904667833198"/>
    <b v="0"/>
    <n v="926"/>
    <n v="9"/>
    <n v="825"/>
    <x v="2"/>
    <x v="1"/>
    <x v="2"/>
  </r>
  <r>
    <x v="65"/>
    <n v="6672"/>
    <n v="259.5"/>
    <x v="1"/>
    <x v="1"/>
    <n v="270"/>
    <n v="5721.0597777967869"/>
    <b v="0"/>
    <n v="6672"/>
    <n v="260"/>
    <n v="5721"/>
    <x v="2"/>
    <x v="1"/>
    <x v="2"/>
  </r>
  <r>
    <x v="65"/>
    <n v="6943.5"/>
    <n v="316.5"/>
    <x v="2"/>
    <x v="0"/>
    <n v="4507"/>
    <n v="6506.6701809491724"/>
    <b v="0"/>
    <n v="6944"/>
    <n v="317"/>
    <n v="6507"/>
    <x v="2"/>
    <x v="1"/>
    <x v="2"/>
  </r>
  <r>
    <x v="66"/>
    <n v="1.5"/>
    <n v="0"/>
    <x v="1"/>
    <x v="0"/>
    <n v="1"/>
    <n v="1.3957288544665725"/>
    <b v="0"/>
    <n v="2"/>
    <n v="0"/>
    <n v="1"/>
    <x v="3"/>
    <x v="1"/>
    <x v="2"/>
  </r>
  <r>
    <x v="66"/>
    <n v="3"/>
    <n v="0"/>
    <x v="2"/>
    <x v="1"/>
    <n v="2"/>
    <n v="2.4613208557790429"/>
    <b v="0"/>
    <n v="3"/>
    <n v="0"/>
    <n v="2"/>
    <x v="3"/>
    <x v="1"/>
    <x v="2"/>
  </r>
  <r>
    <x v="66"/>
    <n v="735"/>
    <n v="60"/>
    <x v="0"/>
    <x v="1"/>
    <n v="127"/>
    <n v="700.97123345980503"/>
    <b v="0"/>
    <n v="735"/>
    <n v="60"/>
    <n v="701"/>
    <x v="3"/>
    <x v="1"/>
    <x v="2"/>
  </r>
  <r>
    <x v="66"/>
    <n v="877.5"/>
    <n v="60"/>
    <x v="0"/>
    <x v="0"/>
    <n v="89"/>
    <n v="857.45486110392653"/>
    <b v="0"/>
    <n v="878"/>
    <n v="60"/>
    <n v="857"/>
    <x v="3"/>
    <x v="1"/>
    <x v="2"/>
  </r>
  <r>
    <x v="66"/>
    <n v="6459"/>
    <n v="231"/>
    <x v="1"/>
    <x v="1"/>
    <n v="2776"/>
    <n v="5692.5766245034783"/>
    <b v="0"/>
    <n v="6459"/>
    <n v="231"/>
    <n v="5693"/>
    <x v="3"/>
    <x v="1"/>
    <x v="2"/>
  </r>
  <r>
    <x v="66"/>
    <n v="9118.5"/>
    <n v="433.5"/>
    <x v="2"/>
    <x v="0"/>
    <n v="3635"/>
    <n v="8386.425724580251"/>
    <b v="0"/>
    <n v="9119"/>
    <n v="434"/>
    <n v="8386"/>
    <x v="3"/>
    <x v="1"/>
    <x v="2"/>
  </r>
  <r>
    <x v="67"/>
    <n v="1.5"/>
    <n v="0"/>
    <x v="1"/>
    <x v="0"/>
    <n v="1"/>
    <n v="1.3910369619748004"/>
    <b v="0"/>
    <n v="2"/>
    <n v="0"/>
    <n v="1"/>
    <x v="4"/>
    <x v="1"/>
    <x v="2"/>
  </r>
  <r>
    <x v="67"/>
    <n v="3"/>
    <n v="0"/>
    <x v="2"/>
    <x v="1"/>
    <n v="2"/>
    <n v="2.4770704474015801"/>
    <b v="0"/>
    <n v="3"/>
    <n v="0"/>
    <n v="2"/>
    <x v="4"/>
    <x v="1"/>
    <x v="2"/>
  </r>
  <r>
    <x v="67"/>
    <n v="465"/>
    <n v="15"/>
    <x v="0"/>
    <x v="0"/>
    <n v="47"/>
    <n v="419.75149977200692"/>
    <b v="0"/>
    <n v="465"/>
    <n v="15"/>
    <n v="420"/>
    <x v="4"/>
    <x v="1"/>
    <x v="2"/>
  </r>
  <r>
    <x v="67"/>
    <n v="1024.5"/>
    <n v="15"/>
    <x v="0"/>
    <x v="1"/>
    <n v="570"/>
    <n v="842.49046573312216"/>
    <b v="0"/>
    <n v="1025"/>
    <n v="15"/>
    <n v="842"/>
    <x v="4"/>
    <x v="1"/>
    <x v="2"/>
  </r>
  <r>
    <x v="67"/>
    <n v="5958"/>
    <n v="117"/>
    <x v="1"/>
    <x v="1"/>
    <n v="2497"/>
    <n v="4986.2129395069251"/>
    <b v="0"/>
    <n v="5958"/>
    <n v="117"/>
    <n v="4986"/>
    <x v="4"/>
    <x v="1"/>
    <x v="2"/>
  </r>
  <r>
    <x v="67"/>
    <n v="8577"/>
    <n v="477"/>
    <x v="2"/>
    <x v="0"/>
    <n v="5670"/>
    <n v="7999.5068007596756"/>
    <b v="0"/>
    <n v="8577"/>
    <n v="477"/>
    <n v="8000"/>
    <x v="4"/>
    <x v="1"/>
    <x v="2"/>
  </r>
  <r>
    <x v="68"/>
    <n v="1.5"/>
    <n v="0"/>
    <x v="1"/>
    <x v="0"/>
    <n v="1"/>
    <n v="1.306283865549255"/>
    <b v="0"/>
    <n v="2"/>
    <n v="0"/>
    <n v="1"/>
    <x v="5"/>
    <x v="1"/>
    <x v="2"/>
  </r>
  <r>
    <x v="68"/>
    <n v="1485"/>
    <n v="84"/>
    <x v="0"/>
    <x v="1"/>
    <n v="344"/>
    <n v="1376.5099771634937"/>
    <b v="0"/>
    <n v="1485"/>
    <n v="84"/>
    <n v="1377"/>
    <x v="5"/>
    <x v="1"/>
    <x v="2"/>
  </r>
  <r>
    <x v="68"/>
    <n v="1899"/>
    <n v="84"/>
    <x v="0"/>
    <x v="0"/>
    <n v="57"/>
    <n v="1785.7095925215083"/>
    <b v="0"/>
    <n v="1899"/>
    <n v="84"/>
    <n v="1786"/>
    <x v="5"/>
    <x v="1"/>
    <x v="2"/>
  </r>
  <r>
    <x v="68"/>
    <n v="5938.5"/>
    <n v="216"/>
    <x v="1"/>
    <x v="1"/>
    <n v="753"/>
    <n v="5085.6636344481831"/>
    <b v="0"/>
    <n v="5939"/>
    <n v="216"/>
    <n v="5086"/>
    <x v="5"/>
    <x v="1"/>
    <x v="2"/>
  </r>
  <r>
    <x v="68"/>
    <n v="8752.5"/>
    <n v="310.5"/>
    <x v="2"/>
    <x v="0"/>
    <n v="306"/>
    <n v="8435.2698357428399"/>
    <b v="0"/>
    <n v="8753"/>
    <n v="311"/>
    <n v="8435"/>
    <x v="5"/>
    <x v="1"/>
    <x v="2"/>
  </r>
  <r>
    <x v="69"/>
    <n v="1.5"/>
    <n v="0"/>
    <x v="2"/>
    <x v="1"/>
    <n v="1"/>
    <n v="1.2620122631007482"/>
    <b v="0"/>
    <n v="2"/>
    <n v="0"/>
    <n v="1"/>
    <x v="6"/>
    <x v="1"/>
    <x v="2"/>
  </r>
  <r>
    <x v="69"/>
    <n v="1704"/>
    <n v="21"/>
    <x v="0"/>
    <x v="0"/>
    <n v="1022"/>
    <n v="1556.1599773354462"/>
    <b v="0"/>
    <n v="1704"/>
    <n v="21"/>
    <n v="1556"/>
    <x v="6"/>
    <x v="1"/>
    <x v="2"/>
  </r>
  <r>
    <x v="69"/>
    <n v="1969.5"/>
    <n v="21"/>
    <x v="0"/>
    <x v="1"/>
    <n v="1234"/>
    <n v="1597.5851905475447"/>
    <b v="1"/>
    <n v="1970"/>
    <n v="21"/>
    <n v="1598"/>
    <x v="6"/>
    <x v="0"/>
    <x v="2"/>
  </r>
  <r>
    <x v="69"/>
    <n v="6934.5"/>
    <n v="255"/>
    <x v="1"/>
    <x v="1"/>
    <n v="2186"/>
    <n v="6373.5181698482947"/>
    <b v="0"/>
    <n v="6935"/>
    <n v="255"/>
    <n v="6374"/>
    <x v="6"/>
    <x v="1"/>
    <x v="2"/>
  </r>
  <r>
    <x v="69"/>
    <n v="7422"/>
    <n v="27"/>
    <x v="2"/>
    <x v="0"/>
    <n v="2858"/>
    <n v="6686.8597108830172"/>
    <b v="0"/>
    <n v="7422"/>
    <n v="27"/>
    <n v="6687"/>
    <x v="6"/>
    <x v="1"/>
    <x v="2"/>
  </r>
  <r>
    <x v="70"/>
    <n v="3"/>
    <n v="0"/>
    <x v="2"/>
    <x v="1"/>
    <n v="2"/>
    <n v="2.4692072161579173"/>
    <b v="0"/>
    <n v="3"/>
    <n v="0"/>
    <n v="2"/>
    <x v="0"/>
    <x v="1"/>
    <x v="2"/>
  </r>
  <r>
    <x v="70"/>
    <n v="1132.5"/>
    <n v="48"/>
    <x v="0"/>
    <x v="1"/>
    <n v="47"/>
    <n v="1045.9084728302146"/>
    <b v="0"/>
    <n v="1133"/>
    <n v="48"/>
    <n v="1046"/>
    <x v="0"/>
    <x v="1"/>
    <x v="2"/>
  </r>
  <r>
    <x v="70"/>
    <n v="1150.5"/>
    <n v="48"/>
    <x v="0"/>
    <x v="0"/>
    <n v="565"/>
    <n v="1105.7078709892548"/>
    <b v="0"/>
    <n v="1151"/>
    <n v="48"/>
    <n v="1106"/>
    <x v="0"/>
    <x v="1"/>
    <x v="2"/>
  </r>
  <r>
    <x v="70"/>
    <n v="7860"/>
    <n v="423"/>
    <x v="2"/>
    <x v="0"/>
    <n v="1870"/>
    <n v="7734.7756325184337"/>
    <b v="0"/>
    <n v="7860"/>
    <n v="423"/>
    <n v="7735"/>
    <x v="0"/>
    <x v="1"/>
    <x v="2"/>
  </r>
  <r>
    <x v="70"/>
    <n v="9240"/>
    <n v="214.5"/>
    <x v="1"/>
    <x v="1"/>
    <n v="5228"/>
    <n v="8156.9125545733141"/>
    <b v="1"/>
    <n v="9240"/>
    <n v="215"/>
    <n v="8157"/>
    <x v="0"/>
    <x v="0"/>
    <x v="2"/>
  </r>
  <r>
    <x v="71"/>
    <n v="304.5"/>
    <n v="21"/>
    <x v="0"/>
    <x v="0"/>
    <n v="134"/>
    <n v="300.48101578337423"/>
    <b v="0"/>
    <n v="305"/>
    <n v="21"/>
    <n v="300"/>
    <x v="1"/>
    <x v="1"/>
    <x v="2"/>
  </r>
  <r>
    <x v="71"/>
    <n v="573"/>
    <n v="21"/>
    <x v="0"/>
    <x v="1"/>
    <n v="376"/>
    <n v="506.71627111386249"/>
    <b v="0"/>
    <n v="573"/>
    <n v="21"/>
    <n v="507"/>
    <x v="1"/>
    <x v="1"/>
    <x v="2"/>
  </r>
  <r>
    <x v="71"/>
    <n v="5368.5"/>
    <n v="34.5"/>
    <x v="1"/>
    <x v="1"/>
    <n v="94"/>
    <n v="4723.3833261298414"/>
    <b v="0"/>
    <n v="5369"/>
    <n v="35"/>
    <n v="4723"/>
    <x v="1"/>
    <x v="1"/>
    <x v="2"/>
  </r>
  <r>
    <x v="71"/>
    <n v="6813"/>
    <n v="360"/>
    <x v="2"/>
    <x v="0"/>
    <n v="597"/>
    <n v="6603.2262435330904"/>
    <b v="0"/>
    <n v="6813"/>
    <n v="360"/>
    <n v="6603"/>
    <x v="1"/>
    <x v="1"/>
    <x v="2"/>
  </r>
  <r>
    <x v="72"/>
    <n v="1.5"/>
    <n v="0"/>
    <x v="1"/>
    <x v="0"/>
    <n v="1"/>
    <n v="1.3877139248766885"/>
    <b v="0"/>
    <n v="2"/>
    <n v="0"/>
    <n v="1"/>
    <x v="2"/>
    <x v="1"/>
    <x v="2"/>
  </r>
  <r>
    <x v="72"/>
    <n v="3"/>
    <n v="0"/>
    <x v="2"/>
    <x v="1"/>
    <n v="1"/>
    <n v="2.5957082057770018"/>
    <b v="0"/>
    <n v="3"/>
    <n v="0"/>
    <n v="3"/>
    <x v="2"/>
    <x v="1"/>
    <x v="2"/>
  </r>
  <r>
    <x v="72"/>
    <n v="495"/>
    <n v="39"/>
    <x v="0"/>
    <x v="1"/>
    <n v="166"/>
    <n v="471.18845422745943"/>
    <b v="0"/>
    <n v="495"/>
    <n v="39"/>
    <n v="471"/>
    <x v="2"/>
    <x v="1"/>
    <x v="2"/>
  </r>
  <r>
    <x v="72"/>
    <n v="766.5"/>
    <n v="39"/>
    <x v="0"/>
    <x v="0"/>
    <n v="488"/>
    <n v="705.00311083768906"/>
    <b v="0"/>
    <n v="767"/>
    <n v="39"/>
    <n v="705"/>
    <x v="2"/>
    <x v="1"/>
    <x v="2"/>
  </r>
  <r>
    <x v="72"/>
    <n v="4852.5"/>
    <n v="51"/>
    <x v="1"/>
    <x v="1"/>
    <n v="676"/>
    <n v="3980.0570570586165"/>
    <b v="0"/>
    <n v="4853"/>
    <n v="51"/>
    <n v="3980"/>
    <x v="2"/>
    <x v="1"/>
    <x v="2"/>
  </r>
  <r>
    <x v="72"/>
    <n v="6516"/>
    <n v="334.5"/>
    <x v="2"/>
    <x v="0"/>
    <n v="484"/>
    <n v="6096.1261709562214"/>
    <b v="0"/>
    <n v="6516"/>
    <n v="335"/>
    <n v="6096"/>
    <x v="2"/>
    <x v="1"/>
    <x v="2"/>
  </r>
  <r>
    <x v="73"/>
    <n v="3"/>
    <n v="0"/>
    <x v="2"/>
    <x v="1"/>
    <n v="1"/>
    <n v="2.642089169883624"/>
    <b v="0"/>
    <n v="3"/>
    <n v="0"/>
    <n v="3"/>
    <x v="3"/>
    <x v="1"/>
    <x v="2"/>
  </r>
  <r>
    <x v="73"/>
    <n v="429"/>
    <n v="7.5"/>
    <x v="0"/>
    <x v="1"/>
    <n v="74"/>
    <n v="371.1523914654814"/>
    <b v="0"/>
    <n v="429"/>
    <n v="8"/>
    <n v="371"/>
    <x v="3"/>
    <x v="1"/>
    <x v="2"/>
  </r>
  <r>
    <x v="73"/>
    <n v="1258.5"/>
    <n v="7.5"/>
    <x v="0"/>
    <x v="0"/>
    <n v="334"/>
    <n v="1118.7979814992821"/>
    <b v="0"/>
    <n v="1259"/>
    <n v="8"/>
    <n v="1119"/>
    <x v="3"/>
    <x v="1"/>
    <x v="2"/>
  </r>
  <r>
    <x v="73"/>
    <n v="5686.5"/>
    <n v="49.5"/>
    <x v="1"/>
    <x v="1"/>
    <n v="2006"/>
    <n v="4888.3081181297066"/>
    <b v="0"/>
    <n v="5687"/>
    <n v="50"/>
    <n v="4888"/>
    <x v="3"/>
    <x v="1"/>
    <x v="2"/>
  </r>
  <r>
    <x v="73"/>
    <n v="6570"/>
    <n v="303"/>
    <x v="2"/>
    <x v="0"/>
    <n v="2826"/>
    <n v="6104.3750165454912"/>
    <b v="0"/>
    <n v="6570"/>
    <n v="303"/>
    <n v="6104"/>
    <x v="3"/>
    <x v="1"/>
    <x v="2"/>
  </r>
  <r>
    <x v="74"/>
    <n v="648"/>
    <n v="37.5"/>
    <x v="0"/>
    <x v="1"/>
    <n v="420"/>
    <n v="561.74082187757631"/>
    <b v="0"/>
    <n v="648"/>
    <n v="38"/>
    <n v="562"/>
    <x v="4"/>
    <x v="1"/>
    <x v="2"/>
  </r>
  <r>
    <x v="74"/>
    <n v="735"/>
    <n v="37.5"/>
    <x v="0"/>
    <x v="0"/>
    <n v="403"/>
    <n v="679.03992607453768"/>
    <b v="0"/>
    <n v="735"/>
    <n v="38"/>
    <n v="679"/>
    <x v="4"/>
    <x v="1"/>
    <x v="2"/>
  </r>
  <r>
    <x v="74"/>
    <n v="4263"/>
    <n v="174"/>
    <x v="1"/>
    <x v="1"/>
    <n v="780"/>
    <n v="3925.5932526006118"/>
    <b v="0"/>
    <n v="4263"/>
    <n v="174"/>
    <n v="3926"/>
    <x v="4"/>
    <x v="1"/>
    <x v="2"/>
  </r>
  <r>
    <x v="74"/>
    <n v="7357.5"/>
    <n v="184.5"/>
    <x v="2"/>
    <x v="0"/>
    <n v="631"/>
    <n v="6656.3078038923768"/>
    <b v="0"/>
    <n v="7358"/>
    <n v="185"/>
    <n v="6656"/>
    <x v="4"/>
    <x v="1"/>
    <x v="2"/>
  </r>
  <r>
    <x v="75"/>
    <n v="441"/>
    <n v="25.5"/>
    <x v="0"/>
    <x v="1"/>
    <n v="94"/>
    <n v="376.66766910718252"/>
    <b v="0"/>
    <n v="441"/>
    <n v="26"/>
    <n v="377"/>
    <x v="5"/>
    <x v="1"/>
    <x v="2"/>
  </r>
  <r>
    <x v="75"/>
    <n v="525"/>
    <n v="25.5"/>
    <x v="0"/>
    <x v="0"/>
    <n v="314"/>
    <n v="484.36376232194607"/>
    <b v="0"/>
    <n v="525"/>
    <n v="26"/>
    <n v="484"/>
    <x v="5"/>
    <x v="1"/>
    <x v="2"/>
  </r>
  <r>
    <x v="75"/>
    <n v="4234.5"/>
    <n v="78"/>
    <x v="1"/>
    <x v="1"/>
    <n v="858"/>
    <n v="3506.7426652664826"/>
    <b v="0"/>
    <n v="4235"/>
    <n v="78"/>
    <n v="3507"/>
    <x v="5"/>
    <x v="1"/>
    <x v="2"/>
  </r>
  <r>
    <x v="75"/>
    <n v="8211"/>
    <n v="253.5"/>
    <x v="2"/>
    <x v="0"/>
    <n v="456"/>
    <n v="7587.6907435581888"/>
    <b v="0"/>
    <n v="8211"/>
    <n v="254"/>
    <n v="7588"/>
    <x v="5"/>
    <x v="1"/>
    <x v="2"/>
  </r>
  <r>
    <x v="76"/>
    <n v="2376"/>
    <n v="114"/>
    <x v="1"/>
    <x v="1"/>
    <n v="1405"/>
    <n v="2160.8239472955338"/>
    <b v="1"/>
    <n v="2376"/>
    <n v="114"/>
    <n v="2161"/>
    <x v="6"/>
    <x v="0"/>
    <x v="2"/>
  </r>
  <r>
    <x v="76"/>
    <n v="3567"/>
    <n v="76.5"/>
    <x v="0"/>
    <x v="1"/>
    <n v="2150"/>
    <n v="3140.422846343899"/>
    <b v="1"/>
    <n v="3567"/>
    <n v="77"/>
    <n v="3140"/>
    <x v="6"/>
    <x v="0"/>
    <x v="2"/>
  </r>
  <r>
    <x v="76"/>
    <n v="4008"/>
    <n v="76.5"/>
    <x v="2"/>
    <x v="0"/>
    <n v="2380"/>
    <n v="3557.6698793236119"/>
    <b v="1"/>
    <n v="4008"/>
    <n v="77"/>
    <n v="3558"/>
    <x v="6"/>
    <x v="0"/>
    <x v="2"/>
  </r>
  <r>
    <x v="76"/>
    <n v="4875"/>
    <n v="76.5"/>
    <x v="0"/>
    <x v="0"/>
    <n v="21"/>
    <n v="4391.0329949279485"/>
    <b v="1"/>
    <n v="4875"/>
    <n v="77"/>
    <n v="4391"/>
    <x v="6"/>
    <x v="0"/>
    <x v="2"/>
  </r>
  <r>
    <x v="77"/>
    <n v="3"/>
    <n v="1.5"/>
    <x v="2"/>
    <x v="1"/>
    <n v="1"/>
    <n v="3.76125623045793"/>
    <b v="1"/>
    <n v="3"/>
    <n v="2"/>
    <n v="4"/>
    <x v="0"/>
    <x v="0"/>
    <x v="2"/>
  </r>
  <r>
    <x v="77"/>
    <n v="1506"/>
    <n v="46.5"/>
    <x v="0"/>
    <x v="1"/>
    <n v="884"/>
    <n v="1348.8083121034299"/>
    <b v="1"/>
    <n v="1506"/>
    <n v="47"/>
    <n v="1349"/>
    <x v="0"/>
    <x v="0"/>
    <x v="2"/>
  </r>
  <r>
    <x v="77"/>
    <n v="3721.5"/>
    <n v="46.5"/>
    <x v="0"/>
    <x v="0"/>
    <n v="65"/>
    <n v="3334.7481430281655"/>
    <b v="1"/>
    <n v="3722"/>
    <n v="47"/>
    <n v="3335"/>
    <x v="0"/>
    <x v="0"/>
    <x v="2"/>
  </r>
  <r>
    <x v="77"/>
    <n v="4930.5"/>
    <n v="7.5"/>
    <x v="2"/>
    <x v="0"/>
    <n v="2320"/>
    <n v="4504.4485819033043"/>
    <b v="1"/>
    <n v="4931"/>
    <n v="8"/>
    <n v="4504"/>
    <x v="0"/>
    <x v="0"/>
    <x v="2"/>
  </r>
  <r>
    <x v="77"/>
    <n v="5556"/>
    <n v="193.5"/>
    <x v="1"/>
    <x v="1"/>
    <n v="3582"/>
    <n v="5094.2441978332072"/>
    <b v="1"/>
    <n v="5556"/>
    <n v="194"/>
    <n v="5094"/>
    <x v="0"/>
    <x v="0"/>
    <x v="2"/>
  </r>
  <r>
    <x v="78"/>
    <n v="3"/>
    <n v="1.5"/>
    <x v="2"/>
    <x v="1"/>
    <n v="2"/>
    <n v="3.8720715676963242"/>
    <b v="0"/>
    <n v="3"/>
    <n v="2"/>
    <n v="4"/>
    <x v="1"/>
    <x v="1"/>
    <x v="2"/>
  </r>
  <r>
    <x v="78"/>
    <n v="411"/>
    <n v="27"/>
    <x v="0"/>
    <x v="0"/>
    <n v="198"/>
    <n v="404.53682003744575"/>
    <b v="0"/>
    <n v="411"/>
    <n v="27"/>
    <n v="405"/>
    <x v="1"/>
    <x v="1"/>
    <x v="2"/>
  </r>
  <r>
    <x v="78"/>
    <n v="414"/>
    <n v="27"/>
    <x v="0"/>
    <x v="1"/>
    <n v="71"/>
    <n v="377.83284923250494"/>
    <b v="0"/>
    <n v="414"/>
    <n v="27"/>
    <n v="378"/>
    <x v="1"/>
    <x v="1"/>
    <x v="2"/>
  </r>
  <r>
    <x v="78"/>
    <n v="4222.5"/>
    <n v="166.5"/>
    <x v="1"/>
    <x v="1"/>
    <n v="1736"/>
    <n v="3715.2643719867638"/>
    <b v="0"/>
    <n v="4223"/>
    <n v="167"/>
    <n v="3715"/>
    <x v="1"/>
    <x v="1"/>
    <x v="2"/>
  </r>
  <r>
    <x v="78"/>
    <n v="4636.5"/>
    <n v="259.5"/>
    <x v="2"/>
    <x v="0"/>
    <n v="1819"/>
    <n v="4493.6208915484822"/>
    <b v="1"/>
    <n v="4637"/>
    <n v="260"/>
    <n v="4494"/>
    <x v="1"/>
    <x v="0"/>
    <x v="2"/>
  </r>
  <r>
    <x v="79"/>
    <n v="582"/>
    <n v="1.5"/>
    <x v="0"/>
    <x v="1"/>
    <n v="320"/>
    <n v="480.04150606713034"/>
    <b v="1"/>
    <n v="582"/>
    <n v="2"/>
    <n v="480"/>
    <x v="2"/>
    <x v="0"/>
    <x v="2"/>
  </r>
  <r>
    <x v="79"/>
    <n v="637.5"/>
    <n v="1.5"/>
    <x v="0"/>
    <x v="0"/>
    <n v="405"/>
    <n v="591.38882688810747"/>
    <b v="1"/>
    <n v="638"/>
    <n v="2"/>
    <n v="591"/>
    <x v="2"/>
    <x v="0"/>
    <x v="2"/>
  </r>
  <r>
    <x v="79"/>
    <n v="2653.5"/>
    <n v="43.5"/>
    <x v="1"/>
    <x v="1"/>
    <n v="1627"/>
    <n v="2371.1964785440232"/>
    <b v="1"/>
    <n v="2654"/>
    <n v="44"/>
    <n v="2371"/>
    <x v="2"/>
    <x v="0"/>
    <x v="2"/>
  </r>
  <r>
    <x v="79"/>
    <n v="4950"/>
    <n v="10.5"/>
    <x v="2"/>
    <x v="0"/>
    <n v="2170"/>
    <n v="4336.0477124709105"/>
    <b v="1"/>
    <n v="4950"/>
    <n v="11"/>
    <n v="4336"/>
    <x v="2"/>
    <x v="0"/>
    <x v="2"/>
  </r>
  <r>
    <x v="80"/>
    <n v="3"/>
    <n v="0"/>
    <x v="2"/>
    <x v="1"/>
    <n v="1"/>
    <n v="2.6460934399393499"/>
    <b v="0"/>
    <n v="3"/>
    <n v="0"/>
    <n v="3"/>
    <x v="3"/>
    <x v="1"/>
    <x v="2"/>
  </r>
  <r>
    <x v="80"/>
    <n v="142.5"/>
    <n v="1.5"/>
    <x v="0"/>
    <x v="0"/>
    <n v="28"/>
    <n v="127.36724413880924"/>
    <b v="0"/>
    <n v="143"/>
    <n v="2"/>
    <n v="127"/>
    <x v="3"/>
    <x v="1"/>
    <x v="2"/>
  </r>
  <r>
    <x v="80"/>
    <n v="786"/>
    <n v="1.5"/>
    <x v="0"/>
    <x v="1"/>
    <n v="281"/>
    <n v="641.30988623311646"/>
    <b v="0"/>
    <n v="786"/>
    <n v="2"/>
    <n v="641"/>
    <x v="3"/>
    <x v="1"/>
    <x v="2"/>
  </r>
  <r>
    <x v="80"/>
    <n v="3313.5"/>
    <n v="45"/>
    <x v="1"/>
    <x v="1"/>
    <n v="803"/>
    <n v="2722.1488406489766"/>
    <b v="0"/>
    <n v="3314"/>
    <n v="45"/>
    <n v="2722"/>
    <x v="3"/>
    <x v="1"/>
    <x v="2"/>
  </r>
  <r>
    <x v="80"/>
    <n v="4695"/>
    <n v="69"/>
    <x v="2"/>
    <x v="0"/>
    <n v="1554"/>
    <n v="4335.4115141983712"/>
    <b v="0"/>
    <n v="4695"/>
    <n v="69"/>
    <n v="4335"/>
    <x v="3"/>
    <x v="1"/>
    <x v="2"/>
  </r>
  <r>
    <x v="81"/>
    <n v="958.5"/>
    <n v="15"/>
    <x v="0"/>
    <x v="0"/>
    <n v="55"/>
    <n v="863.31361088602091"/>
    <b v="1"/>
    <n v="959"/>
    <n v="15"/>
    <n v="863"/>
    <x v="4"/>
    <x v="0"/>
    <x v="2"/>
  </r>
  <r>
    <x v="81"/>
    <n v="1102.5"/>
    <n v="15"/>
    <x v="0"/>
    <x v="1"/>
    <n v="560"/>
    <n v="912.0529539977075"/>
    <b v="1"/>
    <n v="1103"/>
    <n v="15"/>
    <n v="912"/>
    <x v="4"/>
    <x v="0"/>
    <x v="2"/>
  </r>
  <r>
    <x v="81"/>
    <n v="4311"/>
    <n v="55.5"/>
    <x v="1"/>
    <x v="1"/>
    <n v="36"/>
    <n v="3879.6339584724296"/>
    <b v="1"/>
    <n v="4311"/>
    <n v="56"/>
    <n v="3880"/>
    <x v="4"/>
    <x v="0"/>
    <x v="2"/>
  </r>
  <r>
    <x v="81"/>
    <n v="5190"/>
    <n v="88.5"/>
    <x v="2"/>
    <x v="0"/>
    <n v="3356"/>
    <n v="4901.0205507784649"/>
    <b v="1"/>
    <n v="5190"/>
    <n v="89"/>
    <n v="4901"/>
    <x v="4"/>
    <x v="0"/>
    <x v="2"/>
  </r>
  <r>
    <x v="82"/>
    <n v="1.5"/>
    <n v="0"/>
    <x v="2"/>
    <x v="1"/>
    <n v="1"/>
    <n v="1.2830507301365803"/>
    <b v="1"/>
    <n v="2"/>
    <n v="0"/>
    <n v="1"/>
    <x v="5"/>
    <x v="0"/>
    <x v="2"/>
  </r>
  <r>
    <x v="82"/>
    <n v="1066.5"/>
    <n v="64.5"/>
    <x v="0"/>
    <x v="1"/>
    <n v="375"/>
    <n v="949.59249395745928"/>
    <b v="1"/>
    <n v="1067"/>
    <n v="65"/>
    <n v="950"/>
    <x v="5"/>
    <x v="0"/>
    <x v="2"/>
  </r>
  <r>
    <x v="82"/>
    <n v="1269"/>
    <n v="64.5"/>
    <x v="0"/>
    <x v="0"/>
    <n v="722"/>
    <n v="1217.1873077988869"/>
    <b v="1"/>
    <n v="1269"/>
    <n v="65"/>
    <n v="1217"/>
    <x v="5"/>
    <x v="0"/>
    <x v="2"/>
  </r>
  <r>
    <x v="82"/>
    <n v="3358.5"/>
    <n v="90"/>
    <x v="1"/>
    <x v="1"/>
    <n v="1639"/>
    <n v="2992.8018747582555"/>
    <b v="1"/>
    <n v="3359"/>
    <n v="90"/>
    <n v="2993"/>
    <x v="5"/>
    <x v="0"/>
    <x v="2"/>
  </r>
  <r>
    <x v="82"/>
    <n v="4698"/>
    <n v="46.5"/>
    <x v="2"/>
    <x v="0"/>
    <n v="3078"/>
    <n v="4232.857937077024"/>
    <b v="1"/>
    <n v="4698"/>
    <n v="47"/>
    <n v="4233"/>
    <x v="5"/>
    <x v="0"/>
    <x v="2"/>
  </r>
  <r>
    <x v="83"/>
    <n v="769.5"/>
    <n v="46.5"/>
    <x v="0"/>
    <x v="1"/>
    <n v="193"/>
    <n v="708.97149674326113"/>
    <b v="0"/>
    <n v="770"/>
    <n v="47"/>
    <n v="709"/>
    <x v="6"/>
    <x v="1"/>
    <x v="2"/>
  </r>
  <r>
    <x v="83"/>
    <n v="1122"/>
    <n v="46.5"/>
    <x v="0"/>
    <x v="0"/>
    <n v="693"/>
    <n v="1091.1340306776503"/>
    <b v="0"/>
    <n v="1122"/>
    <n v="47"/>
    <n v="1091"/>
    <x v="6"/>
    <x v="1"/>
    <x v="2"/>
  </r>
  <r>
    <x v="83"/>
    <n v="3445.5"/>
    <n v="181.5"/>
    <x v="2"/>
    <x v="0"/>
    <n v="2102"/>
    <n v="3366.2317535805228"/>
    <b v="0"/>
    <n v="3446"/>
    <n v="182"/>
    <n v="3366"/>
    <x v="6"/>
    <x v="1"/>
    <x v="2"/>
  </r>
  <r>
    <x v="83"/>
    <n v="4354.5"/>
    <n v="7.5"/>
    <x v="1"/>
    <x v="1"/>
    <n v="2584"/>
    <n v="3824.8617829247742"/>
    <b v="0"/>
    <n v="4355"/>
    <n v="8"/>
    <n v="3825"/>
    <x v="6"/>
    <x v="1"/>
    <x v="2"/>
  </r>
  <r>
    <x v="84"/>
    <n v="325.5"/>
    <n v="18"/>
    <x v="0"/>
    <x v="0"/>
    <n v="165"/>
    <n v="304.18429593505869"/>
    <b v="1"/>
    <n v="326"/>
    <n v="18"/>
    <n v="304"/>
    <x v="0"/>
    <x v="0"/>
    <x v="2"/>
  </r>
  <r>
    <x v="84"/>
    <n v="484.5"/>
    <n v="18"/>
    <x v="0"/>
    <x v="1"/>
    <n v="302"/>
    <n v="442.32333224529566"/>
    <b v="1"/>
    <n v="485"/>
    <n v="18"/>
    <n v="442"/>
    <x v="0"/>
    <x v="0"/>
    <x v="2"/>
  </r>
  <r>
    <x v="84"/>
    <n v="3474"/>
    <n v="99"/>
    <x v="1"/>
    <x v="1"/>
    <n v="2016"/>
    <n v="3147.6749821906401"/>
    <b v="1"/>
    <n v="3474"/>
    <n v="99"/>
    <n v="3148"/>
    <x v="0"/>
    <x v="0"/>
    <x v="2"/>
  </r>
  <r>
    <x v="84"/>
    <n v="3816"/>
    <n v="199.5"/>
    <x v="2"/>
    <x v="0"/>
    <n v="2467"/>
    <n v="3645.2585486662247"/>
    <b v="1"/>
    <n v="3816"/>
    <n v="200"/>
    <n v="3645"/>
    <x v="0"/>
    <x v="0"/>
    <x v="2"/>
  </r>
  <r>
    <x v="85"/>
    <n v="364.5"/>
    <n v="9"/>
    <x v="0"/>
    <x v="1"/>
    <n v="208"/>
    <n v="328.44752149836881"/>
    <b v="0"/>
    <n v="365"/>
    <n v="9"/>
    <n v="328"/>
    <x v="1"/>
    <x v="1"/>
    <x v="2"/>
  </r>
  <r>
    <x v="85"/>
    <n v="481.5"/>
    <n v="9"/>
    <x v="0"/>
    <x v="0"/>
    <n v="30"/>
    <n v="436.45662162480801"/>
    <b v="0"/>
    <n v="482"/>
    <n v="9"/>
    <n v="436"/>
    <x v="1"/>
    <x v="1"/>
    <x v="2"/>
  </r>
  <r>
    <x v="85"/>
    <n v="2691"/>
    <n v="93"/>
    <x v="1"/>
    <x v="1"/>
    <n v="1642"/>
    <n v="2281.375806199258"/>
    <b v="0"/>
    <n v="2691"/>
    <n v="93"/>
    <n v="2281"/>
    <x v="1"/>
    <x v="1"/>
    <x v="2"/>
  </r>
  <r>
    <x v="85"/>
    <n v="3681"/>
    <n v="136.5"/>
    <x v="2"/>
    <x v="0"/>
    <n v="620"/>
    <n v="3518.4135411351836"/>
    <b v="0"/>
    <n v="3681"/>
    <n v="137"/>
    <n v="3518"/>
    <x v="1"/>
    <x v="1"/>
    <x v="2"/>
  </r>
  <r>
    <x v="86"/>
    <n v="318"/>
    <n v="19.5"/>
    <x v="0"/>
    <x v="1"/>
    <n v="56"/>
    <n v="288.7128901765908"/>
    <b v="0"/>
    <n v="318"/>
    <n v="20"/>
    <n v="289"/>
    <x v="2"/>
    <x v="1"/>
    <x v="2"/>
  </r>
  <r>
    <x v="86"/>
    <n v="349.5"/>
    <n v="19.5"/>
    <x v="0"/>
    <x v="0"/>
    <n v="184"/>
    <n v="325.34282851802038"/>
    <b v="0"/>
    <n v="350"/>
    <n v="20"/>
    <n v="325"/>
    <x v="2"/>
    <x v="1"/>
    <x v="2"/>
  </r>
  <r>
    <x v="86"/>
    <n v="2340"/>
    <n v="31.5"/>
    <x v="1"/>
    <x v="1"/>
    <n v="1268"/>
    <n v="2083.5491270244729"/>
    <b v="0"/>
    <n v="2340"/>
    <n v="32"/>
    <n v="2084"/>
    <x v="2"/>
    <x v="1"/>
    <x v="2"/>
  </r>
  <r>
    <x v="86"/>
    <n v="4600.5"/>
    <n v="258"/>
    <x v="2"/>
    <x v="0"/>
    <n v="1807"/>
    <n v="4311.4614831784129"/>
    <b v="0"/>
    <n v="4601"/>
    <n v="258"/>
    <n v="4311"/>
    <x v="2"/>
    <x v="1"/>
    <x v="2"/>
  </r>
  <r>
    <x v="87"/>
    <n v="421.5"/>
    <n v="31.5"/>
    <x v="0"/>
    <x v="1"/>
    <n v="56"/>
    <n v="389.16918576411626"/>
    <b v="0"/>
    <n v="422"/>
    <n v="32"/>
    <n v="389"/>
    <x v="3"/>
    <x v="1"/>
    <x v="2"/>
  </r>
  <r>
    <x v="87"/>
    <n v="528"/>
    <n v="31.5"/>
    <x v="0"/>
    <x v="0"/>
    <n v="261"/>
    <n v="499.74856177682454"/>
    <b v="0"/>
    <n v="528"/>
    <n v="32"/>
    <n v="500"/>
    <x v="3"/>
    <x v="1"/>
    <x v="2"/>
  </r>
  <r>
    <x v="87"/>
    <n v="2166"/>
    <n v="51"/>
    <x v="1"/>
    <x v="1"/>
    <n v="1246"/>
    <n v="1830.9887804023847"/>
    <b v="0"/>
    <n v="2166"/>
    <n v="51"/>
    <n v="1831"/>
    <x v="3"/>
    <x v="1"/>
    <x v="2"/>
  </r>
  <r>
    <x v="87"/>
    <n v="4968"/>
    <n v="39"/>
    <x v="2"/>
    <x v="0"/>
    <n v="2286"/>
    <n v="4595.5069646472975"/>
    <b v="0"/>
    <n v="4968"/>
    <n v="39"/>
    <n v="4596"/>
    <x v="3"/>
    <x v="1"/>
    <x v="2"/>
  </r>
  <r>
    <x v="88"/>
    <n v="540"/>
    <n v="6"/>
    <x v="0"/>
    <x v="0"/>
    <n v="323"/>
    <n v="482.58937373825347"/>
    <b v="1"/>
    <n v="540"/>
    <n v="6"/>
    <n v="483"/>
    <x v="4"/>
    <x v="0"/>
    <x v="2"/>
  </r>
  <r>
    <x v="88"/>
    <n v="903"/>
    <n v="6"/>
    <x v="0"/>
    <x v="1"/>
    <n v="561"/>
    <n v="749.4902815921148"/>
    <b v="1"/>
    <n v="903"/>
    <n v="6"/>
    <n v="749"/>
    <x v="4"/>
    <x v="0"/>
    <x v="2"/>
  </r>
  <r>
    <x v="88"/>
    <n v="3297"/>
    <n v="75"/>
    <x v="1"/>
    <x v="1"/>
    <n v="889"/>
    <n v="2875.1552076485291"/>
    <b v="1"/>
    <n v="3297"/>
    <n v="75"/>
    <n v="2875"/>
    <x v="4"/>
    <x v="0"/>
    <x v="2"/>
  </r>
  <r>
    <x v="88"/>
    <n v="4942.5"/>
    <n v="49.5"/>
    <x v="2"/>
    <x v="0"/>
    <n v="1968"/>
    <n v="4365.0160340451821"/>
    <b v="1"/>
    <n v="4943"/>
    <n v="50"/>
    <n v="4365"/>
    <x v="4"/>
    <x v="0"/>
    <x v="2"/>
  </r>
  <r>
    <x v="89"/>
    <n v="373.5"/>
    <n v="4.5"/>
    <x v="0"/>
    <x v="0"/>
    <n v="80"/>
    <n v="341.57417749874043"/>
    <b v="0"/>
    <n v="374"/>
    <n v="5"/>
    <n v="342"/>
    <x v="5"/>
    <x v="1"/>
    <x v="2"/>
  </r>
  <r>
    <x v="89"/>
    <n v="523.5"/>
    <n v="4.5"/>
    <x v="0"/>
    <x v="1"/>
    <n v="82"/>
    <n v="467.62166988257576"/>
    <b v="0"/>
    <n v="524"/>
    <n v="5"/>
    <n v="468"/>
    <x v="5"/>
    <x v="1"/>
    <x v="2"/>
  </r>
  <r>
    <x v="89"/>
    <n v="4006.5"/>
    <n v="82.5"/>
    <x v="1"/>
    <x v="1"/>
    <n v="2576"/>
    <n v="3621.7083751013374"/>
    <b v="0"/>
    <n v="4007"/>
    <n v="83"/>
    <n v="3622"/>
    <x v="5"/>
    <x v="1"/>
    <x v="2"/>
  </r>
  <r>
    <x v="89"/>
    <n v="5703"/>
    <n v="126"/>
    <x v="2"/>
    <x v="0"/>
    <n v="3795"/>
    <n v="5204.5266144399811"/>
    <b v="0"/>
    <n v="5703"/>
    <n v="126"/>
    <n v="5205"/>
    <x v="5"/>
    <x v="1"/>
    <x v="2"/>
  </r>
  <r>
    <x v="90"/>
    <n v="769.5"/>
    <n v="42"/>
    <x v="0"/>
    <x v="0"/>
    <n v="36"/>
    <n v="745.44300519102455"/>
    <b v="1"/>
    <n v="770"/>
    <n v="42"/>
    <n v="745"/>
    <x v="6"/>
    <x v="0"/>
    <x v="2"/>
  </r>
  <r>
    <x v="90"/>
    <n v="987"/>
    <n v="42"/>
    <x v="0"/>
    <x v="1"/>
    <n v="420"/>
    <n v="827.94682239636722"/>
    <b v="1"/>
    <n v="987"/>
    <n v="42"/>
    <n v="828"/>
    <x v="6"/>
    <x v="0"/>
    <x v="2"/>
  </r>
  <r>
    <x v="90"/>
    <n v="4359"/>
    <n v="186"/>
    <x v="2"/>
    <x v="0"/>
    <n v="827"/>
    <n v="4097.4892369565732"/>
    <b v="1"/>
    <n v="4359"/>
    <n v="186"/>
    <n v="4097"/>
    <x v="6"/>
    <x v="0"/>
    <x v="2"/>
  </r>
  <r>
    <x v="90"/>
    <n v="4456.5"/>
    <n v="7.5"/>
    <x v="1"/>
    <x v="1"/>
    <n v="202"/>
    <n v="3660.6704406146278"/>
    <b v="1"/>
    <n v="4457"/>
    <n v="8"/>
    <n v="3661"/>
    <x v="6"/>
    <x v="0"/>
    <x v="2"/>
  </r>
  <r>
    <x v="91"/>
    <n v="249"/>
    <n v="6"/>
    <x v="0"/>
    <x v="0"/>
    <n v="16"/>
    <n v="238.52478257387335"/>
    <b v="1"/>
    <n v="249"/>
    <n v="6"/>
    <n v="239"/>
    <x v="0"/>
    <x v="0"/>
    <x v="3"/>
  </r>
  <r>
    <x v="91"/>
    <n v="399"/>
    <n v="6"/>
    <x v="0"/>
    <x v="1"/>
    <n v="33"/>
    <n v="350.92725811116054"/>
    <b v="1"/>
    <n v="399"/>
    <n v="6"/>
    <n v="351"/>
    <x v="0"/>
    <x v="0"/>
    <x v="3"/>
  </r>
  <r>
    <x v="91"/>
    <n v="3735"/>
    <n v="37.5"/>
    <x v="1"/>
    <x v="1"/>
    <n v="1826"/>
    <n v="3168.1761922222822"/>
    <b v="1"/>
    <n v="3735"/>
    <n v="38"/>
    <n v="3168"/>
    <x v="0"/>
    <x v="0"/>
    <x v="3"/>
  </r>
  <r>
    <x v="91"/>
    <n v="4515"/>
    <n v="207"/>
    <x v="2"/>
    <x v="0"/>
    <n v="2990"/>
    <n v="4227.7184642749025"/>
    <b v="1"/>
    <n v="4515"/>
    <n v="207"/>
    <n v="4228"/>
    <x v="0"/>
    <x v="0"/>
    <x v="3"/>
  </r>
  <r>
    <x v="92"/>
    <n v="307.5"/>
    <n v="13.5"/>
    <x v="0"/>
    <x v="1"/>
    <n v="196"/>
    <n v="266.14700894631386"/>
    <b v="0"/>
    <n v="308"/>
    <n v="14"/>
    <n v="266"/>
    <x v="1"/>
    <x v="1"/>
    <x v="3"/>
  </r>
  <r>
    <x v="92"/>
    <n v="421.5"/>
    <n v="13.5"/>
    <x v="0"/>
    <x v="0"/>
    <n v="91"/>
    <n v="381.70193293762145"/>
    <b v="0"/>
    <n v="422"/>
    <n v="14"/>
    <n v="382"/>
    <x v="1"/>
    <x v="1"/>
    <x v="3"/>
  </r>
  <r>
    <x v="92"/>
    <n v="3756"/>
    <n v="207"/>
    <x v="2"/>
    <x v="0"/>
    <n v="1102"/>
    <n v="3497.8926177890394"/>
    <b v="0"/>
    <n v="3756"/>
    <n v="207"/>
    <n v="3498"/>
    <x v="1"/>
    <x v="1"/>
    <x v="3"/>
  </r>
  <r>
    <x v="92"/>
    <n v="4524"/>
    <n v="112.5"/>
    <x v="1"/>
    <x v="1"/>
    <n v="197"/>
    <n v="3783.5624667342977"/>
    <b v="0"/>
    <n v="4524"/>
    <n v="113"/>
    <n v="3784"/>
    <x v="1"/>
    <x v="1"/>
    <x v="3"/>
  </r>
  <r>
    <x v="93"/>
    <n v="1.5"/>
    <n v="0"/>
    <x v="1"/>
    <x v="0"/>
    <n v="1"/>
    <n v="1.383377777033814"/>
    <b v="0"/>
    <n v="2"/>
    <n v="0"/>
    <n v="1"/>
    <x v="2"/>
    <x v="1"/>
    <x v="3"/>
  </r>
  <r>
    <x v="93"/>
    <n v="628.5"/>
    <n v="22.5"/>
    <x v="0"/>
    <x v="1"/>
    <n v="230"/>
    <n v="556.65145325266747"/>
    <b v="0"/>
    <n v="629"/>
    <n v="23"/>
    <n v="557"/>
    <x v="2"/>
    <x v="1"/>
    <x v="3"/>
  </r>
  <r>
    <x v="93"/>
    <n v="789"/>
    <n v="22.5"/>
    <x v="0"/>
    <x v="0"/>
    <n v="203"/>
    <n v="717.81091152424108"/>
    <b v="0"/>
    <n v="789"/>
    <n v="23"/>
    <n v="718"/>
    <x v="2"/>
    <x v="1"/>
    <x v="3"/>
  </r>
  <r>
    <x v="93"/>
    <n v="3448.5"/>
    <n v="73.5"/>
    <x v="2"/>
    <x v="0"/>
    <n v="1716"/>
    <n v="3096.1969307293843"/>
    <b v="0"/>
    <n v="3449"/>
    <n v="74"/>
    <n v="3096"/>
    <x v="2"/>
    <x v="1"/>
    <x v="3"/>
  </r>
  <r>
    <x v="93"/>
    <n v="4243.5"/>
    <n v="60"/>
    <x v="1"/>
    <x v="1"/>
    <n v="2798"/>
    <n v="3652.7353761086674"/>
    <b v="0"/>
    <n v="4244"/>
    <n v="60"/>
    <n v="3653"/>
    <x v="2"/>
    <x v="1"/>
    <x v="3"/>
  </r>
  <r>
    <x v="94"/>
    <n v="1.5"/>
    <n v="0"/>
    <x v="1"/>
    <x v="0"/>
    <n v="1"/>
    <n v="1.377810222467031"/>
    <b v="1"/>
    <n v="2"/>
    <n v="0"/>
    <n v="1"/>
    <x v="3"/>
    <x v="0"/>
    <x v="3"/>
  </r>
  <r>
    <x v="94"/>
    <n v="600"/>
    <n v="21"/>
    <x v="0"/>
    <x v="1"/>
    <n v="117"/>
    <n v="512.71601719506862"/>
    <b v="1"/>
    <n v="600"/>
    <n v="21"/>
    <n v="513"/>
    <x v="3"/>
    <x v="0"/>
    <x v="3"/>
  </r>
  <r>
    <x v="94"/>
    <n v="778.5"/>
    <n v="21"/>
    <x v="0"/>
    <x v="0"/>
    <n v="46"/>
    <n v="718.62626623025881"/>
    <b v="1"/>
    <n v="779"/>
    <n v="21"/>
    <n v="719"/>
    <x v="3"/>
    <x v="0"/>
    <x v="3"/>
  </r>
  <r>
    <x v="94"/>
    <n v="4042.5"/>
    <n v="199.5"/>
    <x v="1"/>
    <x v="1"/>
    <n v="2598"/>
    <n v="3417.3110870225855"/>
    <b v="1"/>
    <n v="4043"/>
    <n v="200"/>
    <n v="3417"/>
    <x v="3"/>
    <x v="0"/>
    <x v="3"/>
  </r>
  <r>
    <x v="94"/>
    <n v="4050"/>
    <n v="63"/>
    <x v="2"/>
    <x v="0"/>
    <n v="2077"/>
    <n v="3586.7996446261955"/>
    <b v="1"/>
    <n v="4050"/>
    <n v="63"/>
    <n v="3587"/>
    <x v="3"/>
    <x v="0"/>
    <x v="3"/>
  </r>
  <r>
    <x v="95"/>
    <n v="553.5"/>
    <n v="33"/>
    <x v="0"/>
    <x v="1"/>
    <n v="110"/>
    <n v="480.66483355091401"/>
    <b v="0"/>
    <n v="554"/>
    <n v="33"/>
    <n v="481"/>
    <x v="4"/>
    <x v="1"/>
    <x v="3"/>
  </r>
  <r>
    <x v="95"/>
    <n v="918"/>
    <n v="33"/>
    <x v="0"/>
    <x v="0"/>
    <n v="543"/>
    <n v="852.05152259829151"/>
    <b v="0"/>
    <n v="918"/>
    <n v="33"/>
    <n v="852"/>
    <x v="4"/>
    <x v="1"/>
    <x v="3"/>
  </r>
  <r>
    <x v="95"/>
    <n v="3976.5"/>
    <n v="232.5"/>
    <x v="2"/>
    <x v="0"/>
    <n v="673"/>
    <n v="3950.1002584992457"/>
    <b v="1"/>
    <n v="3977"/>
    <n v="233"/>
    <n v="3950"/>
    <x v="4"/>
    <x v="0"/>
    <x v="3"/>
  </r>
  <r>
    <x v="95"/>
    <n v="4716"/>
    <n v="157.5"/>
    <x v="1"/>
    <x v="1"/>
    <n v="1789"/>
    <n v="3978.7936391125559"/>
    <b v="0"/>
    <n v="4716"/>
    <n v="158"/>
    <n v="3979"/>
    <x v="4"/>
    <x v="1"/>
    <x v="3"/>
  </r>
  <r>
    <x v="96"/>
    <n v="403.5"/>
    <n v="60"/>
    <x v="0"/>
    <x v="1"/>
    <n v="181"/>
    <n v="410.79940872195527"/>
    <b v="1"/>
    <n v="404"/>
    <n v="60"/>
    <n v="411"/>
    <x v="5"/>
    <x v="0"/>
    <x v="3"/>
  </r>
  <r>
    <x v="96"/>
    <n v="886.5"/>
    <n v="60"/>
    <x v="0"/>
    <x v="0"/>
    <n v="586"/>
    <n v="829.77480428069043"/>
    <b v="1"/>
    <n v="887"/>
    <n v="60"/>
    <n v="830"/>
    <x v="5"/>
    <x v="0"/>
    <x v="3"/>
  </r>
  <r>
    <x v="96"/>
    <n v="3090"/>
    <n v="181.5"/>
    <x v="2"/>
    <x v="0"/>
    <n v="49"/>
    <n v="3034.0359635613336"/>
    <b v="1"/>
    <n v="3090"/>
    <n v="182"/>
    <n v="3034"/>
    <x v="5"/>
    <x v="0"/>
    <x v="3"/>
  </r>
  <r>
    <x v="96"/>
    <n v="4437"/>
    <n v="21"/>
    <x v="1"/>
    <x v="1"/>
    <n v="2844"/>
    <n v="3691.4040127606654"/>
    <b v="1"/>
    <n v="4437"/>
    <n v="21"/>
    <n v="3691"/>
    <x v="5"/>
    <x v="0"/>
    <x v="3"/>
  </r>
  <r>
    <x v="97"/>
    <n v="1.5"/>
    <n v="0"/>
    <x v="1"/>
    <x v="0"/>
    <n v="1"/>
    <n v="1.3336700365660272"/>
    <b v="0"/>
    <n v="2"/>
    <n v="0"/>
    <n v="1"/>
    <x v="6"/>
    <x v="1"/>
    <x v="3"/>
  </r>
  <r>
    <x v="97"/>
    <n v="132"/>
    <n v="4.5"/>
    <x v="2"/>
    <x v="1"/>
    <n v="47"/>
    <n v="119.95050156505606"/>
    <b v="0"/>
    <n v="132"/>
    <n v="5"/>
    <n v="120"/>
    <x v="6"/>
    <x v="1"/>
    <x v="3"/>
  </r>
  <r>
    <x v="97"/>
    <n v="562.5"/>
    <n v="36"/>
    <x v="0"/>
    <x v="0"/>
    <n v="319"/>
    <n v="545.60737951416718"/>
    <b v="0"/>
    <n v="563"/>
    <n v="36"/>
    <n v="546"/>
    <x v="6"/>
    <x v="1"/>
    <x v="3"/>
  </r>
  <r>
    <x v="97"/>
    <n v="732"/>
    <n v="36"/>
    <x v="0"/>
    <x v="1"/>
    <n v="55"/>
    <n v="650.53292929630015"/>
    <b v="0"/>
    <n v="732"/>
    <n v="36"/>
    <n v="651"/>
    <x v="6"/>
    <x v="1"/>
    <x v="3"/>
  </r>
  <r>
    <x v="97"/>
    <n v="3397.5"/>
    <n v="178.5"/>
    <x v="2"/>
    <x v="0"/>
    <n v="154"/>
    <n v="3229.8042609162394"/>
    <b v="0"/>
    <n v="3398"/>
    <n v="179"/>
    <n v="3230"/>
    <x v="6"/>
    <x v="1"/>
    <x v="3"/>
  </r>
  <r>
    <x v="97"/>
    <n v="4659"/>
    <n v="178.5"/>
    <x v="1"/>
    <x v="1"/>
    <n v="2079"/>
    <n v="3889.1547841374154"/>
    <b v="0"/>
    <n v="4659"/>
    <n v="179"/>
    <n v="3889"/>
    <x v="6"/>
    <x v="1"/>
    <x v="3"/>
  </r>
  <r>
    <x v="98"/>
    <n v="685.5"/>
    <n v="33"/>
    <x v="0"/>
    <x v="0"/>
    <n v="234"/>
    <n v="626.0175029223409"/>
    <b v="0"/>
    <n v="686"/>
    <n v="33"/>
    <n v="626"/>
    <x v="0"/>
    <x v="1"/>
    <x v="3"/>
  </r>
  <r>
    <x v="98"/>
    <n v="771"/>
    <n v="33"/>
    <x v="0"/>
    <x v="1"/>
    <n v="208"/>
    <n v="697.66022082849156"/>
    <b v="0"/>
    <n v="771"/>
    <n v="33"/>
    <n v="698"/>
    <x v="0"/>
    <x v="1"/>
    <x v="3"/>
  </r>
  <r>
    <x v="98"/>
    <n v="3378"/>
    <n v="121.5"/>
    <x v="1"/>
    <x v="1"/>
    <n v="498"/>
    <n v="2885.9399377567615"/>
    <b v="0"/>
    <n v="3378"/>
    <n v="122"/>
    <n v="2886"/>
    <x v="0"/>
    <x v="1"/>
    <x v="3"/>
  </r>
  <r>
    <x v="98"/>
    <n v="3441"/>
    <n v="127.5"/>
    <x v="2"/>
    <x v="0"/>
    <n v="1979"/>
    <n v="3337.3955132763558"/>
    <b v="0"/>
    <n v="3441"/>
    <n v="128"/>
    <n v="3337"/>
    <x v="0"/>
    <x v="1"/>
    <x v="3"/>
  </r>
  <r>
    <x v="99"/>
    <n v="337.5"/>
    <n v="16.5"/>
    <x v="0"/>
    <x v="1"/>
    <n v="200"/>
    <n v="308.95384910198737"/>
    <b v="0"/>
    <n v="338"/>
    <n v="17"/>
    <n v="309"/>
    <x v="1"/>
    <x v="1"/>
    <x v="3"/>
  </r>
  <r>
    <x v="99"/>
    <n v="468"/>
    <n v="16.5"/>
    <x v="0"/>
    <x v="0"/>
    <n v="122"/>
    <n v="434.93494470623273"/>
    <b v="0"/>
    <n v="468"/>
    <n v="17"/>
    <n v="435"/>
    <x v="1"/>
    <x v="1"/>
    <x v="3"/>
  </r>
  <r>
    <x v="99"/>
    <n v="3105"/>
    <n v="39"/>
    <x v="1"/>
    <x v="1"/>
    <n v="579"/>
    <n v="2533.9317001759878"/>
    <b v="1"/>
    <n v="3105"/>
    <n v="39"/>
    <n v="2534"/>
    <x v="1"/>
    <x v="0"/>
    <x v="3"/>
  </r>
  <r>
    <x v="99"/>
    <n v="3333"/>
    <n v="31.5"/>
    <x v="2"/>
    <x v="0"/>
    <n v="987"/>
    <n v="3139.8434042569515"/>
    <b v="0"/>
    <n v="3333"/>
    <n v="32"/>
    <n v="3140"/>
    <x v="1"/>
    <x v="1"/>
    <x v="3"/>
  </r>
  <r>
    <x v="100"/>
    <n v="423"/>
    <n v="7.5"/>
    <x v="0"/>
    <x v="1"/>
    <n v="210"/>
    <n v="377.27784000639457"/>
    <b v="0"/>
    <n v="423"/>
    <n v="8"/>
    <n v="377"/>
    <x v="2"/>
    <x v="1"/>
    <x v="3"/>
  </r>
  <r>
    <x v="100"/>
    <n v="441"/>
    <n v="7.5"/>
    <x v="0"/>
    <x v="0"/>
    <n v="71"/>
    <n v="396.01880821289603"/>
    <b v="0"/>
    <n v="441"/>
    <n v="8"/>
    <n v="396"/>
    <x v="2"/>
    <x v="1"/>
    <x v="3"/>
  </r>
  <r>
    <x v="100"/>
    <n v="2991"/>
    <n v="49.5"/>
    <x v="1"/>
    <x v="1"/>
    <n v="1924"/>
    <n v="2511.9855172073371"/>
    <b v="0"/>
    <n v="2991"/>
    <n v="50"/>
    <n v="2512"/>
    <x v="2"/>
    <x v="1"/>
    <x v="3"/>
  </r>
  <r>
    <x v="100"/>
    <n v="4434"/>
    <n v="61.5"/>
    <x v="2"/>
    <x v="0"/>
    <n v="2069"/>
    <n v="4148.9143453268834"/>
    <b v="0"/>
    <n v="4434"/>
    <n v="62"/>
    <n v="4149"/>
    <x v="2"/>
    <x v="1"/>
    <x v="3"/>
  </r>
  <r>
    <x v="101"/>
    <n v="421.5"/>
    <n v="63"/>
    <x v="0"/>
    <x v="1"/>
    <n v="83"/>
    <n v="413.2760956796958"/>
    <b v="0"/>
    <n v="422"/>
    <n v="63"/>
    <n v="413"/>
    <x v="3"/>
    <x v="1"/>
    <x v="3"/>
  </r>
  <r>
    <x v="101"/>
    <n v="994.5"/>
    <n v="63"/>
    <x v="0"/>
    <x v="0"/>
    <n v="472"/>
    <n v="946.81121101860992"/>
    <b v="0"/>
    <n v="995"/>
    <n v="63"/>
    <n v="947"/>
    <x v="3"/>
    <x v="1"/>
    <x v="3"/>
  </r>
  <r>
    <x v="101"/>
    <n v="2281.5"/>
    <n v="15"/>
    <x v="1"/>
    <x v="1"/>
    <n v="1236"/>
    <n v="1956.9131934252721"/>
    <b v="0"/>
    <n v="2282"/>
    <n v="15"/>
    <n v="1957"/>
    <x v="3"/>
    <x v="1"/>
    <x v="3"/>
  </r>
  <r>
    <x v="101"/>
    <n v="4318.5"/>
    <n v="192"/>
    <x v="2"/>
    <x v="0"/>
    <n v="1078"/>
    <n v="4068.4093149540631"/>
    <b v="0"/>
    <n v="4319"/>
    <n v="192"/>
    <n v="4068"/>
    <x v="3"/>
    <x v="1"/>
    <x v="3"/>
  </r>
  <r>
    <x v="102"/>
    <n v="511.5"/>
    <n v="19.5"/>
    <x v="0"/>
    <x v="1"/>
    <n v="321"/>
    <n v="472.34560177626565"/>
    <b v="0"/>
    <n v="512"/>
    <n v="20"/>
    <n v="472"/>
    <x v="4"/>
    <x v="1"/>
    <x v="3"/>
  </r>
  <r>
    <x v="102"/>
    <n v="693"/>
    <n v="19.5"/>
    <x v="0"/>
    <x v="0"/>
    <n v="9"/>
    <n v="659.98930788543157"/>
    <b v="0"/>
    <n v="693"/>
    <n v="20"/>
    <n v="660"/>
    <x v="4"/>
    <x v="1"/>
    <x v="3"/>
  </r>
  <r>
    <x v="102"/>
    <n v="2374.5"/>
    <n v="16.5"/>
    <x v="1"/>
    <x v="1"/>
    <n v="466"/>
    <n v="2003.5383262156872"/>
    <b v="0"/>
    <n v="2375"/>
    <n v="17"/>
    <n v="2004"/>
    <x v="4"/>
    <x v="1"/>
    <x v="3"/>
  </r>
  <r>
    <x v="102"/>
    <n v="4257"/>
    <n v="85.5"/>
    <x v="2"/>
    <x v="0"/>
    <n v="2046"/>
    <n v="3881.7647752247085"/>
    <b v="0"/>
    <n v="4257"/>
    <n v="86"/>
    <n v="3882"/>
    <x v="4"/>
    <x v="1"/>
    <x v="3"/>
  </r>
  <r>
    <x v="103"/>
    <n v="271.5"/>
    <n v="37.5"/>
    <x v="0"/>
    <x v="1"/>
    <n v="24"/>
    <n v="274.60617071925077"/>
    <b v="0"/>
    <n v="272"/>
    <n v="38"/>
    <n v="275"/>
    <x v="5"/>
    <x v="1"/>
    <x v="3"/>
  </r>
  <r>
    <x v="103"/>
    <n v="760.5"/>
    <n v="37.5"/>
    <x v="0"/>
    <x v="0"/>
    <n v="250"/>
    <n v="703.32758788744093"/>
    <b v="0"/>
    <n v="761"/>
    <n v="38"/>
    <n v="703"/>
    <x v="5"/>
    <x v="1"/>
    <x v="3"/>
  </r>
  <r>
    <x v="103"/>
    <n v="2784"/>
    <n v="3"/>
    <x v="1"/>
    <x v="1"/>
    <n v="1784"/>
    <n v="2371.250251999586"/>
    <b v="0"/>
    <n v="2784"/>
    <n v="3"/>
    <n v="2371"/>
    <x v="5"/>
    <x v="1"/>
    <x v="3"/>
  </r>
  <r>
    <x v="103"/>
    <n v="4315.5"/>
    <n v="243"/>
    <x v="2"/>
    <x v="0"/>
    <n v="836"/>
    <n v="4215.7440056457226"/>
    <b v="0"/>
    <n v="4316"/>
    <n v="243"/>
    <n v="4216"/>
    <x v="5"/>
    <x v="1"/>
    <x v="3"/>
  </r>
  <r>
    <x v="104"/>
    <n v="699"/>
    <n v="13.5"/>
    <x v="0"/>
    <x v="1"/>
    <n v="73"/>
    <n v="605.99053698517866"/>
    <b v="0"/>
    <n v="699"/>
    <n v="14"/>
    <n v="606"/>
    <x v="6"/>
    <x v="1"/>
    <x v="3"/>
  </r>
  <r>
    <x v="104"/>
    <n v="703.5"/>
    <n v="13.5"/>
    <x v="0"/>
    <x v="0"/>
    <n v="97"/>
    <n v="669.95463515068593"/>
    <b v="0"/>
    <n v="704"/>
    <n v="14"/>
    <n v="670"/>
    <x v="6"/>
    <x v="1"/>
    <x v="3"/>
  </r>
  <r>
    <x v="104"/>
    <n v="2377.5"/>
    <n v="79.5"/>
    <x v="1"/>
    <x v="1"/>
    <n v="1059"/>
    <n v="2008.1071175658592"/>
    <b v="0"/>
    <n v="2378"/>
    <n v="80"/>
    <n v="2008"/>
    <x v="6"/>
    <x v="1"/>
    <x v="3"/>
  </r>
  <r>
    <x v="104"/>
    <n v="3984"/>
    <n v="243"/>
    <x v="2"/>
    <x v="0"/>
    <n v="1762"/>
    <n v="3870.3000279580256"/>
    <b v="0"/>
    <n v="3984"/>
    <n v="243"/>
    <n v="3870"/>
    <x v="6"/>
    <x v="1"/>
    <x v="3"/>
  </r>
  <r>
    <x v="105"/>
    <n v="336"/>
    <n v="4.5"/>
    <x v="0"/>
    <x v="1"/>
    <n v="204"/>
    <n v="297.79480230950412"/>
    <b v="0"/>
    <n v="336"/>
    <n v="5"/>
    <n v="298"/>
    <x v="0"/>
    <x v="1"/>
    <x v="3"/>
  </r>
  <r>
    <x v="105"/>
    <n v="657"/>
    <n v="4.5"/>
    <x v="0"/>
    <x v="0"/>
    <n v="421"/>
    <n v="589.44544592757165"/>
    <b v="0"/>
    <n v="657"/>
    <n v="5"/>
    <n v="589"/>
    <x v="0"/>
    <x v="1"/>
    <x v="3"/>
  </r>
  <r>
    <x v="105"/>
    <n v="2157"/>
    <n v="58.5"/>
    <x v="1"/>
    <x v="1"/>
    <n v="1367"/>
    <n v="1923.5680283037645"/>
    <b v="0"/>
    <n v="2157"/>
    <n v="59"/>
    <n v="1924"/>
    <x v="0"/>
    <x v="1"/>
    <x v="3"/>
  </r>
  <r>
    <x v="105"/>
    <n v="5497.5"/>
    <n v="13.5"/>
    <x v="2"/>
    <x v="0"/>
    <n v="3595"/>
    <n v="4911.7187781124594"/>
    <b v="0"/>
    <n v="5498"/>
    <n v="14"/>
    <n v="4912"/>
    <x v="0"/>
    <x v="1"/>
    <x v="3"/>
  </r>
  <r>
    <x v="106"/>
    <n v="322.5"/>
    <n v="13.5"/>
    <x v="0"/>
    <x v="1"/>
    <n v="190"/>
    <n v="293.77929728403751"/>
    <b v="0"/>
    <n v="323"/>
    <n v="14"/>
    <n v="294"/>
    <x v="1"/>
    <x v="1"/>
    <x v="3"/>
  </r>
  <r>
    <x v="106"/>
    <n v="505.5"/>
    <n v="13.5"/>
    <x v="0"/>
    <x v="0"/>
    <n v="300"/>
    <n v="465.97109308123413"/>
    <b v="0"/>
    <n v="506"/>
    <n v="14"/>
    <n v="466"/>
    <x v="1"/>
    <x v="1"/>
    <x v="3"/>
  </r>
  <r>
    <x v="106"/>
    <n v="1945.5"/>
    <n v="10.5"/>
    <x v="1"/>
    <x v="1"/>
    <n v="1094"/>
    <n v="1661.1174863366757"/>
    <b v="0"/>
    <n v="1946"/>
    <n v="11"/>
    <n v="1661"/>
    <x v="1"/>
    <x v="1"/>
    <x v="3"/>
  </r>
  <r>
    <x v="106"/>
    <n v="6007.5"/>
    <n v="196.5"/>
    <x v="2"/>
    <x v="0"/>
    <n v="1802"/>
    <n v="5424.0798185872045"/>
    <b v="0"/>
    <n v="6008"/>
    <n v="197"/>
    <n v="5424"/>
    <x v="1"/>
    <x v="1"/>
    <x v="3"/>
  </r>
  <r>
    <x v="107"/>
    <n v="3"/>
    <n v="0"/>
    <x v="1"/>
    <x v="0"/>
    <n v="2"/>
    <n v="2.7864359116204565"/>
    <b v="0"/>
    <n v="3"/>
    <n v="0"/>
    <n v="3"/>
    <x v="2"/>
    <x v="1"/>
    <x v="3"/>
  </r>
  <r>
    <x v="107"/>
    <n v="196.5"/>
    <n v="18"/>
    <x v="0"/>
    <x v="1"/>
    <n v="125"/>
    <n v="179.90789757272498"/>
    <b v="0"/>
    <n v="197"/>
    <n v="18"/>
    <n v="180"/>
    <x v="2"/>
    <x v="1"/>
    <x v="3"/>
  </r>
  <r>
    <x v="107"/>
    <n v="276"/>
    <n v="18"/>
    <x v="0"/>
    <x v="0"/>
    <n v="175"/>
    <n v="268.41993407106992"/>
    <b v="0"/>
    <n v="276"/>
    <n v="18"/>
    <n v="268"/>
    <x v="2"/>
    <x v="1"/>
    <x v="3"/>
  </r>
  <r>
    <x v="107"/>
    <n v="2388"/>
    <n v="90"/>
    <x v="1"/>
    <x v="1"/>
    <n v="808"/>
    <n v="2031.0500642750308"/>
    <b v="0"/>
    <n v="2388"/>
    <n v="90"/>
    <n v="2031"/>
    <x v="2"/>
    <x v="1"/>
    <x v="3"/>
  </r>
  <r>
    <x v="107"/>
    <n v="6093"/>
    <n v="151.5"/>
    <x v="2"/>
    <x v="0"/>
    <n v="2484"/>
    <n v="5754.9379516597874"/>
    <b v="0"/>
    <n v="6093"/>
    <n v="152"/>
    <n v="5755"/>
    <x v="2"/>
    <x v="1"/>
    <x v="3"/>
  </r>
  <r>
    <x v="108"/>
    <n v="1.5"/>
    <n v="0"/>
    <x v="2"/>
    <x v="1"/>
    <n v="1"/>
    <n v="1.2371379195238816"/>
    <b v="0"/>
    <n v="2"/>
    <n v="0"/>
    <n v="1"/>
    <x v="3"/>
    <x v="1"/>
    <x v="3"/>
  </r>
  <r>
    <x v="108"/>
    <n v="325.5"/>
    <n v="15"/>
    <x v="0"/>
    <x v="1"/>
    <n v="198"/>
    <n v="296.65855138352845"/>
    <b v="0"/>
    <n v="326"/>
    <n v="15"/>
    <n v="297"/>
    <x v="3"/>
    <x v="1"/>
    <x v="3"/>
  </r>
  <r>
    <x v="108"/>
    <n v="633"/>
    <n v="15"/>
    <x v="0"/>
    <x v="0"/>
    <n v="248"/>
    <n v="579.76321574894257"/>
    <b v="0"/>
    <n v="633"/>
    <n v="15"/>
    <n v="580"/>
    <x v="3"/>
    <x v="1"/>
    <x v="3"/>
  </r>
  <r>
    <x v="108"/>
    <n v="1302"/>
    <n v="39"/>
    <x v="1"/>
    <x v="1"/>
    <n v="431"/>
    <n v="1093.6443229025092"/>
    <b v="0"/>
    <n v="1302"/>
    <n v="39"/>
    <n v="1094"/>
    <x v="3"/>
    <x v="1"/>
    <x v="3"/>
  </r>
  <r>
    <x v="108"/>
    <n v="5398.5"/>
    <n v="355.5"/>
    <x v="2"/>
    <x v="0"/>
    <n v="3499"/>
    <n v="5227.2728433207749"/>
    <b v="0"/>
    <n v="5399"/>
    <n v="356"/>
    <n v="5227"/>
    <x v="3"/>
    <x v="1"/>
    <x v="3"/>
  </r>
  <r>
    <x v="109"/>
    <n v="1.5"/>
    <n v="0"/>
    <x v="1"/>
    <x v="0"/>
    <n v="1"/>
    <n v="1.3184516743813335"/>
    <b v="0"/>
    <n v="2"/>
    <n v="0"/>
    <n v="1"/>
    <x v="4"/>
    <x v="1"/>
    <x v="3"/>
  </r>
  <r>
    <x v="109"/>
    <n v="438"/>
    <n v="33"/>
    <x v="0"/>
    <x v="1"/>
    <n v="258"/>
    <n v="404.31505163762557"/>
    <b v="0"/>
    <n v="438"/>
    <n v="33"/>
    <n v="404"/>
    <x v="4"/>
    <x v="1"/>
    <x v="3"/>
  </r>
  <r>
    <x v="109"/>
    <n v="1324.5"/>
    <n v="33"/>
    <x v="0"/>
    <x v="0"/>
    <n v="247"/>
    <n v="1275.3433795243948"/>
    <b v="0"/>
    <n v="1325"/>
    <n v="33"/>
    <n v="1275"/>
    <x v="4"/>
    <x v="1"/>
    <x v="3"/>
  </r>
  <r>
    <x v="109"/>
    <n v="1581"/>
    <n v="27"/>
    <x v="1"/>
    <x v="1"/>
    <n v="678"/>
    <n v="1332.0034816430314"/>
    <b v="0"/>
    <n v="1581"/>
    <n v="27"/>
    <n v="1332"/>
    <x v="4"/>
    <x v="1"/>
    <x v="3"/>
  </r>
  <r>
    <x v="109"/>
    <n v="4585.5"/>
    <n v="246"/>
    <x v="2"/>
    <x v="0"/>
    <n v="2490"/>
    <n v="4350.5607138636924"/>
    <b v="0"/>
    <n v="4586"/>
    <n v="246"/>
    <n v="4351"/>
    <x v="4"/>
    <x v="1"/>
    <x v="3"/>
  </r>
  <r>
    <x v="110"/>
    <n v="474"/>
    <n v="42"/>
    <x v="0"/>
    <x v="1"/>
    <n v="300"/>
    <n v="428.89766418888905"/>
    <b v="0"/>
    <n v="474"/>
    <n v="42"/>
    <n v="429"/>
    <x v="5"/>
    <x v="1"/>
    <x v="3"/>
  </r>
  <r>
    <x v="110"/>
    <n v="694.5"/>
    <n v="42"/>
    <x v="0"/>
    <x v="0"/>
    <n v="129"/>
    <n v="655.6452193799671"/>
    <b v="0"/>
    <n v="695"/>
    <n v="42"/>
    <n v="656"/>
    <x v="5"/>
    <x v="1"/>
    <x v="3"/>
  </r>
  <r>
    <x v="110"/>
    <n v="2233.5"/>
    <n v="69"/>
    <x v="1"/>
    <x v="1"/>
    <n v="582"/>
    <n v="2015.3594401654818"/>
    <b v="0"/>
    <n v="2234"/>
    <n v="69"/>
    <n v="2015"/>
    <x v="5"/>
    <x v="1"/>
    <x v="3"/>
  </r>
  <r>
    <x v="110"/>
    <n v="6210"/>
    <n v="337.5"/>
    <x v="2"/>
    <x v="0"/>
    <n v="3169"/>
    <n v="6085.6851731146116"/>
    <b v="0"/>
    <n v="6210"/>
    <n v="338"/>
    <n v="6086"/>
    <x v="5"/>
    <x v="1"/>
    <x v="3"/>
  </r>
  <r>
    <x v="111"/>
    <n v="400.5"/>
    <n v="22.5"/>
    <x v="0"/>
    <x v="0"/>
    <n v="219"/>
    <n v="395.5615733523743"/>
    <b v="0"/>
    <n v="401"/>
    <n v="23"/>
    <n v="396"/>
    <x v="6"/>
    <x v="1"/>
    <x v="3"/>
  </r>
  <r>
    <x v="111"/>
    <n v="523.5"/>
    <n v="22.5"/>
    <x v="0"/>
    <x v="1"/>
    <n v="337"/>
    <n v="458.1967485927064"/>
    <b v="0"/>
    <n v="524"/>
    <n v="23"/>
    <n v="458"/>
    <x v="6"/>
    <x v="1"/>
    <x v="3"/>
  </r>
  <r>
    <x v="111"/>
    <n v="2088"/>
    <n v="18"/>
    <x v="1"/>
    <x v="1"/>
    <n v="1246"/>
    <n v="1703.0912411587797"/>
    <b v="0"/>
    <n v="2088"/>
    <n v="18"/>
    <n v="1703"/>
    <x v="6"/>
    <x v="1"/>
    <x v="3"/>
  </r>
  <r>
    <x v="111"/>
    <n v="6100.5"/>
    <n v="105"/>
    <x v="2"/>
    <x v="0"/>
    <n v="3953"/>
    <n v="5431.1292626577224"/>
    <b v="0"/>
    <n v="6101"/>
    <n v="105"/>
    <n v="5431"/>
    <x v="6"/>
    <x v="1"/>
    <x v="3"/>
  </r>
  <r>
    <x v="112"/>
    <n v="129"/>
    <n v="33"/>
    <x v="0"/>
    <x v="1"/>
    <n v="76"/>
    <n v="133.12572840096234"/>
    <b v="0"/>
    <n v="129"/>
    <n v="33"/>
    <n v="133"/>
    <x v="0"/>
    <x v="1"/>
    <x v="3"/>
  </r>
  <r>
    <x v="112"/>
    <n v="544.5"/>
    <n v="33"/>
    <x v="0"/>
    <x v="0"/>
    <n v="17"/>
    <n v="529.99860747275045"/>
    <b v="0"/>
    <n v="545"/>
    <n v="33"/>
    <n v="530"/>
    <x v="0"/>
    <x v="1"/>
    <x v="3"/>
  </r>
  <r>
    <x v="112"/>
    <n v="2884.5"/>
    <n v="141"/>
    <x v="1"/>
    <x v="1"/>
    <n v="1117"/>
    <n v="2653.8051084613535"/>
    <b v="0"/>
    <n v="2885"/>
    <n v="141"/>
    <n v="2654"/>
    <x v="0"/>
    <x v="1"/>
    <x v="3"/>
  </r>
  <r>
    <x v="112"/>
    <n v="5361"/>
    <n v="165"/>
    <x v="2"/>
    <x v="0"/>
    <n v="74"/>
    <n v="5059.2489267206911"/>
    <b v="0"/>
    <n v="5361"/>
    <n v="165"/>
    <n v="5059"/>
    <x v="0"/>
    <x v="1"/>
    <x v="3"/>
  </r>
  <r>
    <x v="113"/>
    <n v="183"/>
    <n v="12"/>
    <x v="0"/>
    <x v="1"/>
    <n v="7"/>
    <n v="159.01224297769201"/>
    <b v="0"/>
    <n v="183"/>
    <n v="12"/>
    <n v="159"/>
    <x v="1"/>
    <x v="1"/>
    <x v="3"/>
  </r>
  <r>
    <x v="113"/>
    <n v="306"/>
    <n v="12"/>
    <x v="0"/>
    <x v="0"/>
    <n v="104"/>
    <n v="277.60997943099972"/>
    <b v="0"/>
    <n v="306"/>
    <n v="12"/>
    <n v="278"/>
    <x v="1"/>
    <x v="1"/>
    <x v="3"/>
  </r>
  <r>
    <x v="113"/>
    <n v="1374"/>
    <n v="36"/>
    <x v="1"/>
    <x v="1"/>
    <n v="890"/>
    <n v="1192.4826445082858"/>
    <b v="0"/>
    <n v="1374"/>
    <n v="36"/>
    <n v="1192"/>
    <x v="1"/>
    <x v="1"/>
    <x v="3"/>
  </r>
  <r>
    <x v="113"/>
    <n v="6090"/>
    <n v="202.5"/>
    <x v="2"/>
    <x v="0"/>
    <n v="2495"/>
    <n v="5845.2931778017382"/>
    <b v="0"/>
    <n v="6090"/>
    <n v="203"/>
    <n v="5845"/>
    <x v="1"/>
    <x v="1"/>
    <x v="3"/>
  </r>
  <r>
    <x v="114"/>
    <n v="121.5"/>
    <n v="40.5"/>
    <x v="0"/>
    <x v="1"/>
    <n v="32"/>
    <n v="142.86789574028134"/>
    <b v="0"/>
    <n v="122"/>
    <n v="41"/>
    <n v="143"/>
    <x v="2"/>
    <x v="1"/>
    <x v="3"/>
  </r>
  <r>
    <x v="114"/>
    <n v="1483.5"/>
    <n v="40.5"/>
    <x v="0"/>
    <x v="0"/>
    <n v="978"/>
    <n v="1393.4810107746625"/>
    <b v="0"/>
    <n v="1484"/>
    <n v="41"/>
    <n v="1393"/>
    <x v="2"/>
    <x v="1"/>
    <x v="3"/>
  </r>
  <r>
    <x v="114"/>
    <n v="2091"/>
    <n v="84"/>
    <x v="1"/>
    <x v="1"/>
    <n v="1299"/>
    <n v="1779.4946513636837"/>
    <b v="0"/>
    <n v="2091"/>
    <n v="84"/>
    <n v="1779"/>
    <x v="2"/>
    <x v="1"/>
    <x v="3"/>
  </r>
  <r>
    <x v="114"/>
    <n v="4659"/>
    <n v="127.5"/>
    <x v="2"/>
    <x v="0"/>
    <n v="3090"/>
    <n v="4425.3843781242613"/>
    <b v="0"/>
    <n v="4659"/>
    <n v="128"/>
    <n v="4425"/>
    <x v="2"/>
    <x v="1"/>
    <x v="3"/>
  </r>
  <r>
    <x v="115"/>
    <n v="4.5"/>
    <n v="1.5"/>
    <x v="2"/>
    <x v="1"/>
    <n v="3"/>
    <n v="5.0661662046909779"/>
    <b v="0"/>
    <n v="5"/>
    <n v="2"/>
    <n v="5"/>
    <x v="3"/>
    <x v="1"/>
    <x v="3"/>
  </r>
  <r>
    <x v="115"/>
    <n v="247.5"/>
    <n v="9"/>
    <x v="0"/>
    <x v="1"/>
    <n v="9"/>
    <n v="215.52097655287344"/>
    <b v="0"/>
    <n v="248"/>
    <n v="9"/>
    <n v="216"/>
    <x v="3"/>
    <x v="1"/>
    <x v="3"/>
  </r>
  <r>
    <x v="115"/>
    <n v="610.5"/>
    <n v="9"/>
    <x v="0"/>
    <x v="0"/>
    <n v="334"/>
    <n v="546.1056973594882"/>
    <b v="0"/>
    <n v="611"/>
    <n v="9"/>
    <n v="546"/>
    <x v="3"/>
    <x v="1"/>
    <x v="3"/>
  </r>
  <r>
    <x v="115"/>
    <n v="3019.5"/>
    <n v="34.5"/>
    <x v="1"/>
    <x v="1"/>
    <n v="1733"/>
    <n v="2609.6725340338207"/>
    <b v="0"/>
    <n v="3020"/>
    <n v="35"/>
    <n v="2610"/>
    <x v="3"/>
    <x v="1"/>
    <x v="3"/>
  </r>
  <r>
    <x v="115"/>
    <n v="5406"/>
    <n v="264"/>
    <x v="2"/>
    <x v="0"/>
    <n v="882"/>
    <n v="5138.108918957576"/>
    <b v="0"/>
    <n v="5406"/>
    <n v="264"/>
    <n v="5138"/>
    <x v="3"/>
    <x v="1"/>
    <x v="3"/>
  </r>
  <r>
    <x v="116"/>
    <n v="253.5"/>
    <n v="4.5"/>
    <x v="0"/>
    <x v="1"/>
    <n v="44"/>
    <n v="206.53121534567154"/>
    <b v="0"/>
    <n v="254"/>
    <n v="5"/>
    <n v="207"/>
    <x v="4"/>
    <x v="1"/>
    <x v="3"/>
  </r>
  <r>
    <x v="116"/>
    <n v="526.5"/>
    <n v="4.5"/>
    <x v="0"/>
    <x v="0"/>
    <n v="131"/>
    <n v="464.5702171256932"/>
    <b v="0"/>
    <n v="527"/>
    <n v="5"/>
    <n v="465"/>
    <x v="4"/>
    <x v="1"/>
    <x v="3"/>
  </r>
  <r>
    <x v="116"/>
    <n v="4221"/>
    <n v="84"/>
    <x v="1"/>
    <x v="1"/>
    <n v="2130"/>
    <n v="3489.1166805947082"/>
    <b v="0"/>
    <n v="4221"/>
    <n v="84"/>
    <n v="3489"/>
    <x v="4"/>
    <x v="1"/>
    <x v="3"/>
  </r>
  <r>
    <x v="116"/>
    <n v="9151.5"/>
    <n v="582"/>
    <x v="2"/>
    <x v="0"/>
    <n v="2564"/>
    <n v="9062.4706758572593"/>
    <b v="0"/>
    <n v="9152"/>
    <n v="582"/>
    <n v="9062"/>
    <x v="4"/>
    <x v="1"/>
    <x v="3"/>
  </r>
  <r>
    <x v="117"/>
    <n v="480"/>
    <n v="39"/>
    <x v="0"/>
    <x v="1"/>
    <n v="301"/>
    <n v="420.63428868307619"/>
    <b v="0"/>
    <n v="480"/>
    <n v="39"/>
    <n v="421"/>
    <x v="5"/>
    <x v="1"/>
    <x v="3"/>
  </r>
  <r>
    <x v="117"/>
    <n v="844.5"/>
    <n v="39"/>
    <x v="0"/>
    <x v="0"/>
    <n v="391"/>
    <n v="782.11264733892369"/>
    <b v="0"/>
    <n v="845"/>
    <n v="39"/>
    <n v="782"/>
    <x v="5"/>
    <x v="1"/>
    <x v="3"/>
  </r>
  <r>
    <x v="117"/>
    <n v="4551"/>
    <n v="33"/>
    <x v="1"/>
    <x v="1"/>
    <n v="2962"/>
    <n v="4079.5712182790976"/>
    <b v="0"/>
    <n v="4551"/>
    <n v="33"/>
    <n v="4080"/>
    <x v="5"/>
    <x v="1"/>
    <x v="3"/>
  </r>
  <r>
    <x v="117"/>
    <n v="9279"/>
    <n v="376.5"/>
    <x v="2"/>
    <x v="0"/>
    <n v="5283"/>
    <n v="8522.005682266572"/>
    <b v="0"/>
    <n v="9279"/>
    <n v="377"/>
    <n v="8522"/>
    <x v="5"/>
    <x v="1"/>
    <x v="3"/>
  </r>
  <r>
    <x v="118"/>
    <n v="729"/>
    <n v="25.5"/>
    <x v="0"/>
    <x v="0"/>
    <n v="456"/>
    <n v="696.58087578203731"/>
    <b v="0"/>
    <n v="729"/>
    <n v="26"/>
    <n v="697"/>
    <x v="6"/>
    <x v="1"/>
    <x v="3"/>
  </r>
  <r>
    <x v="118"/>
    <n v="733.5"/>
    <n v="25.5"/>
    <x v="0"/>
    <x v="1"/>
    <n v="273"/>
    <n v="621.95303923324286"/>
    <b v="0"/>
    <n v="734"/>
    <n v="26"/>
    <n v="622"/>
    <x v="6"/>
    <x v="1"/>
    <x v="3"/>
  </r>
  <r>
    <x v="118"/>
    <n v="3382.5"/>
    <n v="37.5"/>
    <x v="1"/>
    <x v="1"/>
    <n v="2199"/>
    <n v="2830.0428711604322"/>
    <b v="0"/>
    <n v="3383"/>
    <n v="38"/>
    <n v="2830"/>
    <x v="6"/>
    <x v="1"/>
    <x v="3"/>
  </r>
  <r>
    <x v="118"/>
    <n v="7501.5"/>
    <n v="180"/>
    <x v="2"/>
    <x v="0"/>
    <n v="3774"/>
    <n v="7031.4312325070632"/>
    <b v="0"/>
    <n v="7502"/>
    <n v="180"/>
    <n v="7031"/>
    <x v="6"/>
    <x v="1"/>
    <x v="3"/>
  </r>
  <r>
    <x v="119"/>
    <n v="10.5"/>
    <n v="3"/>
    <x v="2"/>
    <x v="1"/>
    <n v="5"/>
    <n v="11.613483545047474"/>
    <b v="0"/>
    <n v="11"/>
    <n v="3"/>
    <n v="12"/>
    <x v="0"/>
    <x v="1"/>
    <x v="3"/>
  </r>
  <r>
    <x v="119"/>
    <n v="408"/>
    <n v="22.5"/>
    <x v="0"/>
    <x v="1"/>
    <n v="70"/>
    <n v="366.29924143424677"/>
    <b v="0"/>
    <n v="408"/>
    <n v="23"/>
    <n v="366"/>
    <x v="0"/>
    <x v="1"/>
    <x v="3"/>
  </r>
  <r>
    <x v="119"/>
    <n v="432"/>
    <n v="22.5"/>
    <x v="0"/>
    <x v="0"/>
    <n v="267"/>
    <n v="399.70417680687825"/>
    <b v="0"/>
    <n v="432"/>
    <n v="23"/>
    <n v="400"/>
    <x v="0"/>
    <x v="1"/>
    <x v="3"/>
  </r>
  <r>
    <x v="119"/>
    <n v="2902.5"/>
    <n v="127.5"/>
    <x v="1"/>
    <x v="1"/>
    <n v="386"/>
    <n v="2614.7311671658113"/>
    <b v="0"/>
    <n v="2903"/>
    <n v="128"/>
    <n v="2615"/>
    <x v="0"/>
    <x v="1"/>
    <x v="3"/>
  </r>
  <r>
    <x v="119"/>
    <n v="5841"/>
    <n v="78"/>
    <x v="2"/>
    <x v="0"/>
    <n v="1340"/>
    <n v="5402.6502099252548"/>
    <b v="0"/>
    <n v="5841"/>
    <n v="78"/>
    <n v="5403"/>
    <x v="0"/>
    <x v="1"/>
    <x v="3"/>
  </r>
  <r>
    <x v="120"/>
    <n v="142.5"/>
    <n v="12"/>
    <x v="0"/>
    <x v="1"/>
    <n v="83"/>
    <n v="132.39177696222009"/>
    <b v="0"/>
    <n v="143"/>
    <n v="12"/>
    <n v="132"/>
    <x v="1"/>
    <x v="1"/>
    <x v="3"/>
  </r>
  <r>
    <x v="120"/>
    <n v="291"/>
    <n v="12"/>
    <x v="0"/>
    <x v="0"/>
    <n v="50"/>
    <n v="283.99150367172592"/>
    <b v="0"/>
    <n v="291"/>
    <n v="12"/>
    <n v="284"/>
    <x v="1"/>
    <x v="1"/>
    <x v="3"/>
  </r>
  <r>
    <x v="120"/>
    <n v="2616"/>
    <n v="72"/>
    <x v="1"/>
    <x v="1"/>
    <n v="915"/>
    <n v="2168.5581205303197"/>
    <b v="0"/>
    <n v="2616"/>
    <n v="72"/>
    <n v="2169"/>
    <x v="1"/>
    <x v="1"/>
    <x v="3"/>
  </r>
  <r>
    <x v="120"/>
    <n v="5235"/>
    <n v="348"/>
    <x v="2"/>
    <x v="0"/>
    <n v="243"/>
    <n v="5108.0035982838617"/>
    <b v="1"/>
    <n v="5235"/>
    <n v="348"/>
    <n v="5108"/>
    <x v="1"/>
    <x v="0"/>
    <x v="3"/>
  </r>
  <r>
    <x v="121"/>
    <n v="82.5"/>
    <n v="18"/>
    <x v="0"/>
    <x v="1"/>
    <n v="49"/>
    <n v="85.451482219853986"/>
    <b v="0"/>
    <n v="83"/>
    <n v="18"/>
    <n v="85"/>
    <x v="2"/>
    <x v="1"/>
    <x v="4"/>
  </r>
  <r>
    <x v="121"/>
    <n v="321"/>
    <n v="18"/>
    <x v="0"/>
    <x v="0"/>
    <n v="189"/>
    <n v="317.31510245281589"/>
    <b v="0"/>
    <n v="321"/>
    <n v="18"/>
    <n v="317"/>
    <x v="2"/>
    <x v="1"/>
    <x v="4"/>
  </r>
  <r>
    <x v="121"/>
    <n v="2529"/>
    <n v="121.5"/>
    <x v="1"/>
    <x v="1"/>
    <n v="195"/>
    <n v="2138.9379482791646"/>
    <b v="1"/>
    <n v="2529"/>
    <n v="122"/>
    <n v="2139"/>
    <x v="2"/>
    <x v="0"/>
    <x v="4"/>
  </r>
  <r>
    <x v="121"/>
    <n v="5893.5"/>
    <n v="226.5"/>
    <x v="2"/>
    <x v="0"/>
    <n v="2617"/>
    <n v="5398.2688866109429"/>
    <b v="0"/>
    <n v="5894"/>
    <n v="227"/>
    <n v="5398"/>
    <x v="2"/>
    <x v="1"/>
    <x v="4"/>
  </r>
  <r>
    <x v="122"/>
    <n v="252"/>
    <n v="18"/>
    <x v="0"/>
    <x v="1"/>
    <n v="113"/>
    <n v="239.56860359688056"/>
    <b v="0"/>
    <n v="252"/>
    <n v="18"/>
    <n v="240"/>
    <x v="3"/>
    <x v="1"/>
    <x v="4"/>
  </r>
  <r>
    <x v="122"/>
    <n v="466.5"/>
    <n v="18"/>
    <x v="0"/>
    <x v="0"/>
    <n v="184"/>
    <n v="438.39321570547389"/>
    <b v="0"/>
    <n v="467"/>
    <n v="18"/>
    <n v="438"/>
    <x v="3"/>
    <x v="1"/>
    <x v="4"/>
  </r>
  <r>
    <x v="122"/>
    <n v="2754"/>
    <n v="124.5"/>
    <x v="1"/>
    <x v="1"/>
    <n v="1750"/>
    <n v="2363.9240582634347"/>
    <b v="0"/>
    <n v="2754"/>
    <n v="125"/>
    <n v="2364"/>
    <x v="3"/>
    <x v="1"/>
    <x v="4"/>
  </r>
  <r>
    <x v="122"/>
    <n v="8062.5"/>
    <n v="397.5"/>
    <x v="2"/>
    <x v="0"/>
    <n v="5106"/>
    <n v="7392.5934627916968"/>
    <b v="1"/>
    <n v="8063"/>
    <n v="398"/>
    <n v="7393"/>
    <x v="3"/>
    <x v="0"/>
    <x v="4"/>
  </r>
  <r>
    <x v="123"/>
    <n v="373.5"/>
    <n v="10.5"/>
    <x v="0"/>
    <x v="1"/>
    <n v="106"/>
    <n v="341.50074095360793"/>
    <b v="0"/>
    <n v="374"/>
    <n v="11"/>
    <n v="342"/>
    <x v="4"/>
    <x v="1"/>
    <x v="4"/>
  </r>
  <r>
    <x v="123"/>
    <n v="427.5"/>
    <n v="10.5"/>
    <x v="0"/>
    <x v="0"/>
    <n v="70"/>
    <n v="410.83036888276416"/>
    <b v="0"/>
    <n v="428"/>
    <n v="11"/>
    <n v="411"/>
    <x v="4"/>
    <x v="1"/>
    <x v="4"/>
  </r>
  <r>
    <x v="123"/>
    <n v="3525"/>
    <n v="76.5"/>
    <x v="1"/>
    <x v="1"/>
    <n v="2268"/>
    <n v="3132.2280409514206"/>
    <b v="0"/>
    <n v="3525"/>
    <n v="77"/>
    <n v="3132"/>
    <x v="4"/>
    <x v="1"/>
    <x v="4"/>
  </r>
  <r>
    <x v="123"/>
    <n v="8110.5"/>
    <n v="133.5"/>
    <x v="2"/>
    <x v="0"/>
    <n v="4677"/>
    <n v="7629.1973926000846"/>
    <b v="0"/>
    <n v="8111"/>
    <n v="134"/>
    <n v="7629"/>
    <x v="4"/>
    <x v="1"/>
    <x v="4"/>
  </r>
  <r>
    <x v="124"/>
    <n v="852"/>
    <n v="66"/>
    <x v="0"/>
    <x v="1"/>
    <n v="128"/>
    <n v="764.29725094553874"/>
    <b v="0"/>
    <n v="852"/>
    <n v="66"/>
    <n v="764"/>
    <x v="5"/>
    <x v="1"/>
    <x v="4"/>
  </r>
  <r>
    <x v="124"/>
    <n v="1284"/>
    <n v="66"/>
    <x v="0"/>
    <x v="0"/>
    <n v="721"/>
    <n v="1190.6443280054682"/>
    <b v="0"/>
    <n v="1284"/>
    <n v="66"/>
    <n v="1191"/>
    <x v="5"/>
    <x v="1"/>
    <x v="4"/>
  </r>
  <r>
    <x v="124"/>
    <n v="2767.5"/>
    <n v="55.5"/>
    <x v="1"/>
    <x v="1"/>
    <n v="1548"/>
    <n v="2414.1165302199929"/>
    <b v="0"/>
    <n v="2768"/>
    <n v="56"/>
    <n v="2414"/>
    <x v="5"/>
    <x v="1"/>
    <x v="4"/>
  </r>
  <r>
    <x v="124"/>
    <n v="7675.5"/>
    <n v="51"/>
    <x v="2"/>
    <x v="0"/>
    <n v="185"/>
    <n v="6820.4183468396968"/>
    <b v="0"/>
    <n v="7676"/>
    <n v="51"/>
    <n v="6820"/>
    <x v="5"/>
    <x v="1"/>
    <x v="4"/>
  </r>
  <r>
    <x v="125"/>
    <n v="634.5"/>
    <n v="61.5"/>
    <x v="0"/>
    <x v="1"/>
    <n v="197"/>
    <n v="557.25922497572162"/>
    <b v="1"/>
    <n v="635"/>
    <n v="62"/>
    <n v="557"/>
    <x v="6"/>
    <x v="0"/>
    <x v="4"/>
  </r>
  <r>
    <x v="125"/>
    <n v="1029"/>
    <n v="61.5"/>
    <x v="0"/>
    <x v="0"/>
    <n v="628"/>
    <n v="1011.2215811571726"/>
    <b v="0"/>
    <n v="1029"/>
    <n v="62"/>
    <n v="1011"/>
    <x v="6"/>
    <x v="1"/>
    <x v="4"/>
  </r>
  <r>
    <x v="125"/>
    <n v="5208"/>
    <n v="222"/>
    <x v="1"/>
    <x v="1"/>
    <n v="1993"/>
    <n v="4675.0900171079429"/>
    <b v="0"/>
    <n v="5208"/>
    <n v="222"/>
    <n v="4675"/>
    <x v="6"/>
    <x v="1"/>
    <x v="4"/>
  </r>
  <r>
    <x v="125"/>
    <n v="9735"/>
    <n v="516"/>
    <x v="2"/>
    <x v="0"/>
    <n v="2781"/>
    <n v="8938.5677181487026"/>
    <b v="1"/>
    <n v="9735"/>
    <n v="516"/>
    <n v="8939"/>
    <x v="6"/>
    <x v="0"/>
    <x v="4"/>
  </r>
  <r>
    <x v="126"/>
    <n v="1.5"/>
    <n v="0"/>
    <x v="1"/>
    <x v="0"/>
    <n v="1"/>
    <n v="1.3720017636468809"/>
    <b v="0"/>
    <n v="2"/>
    <n v="0"/>
    <n v="1"/>
    <x v="0"/>
    <x v="1"/>
    <x v="4"/>
  </r>
  <r>
    <x v="126"/>
    <n v="829.5"/>
    <n v="7.5"/>
    <x v="0"/>
    <x v="0"/>
    <n v="86"/>
    <n v="735.76257441132054"/>
    <b v="0"/>
    <n v="830"/>
    <n v="8"/>
    <n v="736"/>
    <x v="0"/>
    <x v="1"/>
    <x v="4"/>
  </r>
  <r>
    <x v="126"/>
    <n v="993"/>
    <n v="7.5"/>
    <x v="0"/>
    <x v="1"/>
    <n v="18"/>
    <n v="841.97158452877409"/>
    <b v="0"/>
    <n v="993"/>
    <n v="8"/>
    <n v="842"/>
    <x v="0"/>
    <x v="1"/>
    <x v="4"/>
  </r>
  <r>
    <x v="126"/>
    <n v="4185"/>
    <n v="91.5"/>
    <x v="1"/>
    <x v="1"/>
    <n v="2201"/>
    <n v="3787.6334328614425"/>
    <b v="0"/>
    <n v="4185"/>
    <n v="92"/>
    <n v="3788"/>
    <x v="0"/>
    <x v="1"/>
    <x v="4"/>
  </r>
  <r>
    <x v="126"/>
    <n v="8106"/>
    <n v="360"/>
    <x v="2"/>
    <x v="0"/>
    <n v="2778"/>
    <n v="7716.785741050855"/>
    <b v="0"/>
    <n v="8106"/>
    <n v="360"/>
    <n v="7717"/>
    <x v="0"/>
    <x v="1"/>
    <x v="4"/>
  </r>
  <r>
    <x v="127"/>
    <n v="1.5"/>
    <n v="0"/>
    <x v="1"/>
    <x v="0"/>
    <n v="1"/>
    <n v="1.346150385788349"/>
    <b v="0"/>
    <n v="2"/>
    <n v="0"/>
    <n v="1"/>
    <x v="1"/>
    <x v="1"/>
    <x v="4"/>
  </r>
  <r>
    <x v="127"/>
    <n v="541.5"/>
    <n v="28.5"/>
    <x v="0"/>
    <x v="1"/>
    <n v="278"/>
    <n v="460.04186809418098"/>
    <b v="0"/>
    <n v="542"/>
    <n v="29"/>
    <n v="460"/>
    <x v="1"/>
    <x v="1"/>
    <x v="4"/>
  </r>
  <r>
    <x v="127"/>
    <n v="643.5"/>
    <n v="28.5"/>
    <x v="0"/>
    <x v="0"/>
    <n v="356"/>
    <n v="624.94484945300155"/>
    <b v="0"/>
    <n v="644"/>
    <n v="29"/>
    <n v="625"/>
    <x v="1"/>
    <x v="1"/>
    <x v="4"/>
  </r>
  <r>
    <x v="127"/>
    <n v="3267"/>
    <n v="73.5"/>
    <x v="1"/>
    <x v="1"/>
    <n v="1003"/>
    <n v="2703.1473246459204"/>
    <b v="0"/>
    <n v="3267"/>
    <n v="74"/>
    <n v="2703"/>
    <x v="1"/>
    <x v="1"/>
    <x v="4"/>
  </r>
  <r>
    <x v="127"/>
    <n v="5239.5"/>
    <n v="165"/>
    <x v="2"/>
    <x v="0"/>
    <n v="313"/>
    <n v="4865.8723728711311"/>
    <b v="0"/>
    <n v="5240"/>
    <n v="165"/>
    <n v="4866"/>
    <x v="1"/>
    <x v="1"/>
    <x v="4"/>
  </r>
  <r>
    <x v="128"/>
    <n v="480"/>
    <n v="21"/>
    <x v="0"/>
    <x v="1"/>
    <n v="3"/>
    <n v="425.8796363532602"/>
    <b v="0"/>
    <n v="480"/>
    <n v="21"/>
    <n v="426"/>
    <x v="2"/>
    <x v="1"/>
    <x v="4"/>
  </r>
  <r>
    <x v="128"/>
    <n v="721.5"/>
    <n v="21"/>
    <x v="0"/>
    <x v="0"/>
    <n v="24"/>
    <n v="693.30052234748791"/>
    <b v="0"/>
    <n v="722"/>
    <n v="21"/>
    <n v="693"/>
    <x v="2"/>
    <x v="1"/>
    <x v="4"/>
  </r>
  <r>
    <x v="128"/>
    <n v="2590.5"/>
    <n v="105"/>
    <x v="1"/>
    <x v="1"/>
    <n v="883"/>
    <n v="2320.7089901075351"/>
    <b v="0"/>
    <n v="2591"/>
    <n v="105"/>
    <n v="2321"/>
    <x v="2"/>
    <x v="1"/>
    <x v="4"/>
  </r>
  <r>
    <x v="128"/>
    <n v="5071.5"/>
    <n v="295.5"/>
    <x v="2"/>
    <x v="0"/>
    <n v="2561"/>
    <n v="4740.4867492610465"/>
    <b v="0"/>
    <n v="5072"/>
    <n v="296"/>
    <n v="4740"/>
    <x v="2"/>
    <x v="1"/>
    <x v="4"/>
  </r>
  <r>
    <x v="129"/>
    <n v="598.5"/>
    <n v="9"/>
    <x v="0"/>
    <x v="0"/>
    <n v="326"/>
    <n v="530.31156751475203"/>
    <b v="0"/>
    <n v="599"/>
    <n v="9"/>
    <n v="530"/>
    <x v="3"/>
    <x v="1"/>
    <x v="4"/>
  </r>
  <r>
    <x v="129"/>
    <n v="762"/>
    <n v="9"/>
    <x v="0"/>
    <x v="1"/>
    <n v="286"/>
    <n v="654.58875140912517"/>
    <b v="0"/>
    <n v="762"/>
    <n v="9"/>
    <n v="655"/>
    <x v="3"/>
    <x v="1"/>
    <x v="4"/>
  </r>
  <r>
    <x v="129"/>
    <n v="1890"/>
    <n v="51"/>
    <x v="1"/>
    <x v="1"/>
    <n v="1005"/>
    <n v="1591.1199698858347"/>
    <b v="0"/>
    <n v="1890"/>
    <n v="51"/>
    <n v="1591"/>
    <x v="3"/>
    <x v="1"/>
    <x v="4"/>
  </r>
  <r>
    <x v="129"/>
    <n v="8125.5"/>
    <n v="57"/>
    <x v="2"/>
    <x v="0"/>
    <n v="3282"/>
    <n v="7284.0354136990909"/>
    <b v="0"/>
    <n v="8126"/>
    <n v="57"/>
    <n v="7284"/>
    <x v="3"/>
    <x v="1"/>
    <x v="4"/>
  </r>
  <r>
    <x v="130"/>
    <n v="550.5"/>
    <n v="54"/>
    <x v="0"/>
    <x v="1"/>
    <n v="173"/>
    <n v="531.26613133288686"/>
    <b v="0"/>
    <n v="551"/>
    <n v="54"/>
    <n v="531"/>
    <x v="4"/>
    <x v="1"/>
    <x v="4"/>
  </r>
  <r>
    <x v="130"/>
    <n v="1411.5"/>
    <n v="54"/>
    <x v="0"/>
    <x v="0"/>
    <n v="64"/>
    <n v="1318.9486540938701"/>
    <b v="0"/>
    <n v="1412"/>
    <n v="54"/>
    <n v="1319"/>
    <x v="4"/>
    <x v="1"/>
    <x v="4"/>
  </r>
  <r>
    <x v="130"/>
    <n v="3147"/>
    <n v="54"/>
    <x v="1"/>
    <x v="1"/>
    <n v="1603"/>
    <n v="2848.8005971527314"/>
    <b v="0"/>
    <n v="3147"/>
    <n v="54"/>
    <n v="2849"/>
    <x v="4"/>
    <x v="1"/>
    <x v="4"/>
  </r>
  <r>
    <x v="130"/>
    <n v="7561.5"/>
    <n v="414"/>
    <x v="2"/>
    <x v="0"/>
    <n v="1942"/>
    <n v="7077.3617650308161"/>
    <b v="0"/>
    <n v="7562"/>
    <n v="414"/>
    <n v="7077"/>
    <x v="4"/>
    <x v="1"/>
    <x v="4"/>
  </r>
  <r>
    <x v="131"/>
    <n v="255"/>
    <n v="1.5"/>
    <x v="0"/>
    <x v="1"/>
    <n v="46"/>
    <n v="221.64139939069153"/>
    <b v="0"/>
    <n v="255"/>
    <n v="2"/>
    <n v="222"/>
    <x v="5"/>
    <x v="1"/>
    <x v="4"/>
  </r>
  <r>
    <x v="131"/>
    <n v="691.5"/>
    <n v="1.5"/>
    <x v="0"/>
    <x v="0"/>
    <n v="192"/>
    <n v="641.80394441164037"/>
    <b v="0"/>
    <n v="692"/>
    <n v="2"/>
    <n v="642"/>
    <x v="5"/>
    <x v="1"/>
    <x v="4"/>
  </r>
  <r>
    <x v="131"/>
    <n v="1968"/>
    <n v="73.5"/>
    <x v="1"/>
    <x v="1"/>
    <n v="718"/>
    <n v="1691.2157319219016"/>
    <b v="0"/>
    <n v="1968"/>
    <n v="74"/>
    <n v="1691"/>
    <x v="5"/>
    <x v="1"/>
    <x v="4"/>
  </r>
  <r>
    <x v="131"/>
    <n v="7957.5"/>
    <n v="433.5"/>
    <x v="2"/>
    <x v="0"/>
    <n v="5252"/>
    <n v="7836.1417755302782"/>
    <b v="0"/>
    <n v="7958"/>
    <n v="434"/>
    <n v="7836"/>
    <x v="5"/>
    <x v="1"/>
    <x v="4"/>
  </r>
  <r>
    <x v="132"/>
    <n v="1206"/>
    <n v="21"/>
    <x v="0"/>
    <x v="1"/>
    <n v="36"/>
    <n v="1027.214706390291"/>
    <b v="0"/>
    <n v="1206"/>
    <n v="21"/>
    <n v="1027"/>
    <x v="6"/>
    <x v="1"/>
    <x v="4"/>
  </r>
  <r>
    <x v="132"/>
    <n v="2745"/>
    <n v="18"/>
    <x v="1"/>
    <x v="1"/>
    <n v="1296"/>
    <n v="2342.3193336177355"/>
    <b v="0"/>
    <n v="2745"/>
    <n v="18"/>
    <n v="2342"/>
    <x v="6"/>
    <x v="1"/>
    <x v="4"/>
  </r>
  <r>
    <x v="132"/>
    <n v="2982"/>
    <n v="21"/>
    <x v="0"/>
    <x v="0"/>
    <n v="77"/>
    <n v="2683.5569311642648"/>
    <b v="0"/>
    <n v="2982"/>
    <n v="21"/>
    <n v="2684"/>
    <x v="6"/>
    <x v="1"/>
    <x v="4"/>
  </r>
  <r>
    <x v="132"/>
    <n v="6667.5"/>
    <n v="148.5"/>
    <x v="2"/>
    <x v="0"/>
    <n v="483"/>
    <n v="6344.9010824002644"/>
    <b v="0"/>
    <n v="6668"/>
    <n v="149"/>
    <n v="6345"/>
    <x v="6"/>
    <x v="1"/>
    <x v="4"/>
  </r>
  <r>
    <x v="133"/>
    <n v="1.5"/>
    <n v="0"/>
    <x v="2"/>
    <x v="1"/>
    <n v="1"/>
    <n v="1.2530166910855907"/>
    <b v="0"/>
    <n v="2"/>
    <n v="0"/>
    <n v="1"/>
    <x v="0"/>
    <x v="1"/>
    <x v="4"/>
  </r>
  <r>
    <x v="133"/>
    <n v="444"/>
    <n v="25.5"/>
    <x v="0"/>
    <x v="1"/>
    <n v="113"/>
    <n v="409.50664983956744"/>
    <b v="0"/>
    <n v="444"/>
    <n v="26"/>
    <n v="410"/>
    <x v="0"/>
    <x v="1"/>
    <x v="4"/>
  </r>
  <r>
    <x v="133"/>
    <n v="826.5"/>
    <n v="25.5"/>
    <x v="0"/>
    <x v="0"/>
    <n v="478"/>
    <n v="784.84609762622324"/>
    <b v="0"/>
    <n v="827"/>
    <n v="26"/>
    <n v="785"/>
    <x v="0"/>
    <x v="1"/>
    <x v="4"/>
  </r>
  <r>
    <x v="133"/>
    <n v="2871"/>
    <n v="132"/>
    <x v="1"/>
    <x v="1"/>
    <n v="1451"/>
    <n v="2623.5186136865764"/>
    <b v="0"/>
    <n v="2871"/>
    <n v="132"/>
    <n v="2624"/>
    <x v="0"/>
    <x v="1"/>
    <x v="4"/>
  </r>
  <r>
    <x v="133"/>
    <n v="6400.5"/>
    <n v="378"/>
    <x v="2"/>
    <x v="0"/>
    <n v="4034"/>
    <n v="6242.442757347183"/>
    <b v="0"/>
    <n v="6401"/>
    <n v="378"/>
    <n v="6242"/>
    <x v="0"/>
    <x v="1"/>
    <x v="4"/>
  </r>
  <r>
    <x v="134"/>
    <n v="99"/>
    <n v="4.5"/>
    <x v="0"/>
    <x v="1"/>
    <n v="50"/>
    <n v="84.582943550134274"/>
    <b v="0"/>
    <n v="99"/>
    <n v="5"/>
    <n v="85"/>
    <x v="1"/>
    <x v="1"/>
    <x v="4"/>
  </r>
  <r>
    <x v="134"/>
    <n v="103.5"/>
    <n v="4.5"/>
    <x v="0"/>
    <x v="0"/>
    <n v="45"/>
    <n v="94.128233087509173"/>
    <b v="0"/>
    <n v="104"/>
    <n v="5"/>
    <n v="94"/>
    <x v="1"/>
    <x v="1"/>
    <x v="4"/>
  </r>
  <r>
    <x v="134"/>
    <n v="3031.5"/>
    <n v="7.5"/>
    <x v="1"/>
    <x v="1"/>
    <n v="1446"/>
    <n v="2695.5403859431299"/>
    <b v="0"/>
    <n v="3032"/>
    <n v="8"/>
    <n v="2696"/>
    <x v="1"/>
    <x v="1"/>
    <x v="4"/>
  </r>
  <r>
    <x v="134"/>
    <n v="5731.5"/>
    <n v="187.5"/>
    <x v="2"/>
    <x v="0"/>
    <n v="3796"/>
    <n v="5222.3255113682098"/>
    <b v="0"/>
    <n v="5732"/>
    <n v="188"/>
    <n v="5222"/>
    <x v="1"/>
    <x v="1"/>
    <x v="4"/>
  </r>
  <r>
    <x v="135"/>
    <n v="1.5"/>
    <n v="0"/>
    <x v="2"/>
    <x v="1"/>
    <n v="1"/>
    <n v="1.2021319105143584"/>
    <b v="0"/>
    <n v="2"/>
    <n v="0"/>
    <n v="1"/>
    <x v="2"/>
    <x v="1"/>
    <x v="4"/>
  </r>
  <r>
    <x v="135"/>
    <n v="163.5"/>
    <n v="3"/>
    <x v="0"/>
    <x v="1"/>
    <n v="78"/>
    <n v="143.01839855898075"/>
    <b v="0"/>
    <n v="164"/>
    <n v="3"/>
    <n v="143"/>
    <x v="2"/>
    <x v="1"/>
    <x v="4"/>
  </r>
  <r>
    <x v="135"/>
    <n v="294"/>
    <n v="3"/>
    <x v="0"/>
    <x v="0"/>
    <n v="57"/>
    <n v="269.74047501550922"/>
    <b v="0"/>
    <n v="294"/>
    <n v="3"/>
    <n v="270"/>
    <x v="2"/>
    <x v="1"/>
    <x v="4"/>
  </r>
  <r>
    <x v="135"/>
    <n v="2386.5"/>
    <n v="90"/>
    <x v="1"/>
    <x v="1"/>
    <n v="6"/>
    <n v="2184.2399829771448"/>
    <b v="0"/>
    <n v="2387"/>
    <n v="90"/>
    <n v="2184"/>
    <x v="2"/>
    <x v="1"/>
    <x v="4"/>
  </r>
  <r>
    <x v="135"/>
    <n v="5014.5"/>
    <n v="111"/>
    <x v="2"/>
    <x v="0"/>
    <n v="2120"/>
    <n v="4503.1096103079963"/>
    <b v="0"/>
    <n v="5015"/>
    <n v="111"/>
    <n v="4503"/>
    <x v="2"/>
    <x v="1"/>
    <x v="4"/>
  </r>
  <r>
    <x v="136"/>
    <n v="211.5"/>
    <n v="10.5"/>
    <x v="0"/>
    <x v="1"/>
    <n v="101"/>
    <n v="188.38855071264575"/>
    <b v="0"/>
    <n v="212"/>
    <n v="11"/>
    <n v="188"/>
    <x v="3"/>
    <x v="1"/>
    <x v="4"/>
  </r>
  <r>
    <x v="136"/>
    <n v="520.5"/>
    <n v="10.5"/>
    <x v="0"/>
    <x v="0"/>
    <n v="73"/>
    <n v="479.86366700728848"/>
    <b v="0"/>
    <n v="521"/>
    <n v="11"/>
    <n v="480"/>
    <x v="3"/>
    <x v="1"/>
    <x v="4"/>
  </r>
  <r>
    <x v="136"/>
    <n v="2800.5"/>
    <n v="84"/>
    <x v="1"/>
    <x v="1"/>
    <n v="1814"/>
    <n v="2547.4053211752494"/>
    <b v="0"/>
    <n v="2801"/>
    <n v="84"/>
    <n v="2547"/>
    <x v="3"/>
    <x v="1"/>
    <x v="4"/>
  </r>
  <r>
    <x v="136"/>
    <n v="5602.5"/>
    <n v="34.5"/>
    <x v="2"/>
    <x v="0"/>
    <n v="3693"/>
    <n v="5279.4593614860069"/>
    <b v="0"/>
    <n v="5603"/>
    <n v="35"/>
    <n v="5279"/>
    <x v="3"/>
    <x v="1"/>
    <x v="4"/>
  </r>
  <r>
    <x v="137"/>
    <n v="267"/>
    <n v="9"/>
    <x v="0"/>
    <x v="1"/>
    <n v="134"/>
    <n v="227.2726734428108"/>
    <b v="0"/>
    <n v="267"/>
    <n v="9"/>
    <n v="227"/>
    <x v="4"/>
    <x v="1"/>
    <x v="4"/>
  </r>
  <r>
    <x v="137"/>
    <n v="321"/>
    <n v="9"/>
    <x v="0"/>
    <x v="0"/>
    <n v="31"/>
    <n v="308.56056041222644"/>
    <b v="0"/>
    <n v="321"/>
    <n v="9"/>
    <n v="309"/>
    <x v="4"/>
    <x v="1"/>
    <x v="4"/>
  </r>
  <r>
    <x v="137"/>
    <n v="3609"/>
    <n v="69"/>
    <x v="1"/>
    <x v="1"/>
    <n v="2395"/>
    <n v="2974.7714568901192"/>
    <b v="0"/>
    <n v="3609"/>
    <n v="69"/>
    <n v="2975"/>
    <x v="4"/>
    <x v="1"/>
    <x v="4"/>
  </r>
  <r>
    <x v="137"/>
    <n v="7479"/>
    <n v="402"/>
    <x v="2"/>
    <x v="0"/>
    <n v="90"/>
    <n v="6915.0370028693151"/>
    <b v="0"/>
    <n v="7479"/>
    <n v="402"/>
    <n v="6915"/>
    <x v="4"/>
    <x v="1"/>
    <x v="4"/>
  </r>
  <r>
    <x v="138"/>
    <n v="408"/>
    <n v="39"/>
    <x v="0"/>
    <x v="1"/>
    <n v="97"/>
    <n v="371.00194230887547"/>
    <b v="0"/>
    <n v="408"/>
    <n v="39"/>
    <n v="371"/>
    <x v="5"/>
    <x v="1"/>
    <x v="4"/>
  </r>
  <r>
    <x v="138"/>
    <n v="658.5"/>
    <n v="39"/>
    <x v="0"/>
    <x v="0"/>
    <n v="304"/>
    <n v="627.99358005670967"/>
    <b v="0"/>
    <n v="659"/>
    <n v="39"/>
    <n v="628"/>
    <x v="5"/>
    <x v="1"/>
    <x v="4"/>
  </r>
  <r>
    <x v="138"/>
    <n v="2610"/>
    <n v="30"/>
    <x v="1"/>
    <x v="1"/>
    <n v="1111"/>
    <n v="2161.8965233468684"/>
    <b v="0"/>
    <n v="2610"/>
    <n v="30"/>
    <n v="2162"/>
    <x v="5"/>
    <x v="1"/>
    <x v="4"/>
  </r>
  <r>
    <x v="138"/>
    <n v="5668.5"/>
    <n v="100.5"/>
    <x v="2"/>
    <x v="0"/>
    <n v="3687"/>
    <n v="5048.6924529872613"/>
    <b v="0"/>
    <n v="5669"/>
    <n v="101"/>
    <n v="5049"/>
    <x v="5"/>
    <x v="1"/>
    <x v="4"/>
  </r>
  <r>
    <x v="139"/>
    <n v="369"/>
    <n v="31.5"/>
    <x v="0"/>
    <x v="1"/>
    <n v="201"/>
    <n v="326.43056119351934"/>
    <b v="0"/>
    <n v="369"/>
    <n v="32"/>
    <n v="326"/>
    <x v="6"/>
    <x v="1"/>
    <x v="4"/>
  </r>
  <r>
    <x v="139"/>
    <n v="585"/>
    <n v="31.5"/>
    <x v="0"/>
    <x v="0"/>
    <n v="110"/>
    <n v="562.53254130983851"/>
    <b v="0"/>
    <n v="585"/>
    <n v="32"/>
    <n v="563"/>
    <x v="6"/>
    <x v="1"/>
    <x v="4"/>
  </r>
  <r>
    <x v="139"/>
    <n v="2104.5"/>
    <n v="18"/>
    <x v="1"/>
    <x v="1"/>
    <n v="247"/>
    <n v="1823.0223865849905"/>
    <b v="0"/>
    <n v="2105"/>
    <n v="18"/>
    <n v="1823"/>
    <x v="6"/>
    <x v="1"/>
    <x v="4"/>
  </r>
  <r>
    <x v="139"/>
    <n v="6336"/>
    <n v="87"/>
    <x v="2"/>
    <x v="0"/>
    <n v="4145"/>
    <n v="5883.5142289952673"/>
    <b v="0"/>
    <n v="6336"/>
    <n v="87"/>
    <n v="5884"/>
    <x v="6"/>
    <x v="1"/>
    <x v="4"/>
  </r>
  <r>
    <x v="140"/>
    <n v="387"/>
    <n v="6"/>
    <x v="0"/>
    <x v="0"/>
    <n v="187"/>
    <n v="349.80331665715312"/>
    <b v="0"/>
    <n v="387"/>
    <n v="6"/>
    <n v="350"/>
    <x v="0"/>
    <x v="1"/>
    <x v="4"/>
  </r>
  <r>
    <x v="140"/>
    <n v="595.5"/>
    <n v="6"/>
    <x v="0"/>
    <x v="1"/>
    <n v="301"/>
    <n v="497.20085155387358"/>
    <b v="0"/>
    <n v="596"/>
    <n v="6"/>
    <n v="497"/>
    <x v="0"/>
    <x v="1"/>
    <x v="4"/>
  </r>
  <r>
    <x v="140"/>
    <n v="2221.5"/>
    <n v="106.5"/>
    <x v="1"/>
    <x v="1"/>
    <n v="971"/>
    <n v="1955.2650287678671"/>
    <b v="0"/>
    <n v="2222"/>
    <n v="107"/>
    <n v="1955"/>
    <x v="0"/>
    <x v="1"/>
    <x v="4"/>
  </r>
  <r>
    <x v="140"/>
    <n v="5763"/>
    <n v="252"/>
    <x v="2"/>
    <x v="0"/>
    <n v="1756"/>
    <n v="5256.0699696600677"/>
    <b v="1"/>
    <n v="5763"/>
    <n v="252"/>
    <n v="5256"/>
    <x v="0"/>
    <x v="0"/>
    <x v="4"/>
  </r>
  <r>
    <x v="141"/>
    <n v="313.5"/>
    <n v="21"/>
    <x v="0"/>
    <x v="0"/>
    <n v="184"/>
    <n v="293.31814407017794"/>
    <b v="0"/>
    <n v="314"/>
    <n v="21"/>
    <n v="293"/>
    <x v="1"/>
    <x v="1"/>
    <x v="4"/>
  </r>
  <r>
    <x v="141"/>
    <n v="415.5"/>
    <n v="21"/>
    <x v="0"/>
    <x v="1"/>
    <n v="52"/>
    <n v="367.70982269487945"/>
    <b v="0"/>
    <n v="416"/>
    <n v="21"/>
    <n v="368"/>
    <x v="1"/>
    <x v="1"/>
    <x v="4"/>
  </r>
  <r>
    <x v="141"/>
    <n v="1548"/>
    <n v="9"/>
    <x v="1"/>
    <x v="1"/>
    <n v="528"/>
    <n v="1266.2227015033659"/>
    <b v="0"/>
    <n v="1548"/>
    <n v="9"/>
    <n v="1266"/>
    <x v="1"/>
    <x v="1"/>
    <x v="4"/>
  </r>
  <r>
    <x v="141"/>
    <n v="4968"/>
    <n v="264"/>
    <x v="2"/>
    <x v="0"/>
    <n v="3006"/>
    <n v="4677.251726026615"/>
    <b v="0"/>
    <n v="4968"/>
    <n v="264"/>
    <n v="4677"/>
    <x v="1"/>
    <x v="1"/>
    <x v="4"/>
  </r>
  <r>
    <x v="142"/>
    <n v="195"/>
    <n v="4.5"/>
    <x v="0"/>
    <x v="1"/>
    <n v="26"/>
    <n v="173.13949106251124"/>
    <b v="1"/>
    <n v="195"/>
    <n v="5"/>
    <n v="173"/>
    <x v="2"/>
    <x v="0"/>
    <x v="4"/>
  </r>
  <r>
    <x v="142"/>
    <n v="199.5"/>
    <n v="4.5"/>
    <x v="0"/>
    <x v="0"/>
    <n v="99"/>
    <n v="181.5674368661081"/>
    <b v="1"/>
    <n v="200"/>
    <n v="5"/>
    <n v="182"/>
    <x v="2"/>
    <x v="0"/>
    <x v="4"/>
  </r>
  <r>
    <x v="142"/>
    <n v="1528.5"/>
    <n v="36"/>
    <x v="1"/>
    <x v="1"/>
    <n v="986"/>
    <n v="1392.2063233866838"/>
    <b v="1"/>
    <n v="1529"/>
    <n v="36"/>
    <n v="1392"/>
    <x v="2"/>
    <x v="0"/>
    <x v="4"/>
  </r>
  <r>
    <x v="142"/>
    <n v="4246.5"/>
    <n v="123"/>
    <x v="2"/>
    <x v="0"/>
    <n v="2685"/>
    <n v="3865.5783572359614"/>
    <b v="1"/>
    <n v="4247"/>
    <n v="123"/>
    <n v="3866"/>
    <x v="2"/>
    <x v="0"/>
    <x v="4"/>
  </r>
  <r>
    <x v="143"/>
    <n v="321"/>
    <n v="21"/>
    <x v="0"/>
    <x v="1"/>
    <n v="76"/>
    <n v="294.36806803805206"/>
    <b v="1"/>
    <n v="321"/>
    <n v="21"/>
    <n v="294"/>
    <x v="3"/>
    <x v="0"/>
    <x v="4"/>
  </r>
  <r>
    <x v="143"/>
    <n v="469.5"/>
    <n v="21"/>
    <x v="0"/>
    <x v="0"/>
    <n v="167"/>
    <n v="428.83831453973528"/>
    <b v="1"/>
    <n v="470"/>
    <n v="21"/>
    <n v="429"/>
    <x v="3"/>
    <x v="0"/>
    <x v="4"/>
  </r>
  <r>
    <x v="143"/>
    <n v="2310"/>
    <n v="30"/>
    <x v="1"/>
    <x v="1"/>
    <n v="100"/>
    <n v="1973.3741313017285"/>
    <b v="1"/>
    <n v="2310"/>
    <n v="30"/>
    <n v="1973"/>
    <x v="3"/>
    <x v="0"/>
    <x v="4"/>
  </r>
  <r>
    <x v="143"/>
    <n v="5347.5"/>
    <n v="78"/>
    <x v="2"/>
    <x v="0"/>
    <n v="1050"/>
    <n v="4960.436213346532"/>
    <b v="1"/>
    <n v="5348"/>
    <n v="78"/>
    <n v="4960"/>
    <x v="3"/>
    <x v="0"/>
    <x v="4"/>
  </r>
  <r>
    <x v="144"/>
    <n v="357"/>
    <n v="10.5"/>
    <x v="0"/>
    <x v="1"/>
    <n v="46"/>
    <n v="300.83997126756736"/>
    <b v="1"/>
    <n v="357"/>
    <n v="11"/>
    <n v="301"/>
    <x v="4"/>
    <x v="0"/>
    <x v="4"/>
  </r>
  <r>
    <x v="144"/>
    <n v="415.5"/>
    <n v="10.5"/>
    <x v="0"/>
    <x v="0"/>
    <n v="173"/>
    <n v="384.12316776534357"/>
    <b v="1"/>
    <n v="416"/>
    <n v="11"/>
    <n v="384"/>
    <x v="4"/>
    <x v="0"/>
    <x v="4"/>
  </r>
  <r>
    <x v="144"/>
    <n v="3567"/>
    <n v="123"/>
    <x v="1"/>
    <x v="1"/>
    <n v="2203"/>
    <n v="3095.0503537636851"/>
    <b v="1"/>
    <n v="3567"/>
    <n v="123"/>
    <n v="3095"/>
    <x v="4"/>
    <x v="0"/>
    <x v="4"/>
  </r>
  <r>
    <x v="144"/>
    <n v="5835"/>
    <n v="135"/>
    <x v="2"/>
    <x v="0"/>
    <n v="1678"/>
    <n v="5504.434541768248"/>
    <b v="1"/>
    <n v="5835"/>
    <n v="135"/>
    <n v="5504"/>
    <x v="4"/>
    <x v="0"/>
    <x v="4"/>
  </r>
  <r>
    <x v="145"/>
    <n v="216"/>
    <n v="9"/>
    <x v="0"/>
    <x v="0"/>
    <n v="63"/>
    <n v="211.05273118648432"/>
    <b v="0"/>
    <n v="216"/>
    <n v="9"/>
    <n v="211"/>
    <x v="5"/>
    <x v="1"/>
    <x v="4"/>
  </r>
  <r>
    <x v="145"/>
    <n v="354"/>
    <n v="9"/>
    <x v="0"/>
    <x v="1"/>
    <n v="223"/>
    <n v="317.23262052455772"/>
    <b v="0"/>
    <n v="354"/>
    <n v="9"/>
    <n v="317"/>
    <x v="5"/>
    <x v="1"/>
    <x v="4"/>
  </r>
  <r>
    <x v="145"/>
    <n v="2965.5"/>
    <n v="25.5"/>
    <x v="1"/>
    <x v="1"/>
    <n v="759"/>
    <n v="2522.0030003767624"/>
    <b v="0"/>
    <n v="2966"/>
    <n v="26"/>
    <n v="2522"/>
    <x v="5"/>
    <x v="1"/>
    <x v="4"/>
  </r>
  <r>
    <x v="145"/>
    <n v="7024.5"/>
    <n v="370.5"/>
    <x v="2"/>
    <x v="0"/>
    <n v="2312"/>
    <n v="6830.4460437488315"/>
    <b v="0"/>
    <n v="7025"/>
    <n v="371"/>
    <n v="6830"/>
    <x v="5"/>
    <x v="1"/>
    <x v="4"/>
  </r>
  <r>
    <x v="146"/>
    <n v="222"/>
    <n v="10.5"/>
    <x v="0"/>
    <x v="0"/>
    <n v="47"/>
    <n v="210.47130812086081"/>
    <b v="0"/>
    <n v="222"/>
    <n v="11"/>
    <n v="210"/>
    <x v="6"/>
    <x v="1"/>
    <x v="4"/>
  </r>
  <r>
    <x v="146"/>
    <n v="318"/>
    <n v="10.5"/>
    <x v="0"/>
    <x v="1"/>
    <n v="115"/>
    <n v="287.84655969221279"/>
    <b v="0"/>
    <n v="318"/>
    <n v="11"/>
    <n v="288"/>
    <x v="6"/>
    <x v="1"/>
    <x v="4"/>
  </r>
  <r>
    <x v="146"/>
    <n v="1990.5"/>
    <n v="91.5"/>
    <x v="1"/>
    <x v="1"/>
    <n v="1289"/>
    <n v="1803.3879074805525"/>
    <b v="0"/>
    <n v="1991"/>
    <n v="92"/>
    <n v="1803"/>
    <x v="6"/>
    <x v="1"/>
    <x v="4"/>
  </r>
  <r>
    <x v="146"/>
    <n v="6187.5"/>
    <n v="226.5"/>
    <x v="2"/>
    <x v="0"/>
    <n v="323"/>
    <n v="6020.4109107699114"/>
    <b v="0"/>
    <n v="6188"/>
    <n v="227"/>
    <n v="6020"/>
    <x v="6"/>
    <x v="1"/>
    <x v="4"/>
  </r>
  <r>
    <x v="147"/>
    <n v="1.5"/>
    <n v="1.5"/>
    <x v="2"/>
    <x v="1"/>
    <n v="1"/>
    <n v="2.431671458344848"/>
    <b v="0"/>
    <n v="2"/>
    <n v="2"/>
    <n v="2"/>
    <x v="0"/>
    <x v="1"/>
    <x v="4"/>
  </r>
  <r>
    <x v="147"/>
    <n v="324"/>
    <n v="36"/>
    <x v="0"/>
    <x v="1"/>
    <n v="118"/>
    <n v="312.07581236622173"/>
    <b v="0"/>
    <n v="324"/>
    <n v="36"/>
    <n v="312"/>
    <x v="0"/>
    <x v="1"/>
    <x v="4"/>
  </r>
  <r>
    <x v="147"/>
    <n v="598.5"/>
    <n v="36"/>
    <x v="0"/>
    <x v="0"/>
    <n v="384"/>
    <n v="554.29176156086965"/>
    <b v="1"/>
    <n v="599"/>
    <n v="36"/>
    <n v="554"/>
    <x v="0"/>
    <x v="0"/>
    <x v="4"/>
  </r>
  <r>
    <x v="147"/>
    <n v="3520.5"/>
    <n v="159"/>
    <x v="1"/>
    <x v="1"/>
    <n v="1573"/>
    <n v="2993.687340753469"/>
    <b v="0"/>
    <n v="3521"/>
    <n v="159"/>
    <n v="2994"/>
    <x v="0"/>
    <x v="1"/>
    <x v="4"/>
  </r>
  <r>
    <x v="147"/>
    <n v="6127.5"/>
    <n v="375"/>
    <x v="2"/>
    <x v="0"/>
    <n v="3128"/>
    <n v="5906.0735851600557"/>
    <b v="0"/>
    <n v="6128"/>
    <n v="375"/>
    <n v="5906"/>
    <x v="0"/>
    <x v="1"/>
    <x v="4"/>
  </r>
  <r>
    <x v="148"/>
    <n v="1.5"/>
    <n v="1.5"/>
    <x v="2"/>
    <x v="1"/>
    <n v="1"/>
    <n v="2.5754000530360592"/>
    <b v="0"/>
    <n v="2"/>
    <n v="2"/>
    <n v="3"/>
    <x v="1"/>
    <x v="1"/>
    <x v="4"/>
  </r>
  <r>
    <x v="148"/>
    <n v="111"/>
    <n v="22.5"/>
    <x v="0"/>
    <x v="1"/>
    <n v="58"/>
    <n v="115.81620742245457"/>
    <b v="0"/>
    <n v="111"/>
    <n v="23"/>
    <n v="116"/>
    <x v="1"/>
    <x v="1"/>
    <x v="4"/>
  </r>
  <r>
    <x v="148"/>
    <n v="376.5"/>
    <n v="22.5"/>
    <x v="0"/>
    <x v="0"/>
    <n v="16"/>
    <n v="369.9760153579503"/>
    <b v="0"/>
    <n v="377"/>
    <n v="23"/>
    <n v="370"/>
    <x v="1"/>
    <x v="1"/>
    <x v="4"/>
  </r>
  <r>
    <x v="148"/>
    <n v="2688"/>
    <n v="28.5"/>
    <x v="1"/>
    <x v="1"/>
    <n v="1605"/>
    <n v="2370.5349266638909"/>
    <b v="0"/>
    <n v="2688"/>
    <n v="29"/>
    <n v="2371"/>
    <x v="1"/>
    <x v="1"/>
    <x v="4"/>
  </r>
  <r>
    <x v="148"/>
    <n v="5607"/>
    <n v="352.5"/>
    <x v="2"/>
    <x v="0"/>
    <n v="380"/>
    <n v="5559.2535070822578"/>
    <b v="1"/>
    <n v="5607"/>
    <n v="353"/>
    <n v="5559"/>
    <x v="1"/>
    <x v="0"/>
    <x v="4"/>
  </r>
  <r>
    <x v="149"/>
    <n v="127.5"/>
    <n v="6"/>
    <x v="0"/>
    <x v="1"/>
    <n v="5"/>
    <n v="116.4440140486963"/>
    <b v="0"/>
    <n v="128"/>
    <n v="6"/>
    <n v="116"/>
    <x v="2"/>
    <x v="1"/>
    <x v="4"/>
  </r>
  <r>
    <x v="149"/>
    <n v="178.5"/>
    <n v="6"/>
    <x v="0"/>
    <x v="0"/>
    <n v="31"/>
    <n v="165.06879098877826"/>
    <b v="0"/>
    <n v="179"/>
    <n v="6"/>
    <n v="165"/>
    <x v="2"/>
    <x v="1"/>
    <x v="4"/>
  </r>
  <r>
    <x v="149"/>
    <n v="2133"/>
    <n v="64.5"/>
    <x v="1"/>
    <x v="1"/>
    <n v="1049"/>
    <n v="1778.1173095303354"/>
    <b v="0"/>
    <n v="2133"/>
    <n v="65"/>
    <n v="1778"/>
    <x v="2"/>
    <x v="1"/>
    <x v="4"/>
  </r>
  <r>
    <x v="149"/>
    <n v="5158.5"/>
    <n v="255"/>
    <x v="2"/>
    <x v="0"/>
    <n v="928"/>
    <n v="4921.8776591670567"/>
    <b v="0"/>
    <n v="5159"/>
    <n v="255"/>
    <n v="4922"/>
    <x v="2"/>
    <x v="1"/>
    <x v="4"/>
  </r>
  <r>
    <x v="150"/>
    <n v="381"/>
    <n v="18"/>
    <x v="0"/>
    <x v="1"/>
    <n v="140"/>
    <n v="354.61537738414245"/>
    <b v="0"/>
    <n v="381"/>
    <n v="18"/>
    <n v="355"/>
    <x v="3"/>
    <x v="1"/>
    <x v="4"/>
  </r>
  <r>
    <x v="150"/>
    <n v="967.5"/>
    <n v="18"/>
    <x v="0"/>
    <x v="0"/>
    <n v="296"/>
    <n v="894.5427409384987"/>
    <b v="0"/>
    <n v="968"/>
    <n v="18"/>
    <n v="895"/>
    <x v="3"/>
    <x v="1"/>
    <x v="4"/>
  </r>
  <r>
    <x v="150"/>
    <n v="1833"/>
    <n v="78"/>
    <x v="1"/>
    <x v="1"/>
    <n v="493"/>
    <n v="1672.3519719927244"/>
    <b v="0"/>
    <n v="1833"/>
    <n v="78"/>
    <n v="1672"/>
    <x v="3"/>
    <x v="1"/>
    <x v="4"/>
  </r>
  <r>
    <x v="150"/>
    <n v="5226"/>
    <n v="355.5"/>
    <x v="2"/>
    <x v="0"/>
    <n v="2377"/>
    <n v="5206.4333938017107"/>
    <b v="0"/>
    <n v="5226"/>
    <n v="356"/>
    <n v="5206"/>
    <x v="3"/>
    <x v="1"/>
    <x v="4"/>
  </r>
  <r>
    <x v="151"/>
    <n v="370.5"/>
    <n v="19.5"/>
    <x v="0"/>
    <x v="0"/>
    <n v="233"/>
    <n v="362.56783782943501"/>
    <b v="0"/>
    <n v="371"/>
    <n v="20"/>
    <n v="363"/>
    <x v="4"/>
    <x v="1"/>
    <x v="4"/>
  </r>
  <r>
    <x v="151"/>
    <n v="396"/>
    <n v="19.5"/>
    <x v="0"/>
    <x v="1"/>
    <n v="203"/>
    <n v="336.48919535893282"/>
    <b v="0"/>
    <n v="396"/>
    <n v="20"/>
    <n v="336"/>
    <x v="4"/>
    <x v="1"/>
    <x v="4"/>
  </r>
  <r>
    <x v="151"/>
    <n v="1771.5"/>
    <n v="48"/>
    <x v="1"/>
    <x v="1"/>
    <n v="1072"/>
    <n v="1494.8921854046787"/>
    <b v="0"/>
    <n v="1772"/>
    <n v="48"/>
    <n v="1495"/>
    <x v="4"/>
    <x v="1"/>
    <x v="4"/>
  </r>
  <r>
    <x v="151"/>
    <n v="5772"/>
    <n v="256.5"/>
    <x v="2"/>
    <x v="0"/>
    <n v="170"/>
    <n v="5297.1465562568328"/>
    <b v="0"/>
    <n v="5772"/>
    <n v="257"/>
    <n v="5297"/>
    <x v="4"/>
    <x v="1"/>
    <x v="4"/>
  </r>
  <r>
    <x v="152"/>
    <n v="1.5"/>
    <n v="1.5"/>
    <x v="1"/>
    <x v="0"/>
    <n v="1"/>
    <n v="2.6287726186059657"/>
    <b v="0"/>
    <n v="2"/>
    <n v="2"/>
    <n v="3"/>
    <x v="5"/>
    <x v="1"/>
    <x v="5"/>
  </r>
  <r>
    <x v="152"/>
    <n v="573"/>
    <n v="46.5"/>
    <x v="0"/>
    <x v="1"/>
    <n v="191"/>
    <n v="536.17054194180298"/>
    <b v="0"/>
    <n v="573"/>
    <n v="47"/>
    <n v="536"/>
    <x v="5"/>
    <x v="1"/>
    <x v="5"/>
  </r>
  <r>
    <x v="152"/>
    <n v="684"/>
    <n v="46.5"/>
    <x v="0"/>
    <x v="0"/>
    <n v="295"/>
    <n v="681.12369328714203"/>
    <b v="0"/>
    <n v="684"/>
    <n v="47"/>
    <n v="681"/>
    <x v="5"/>
    <x v="1"/>
    <x v="5"/>
  </r>
  <r>
    <x v="152"/>
    <n v="1522.5"/>
    <n v="1.5"/>
    <x v="1"/>
    <x v="1"/>
    <n v="816"/>
    <n v="1310.3886832710632"/>
    <b v="0"/>
    <n v="1523"/>
    <n v="2"/>
    <n v="1310"/>
    <x v="5"/>
    <x v="1"/>
    <x v="5"/>
  </r>
  <r>
    <x v="152"/>
    <n v="6784.5"/>
    <n v="145.5"/>
    <x v="2"/>
    <x v="0"/>
    <n v="2127"/>
    <n v="6392.3075129955405"/>
    <b v="0"/>
    <n v="6785"/>
    <n v="146"/>
    <n v="6392"/>
    <x v="5"/>
    <x v="1"/>
    <x v="5"/>
  </r>
  <r>
    <x v="153"/>
    <n v="576"/>
    <n v="7.5"/>
    <x v="0"/>
    <x v="0"/>
    <n v="29"/>
    <n v="544.09701515909603"/>
    <b v="0"/>
    <n v="576"/>
    <n v="8"/>
    <n v="544"/>
    <x v="6"/>
    <x v="1"/>
    <x v="5"/>
  </r>
  <r>
    <x v="153"/>
    <n v="655.5"/>
    <n v="7.5"/>
    <x v="0"/>
    <x v="1"/>
    <n v="183"/>
    <n v="534.76455164236359"/>
    <b v="0"/>
    <n v="656"/>
    <n v="8"/>
    <n v="535"/>
    <x v="6"/>
    <x v="1"/>
    <x v="5"/>
  </r>
  <r>
    <x v="153"/>
    <n v="3249"/>
    <n v="1.5"/>
    <x v="1"/>
    <x v="1"/>
    <n v="1933"/>
    <n v="2885.500015311733"/>
    <b v="0"/>
    <n v="3249"/>
    <n v="2"/>
    <n v="2886"/>
    <x v="6"/>
    <x v="1"/>
    <x v="5"/>
  </r>
  <r>
    <x v="153"/>
    <n v="7960.5"/>
    <n v="226.5"/>
    <x v="2"/>
    <x v="0"/>
    <n v="46"/>
    <n v="7213.3603360721781"/>
    <b v="0"/>
    <n v="7961"/>
    <n v="227"/>
    <n v="7213"/>
    <x v="6"/>
    <x v="1"/>
    <x v="5"/>
  </r>
  <r>
    <x v="154"/>
    <n v="177"/>
    <n v="3"/>
    <x v="0"/>
    <x v="1"/>
    <n v="84"/>
    <n v="152.97446143183444"/>
    <b v="0"/>
    <n v="177"/>
    <n v="3"/>
    <n v="153"/>
    <x v="0"/>
    <x v="1"/>
    <x v="5"/>
  </r>
  <r>
    <x v="154"/>
    <n v="192"/>
    <n v="3"/>
    <x v="0"/>
    <x v="0"/>
    <n v="36"/>
    <n v="175.59102521562031"/>
    <b v="0"/>
    <n v="192"/>
    <n v="3"/>
    <n v="176"/>
    <x v="0"/>
    <x v="1"/>
    <x v="5"/>
  </r>
  <r>
    <x v="154"/>
    <n v="3807"/>
    <n v="186"/>
    <x v="1"/>
    <x v="1"/>
    <n v="1505"/>
    <n v="3379.4044928211733"/>
    <b v="0"/>
    <n v="3807"/>
    <n v="186"/>
    <n v="3379"/>
    <x v="0"/>
    <x v="1"/>
    <x v="5"/>
  </r>
  <r>
    <x v="154"/>
    <n v="7635"/>
    <n v="471"/>
    <x v="2"/>
    <x v="0"/>
    <n v="2350"/>
    <n v="7185.14668106113"/>
    <b v="0"/>
    <n v="7635"/>
    <n v="471"/>
    <n v="7185"/>
    <x v="0"/>
    <x v="1"/>
    <x v="5"/>
  </r>
  <r>
    <x v="155"/>
    <n v="1.5"/>
    <n v="0"/>
    <x v="2"/>
    <x v="1"/>
    <n v="1"/>
    <n v="1.2768631840897575"/>
    <b v="0"/>
    <n v="2"/>
    <n v="0"/>
    <n v="1"/>
    <x v="1"/>
    <x v="1"/>
    <x v="5"/>
  </r>
  <r>
    <x v="155"/>
    <n v="190.5"/>
    <n v="4.5"/>
    <x v="0"/>
    <x v="1"/>
    <n v="93"/>
    <n v="163.91568830355536"/>
    <b v="0"/>
    <n v="191"/>
    <n v="5"/>
    <n v="164"/>
    <x v="1"/>
    <x v="1"/>
    <x v="5"/>
  </r>
  <r>
    <x v="155"/>
    <n v="246"/>
    <n v="4.5"/>
    <x v="0"/>
    <x v="0"/>
    <n v="89"/>
    <n v="228.75474276719297"/>
    <b v="0"/>
    <n v="246"/>
    <n v="5"/>
    <n v="229"/>
    <x v="1"/>
    <x v="1"/>
    <x v="5"/>
  </r>
  <r>
    <x v="155"/>
    <n v="3294"/>
    <n v="154.5"/>
    <x v="1"/>
    <x v="1"/>
    <n v="1912"/>
    <n v="3001.218988732428"/>
    <b v="0"/>
    <n v="3294"/>
    <n v="155"/>
    <n v="3001"/>
    <x v="1"/>
    <x v="1"/>
    <x v="5"/>
  </r>
  <r>
    <x v="155"/>
    <n v="7509"/>
    <n v="276"/>
    <x v="2"/>
    <x v="0"/>
    <n v="960"/>
    <n v="7074.1271196423895"/>
    <b v="0"/>
    <n v="7509"/>
    <n v="276"/>
    <n v="7074"/>
    <x v="1"/>
    <x v="1"/>
    <x v="5"/>
  </r>
  <r>
    <x v="156"/>
    <n v="217.5"/>
    <n v="7.5"/>
    <x v="0"/>
    <x v="0"/>
    <n v="135"/>
    <n v="196.81458383412135"/>
    <b v="0"/>
    <n v="218"/>
    <n v="8"/>
    <n v="197"/>
    <x v="2"/>
    <x v="1"/>
    <x v="5"/>
  </r>
  <r>
    <x v="156"/>
    <n v="247.5"/>
    <n v="7.5"/>
    <x v="0"/>
    <x v="1"/>
    <n v="148"/>
    <n v="217.11041037431181"/>
    <b v="0"/>
    <n v="248"/>
    <n v="8"/>
    <n v="217"/>
    <x v="2"/>
    <x v="1"/>
    <x v="5"/>
  </r>
  <r>
    <x v="156"/>
    <n v="3303"/>
    <n v="42"/>
    <x v="1"/>
    <x v="1"/>
    <n v="1752"/>
    <n v="2759.2370417656994"/>
    <b v="0"/>
    <n v="3303"/>
    <n v="42"/>
    <n v="2759"/>
    <x v="2"/>
    <x v="1"/>
    <x v="5"/>
  </r>
  <r>
    <x v="156"/>
    <n v="7987.5"/>
    <n v="289.5"/>
    <x v="2"/>
    <x v="0"/>
    <n v="4165"/>
    <n v="7431.751986477303"/>
    <b v="0"/>
    <n v="7988"/>
    <n v="290"/>
    <n v="7432"/>
    <x v="2"/>
    <x v="1"/>
    <x v="5"/>
  </r>
  <r>
    <x v="157"/>
    <n v="166.5"/>
    <n v="10.5"/>
    <x v="0"/>
    <x v="1"/>
    <n v="107"/>
    <n v="150.8618702571388"/>
    <b v="0"/>
    <n v="167"/>
    <n v="11"/>
    <n v="151"/>
    <x v="3"/>
    <x v="1"/>
    <x v="5"/>
  </r>
  <r>
    <x v="157"/>
    <n v="268.5"/>
    <n v="10.5"/>
    <x v="0"/>
    <x v="0"/>
    <n v="34"/>
    <n v="261.18353830589257"/>
    <b v="0"/>
    <n v="269"/>
    <n v="11"/>
    <n v="261"/>
    <x v="3"/>
    <x v="1"/>
    <x v="5"/>
  </r>
  <r>
    <x v="157"/>
    <n v="2980.5"/>
    <n v="70.5"/>
    <x v="1"/>
    <x v="1"/>
    <n v="1600"/>
    <n v="2520.8190628877678"/>
    <b v="0"/>
    <n v="2981"/>
    <n v="71"/>
    <n v="2521"/>
    <x v="3"/>
    <x v="1"/>
    <x v="5"/>
  </r>
  <r>
    <x v="157"/>
    <n v="8574"/>
    <n v="99"/>
    <x v="2"/>
    <x v="0"/>
    <n v="5690"/>
    <n v="8108.0996511579669"/>
    <b v="0"/>
    <n v="8574"/>
    <n v="99"/>
    <n v="8108"/>
    <x v="3"/>
    <x v="1"/>
    <x v="5"/>
  </r>
  <r>
    <x v="158"/>
    <n v="180"/>
    <n v="16.5"/>
    <x v="0"/>
    <x v="1"/>
    <n v="104"/>
    <n v="168.07007395143904"/>
    <b v="0"/>
    <n v="180"/>
    <n v="17"/>
    <n v="168"/>
    <x v="4"/>
    <x v="1"/>
    <x v="5"/>
  </r>
  <r>
    <x v="158"/>
    <n v="351"/>
    <n v="16.5"/>
    <x v="0"/>
    <x v="0"/>
    <n v="200"/>
    <n v="339.49566049225399"/>
    <b v="0"/>
    <n v="351"/>
    <n v="17"/>
    <n v="339"/>
    <x v="4"/>
    <x v="1"/>
    <x v="5"/>
  </r>
  <r>
    <x v="158"/>
    <n v="3271.5"/>
    <n v="6"/>
    <x v="1"/>
    <x v="1"/>
    <n v="464"/>
    <n v="2858.5150163939256"/>
    <b v="0"/>
    <n v="3272"/>
    <n v="6"/>
    <n v="2859"/>
    <x v="4"/>
    <x v="1"/>
    <x v="5"/>
  </r>
  <r>
    <x v="158"/>
    <n v="6067.5"/>
    <n v="198"/>
    <x v="2"/>
    <x v="0"/>
    <n v="1604"/>
    <n v="5472.3141590546056"/>
    <b v="0"/>
    <n v="6068"/>
    <n v="198"/>
    <n v="5472"/>
    <x v="4"/>
    <x v="1"/>
    <x v="5"/>
  </r>
  <r>
    <x v="159"/>
    <n v="169.5"/>
    <n v="6"/>
    <x v="0"/>
    <x v="1"/>
    <n v="75"/>
    <n v="153.11602727796793"/>
    <b v="0"/>
    <n v="170"/>
    <n v="6"/>
    <n v="153"/>
    <x v="5"/>
    <x v="1"/>
    <x v="5"/>
  </r>
  <r>
    <x v="159"/>
    <n v="342"/>
    <n v="6"/>
    <x v="0"/>
    <x v="0"/>
    <n v="18"/>
    <n v="320.76909537760935"/>
    <b v="0"/>
    <n v="342"/>
    <n v="6"/>
    <n v="321"/>
    <x v="5"/>
    <x v="1"/>
    <x v="5"/>
  </r>
  <r>
    <x v="159"/>
    <n v="2637"/>
    <n v="87"/>
    <x v="1"/>
    <x v="1"/>
    <n v="1099"/>
    <n v="2358.4523180424535"/>
    <b v="0"/>
    <n v="2637"/>
    <n v="87"/>
    <n v="2358"/>
    <x v="5"/>
    <x v="1"/>
    <x v="5"/>
  </r>
  <r>
    <x v="159"/>
    <n v="3553.5"/>
    <n v="208.5"/>
    <x v="2"/>
    <x v="0"/>
    <n v="1491"/>
    <n v="3307.7169226255569"/>
    <b v="1"/>
    <n v="3554"/>
    <n v="209"/>
    <n v="3308"/>
    <x v="5"/>
    <x v="0"/>
    <x v="5"/>
  </r>
  <r>
    <x v="160"/>
    <n v="253.5"/>
    <n v="3"/>
    <x v="0"/>
    <x v="1"/>
    <n v="58"/>
    <n v="216.84331879160339"/>
    <b v="0"/>
    <n v="254"/>
    <n v="3"/>
    <n v="217"/>
    <x v="6"/>
    <x v="1"/>
    <x v="5"/>
  </r>
  <r>
    <x v="160"/>
    <n v="276"/>
    <n v="3"/>
    <x v="0"/>
    <x v="0"/>
    <n v="105"/>
    <n v="243.96934041516997"/>
    <b v="0"/>
    <n v="276"/>
    <n v="3"/>
    <n v="244"/>
    <x v="6"/>
    <x v="1"/>
    <x v="5"/>
  </r>
  <r>
    <x v="160"/>
    <n v="3016.5"/>
    <n v="142.5"/>
    <x v="1"/>
    <x v="1"/>
    <n v="1605"/>
    <n v="2648.7335942840473"/>
    <b v="0"/>
    <n v="3017"/>
    <n v="143"/>
    <n v="2649"/>
    <x v="6"/>
    <x v="1"/>
    <x v="5"/>
  </r>
  <r>
    <x v="160"/>
    <n v="6229.5"/>
    <n v="364.5"/>
    <x v="2"/>
    <x v="0"/>
    <n v="493"/>
    <n v="6001.171851942745"/>
    <b v="0"/>
    <n v="6230"/>
    <n v="365"/>
    <n v="6001"/>
    <x v="6"/>
    <x v="1"/>
    <x v="5"/>
  </r>
  <r>
    <x v="161"/>
    <n v="184.5"/>
    <n v="1.5"/>
    <x v="0"/>
    <x v="1"/>
    <n v="74"/>
    <n v="155.13622788422413"/>
    <b v="0"/>
    <n v="185"/>
    <n v="2"/>
    <n v="155"/>
    <x v="0"/>
    <x v="1"/>
    <x v="5"/>
  </r>
  <r>
    <x v="161"/>
    <n v="285"/>
    <n v="1.5"/>
    <x v="0"/>
    <x v="0"/>
    <n v="180"/>
    <n v="257.04833540960732"/>
    <b v="0"/>
    <n v="285"/>
    <n v="2"/>
    <n v="257"/>
    <x v="0"/>
    <x v="1"/>
    <x v="5"/>
  </r>
  <r>
    <x v="161"/>
    <n v="4567.5"/>
    <n v="39"/>
    <x v="1"/>
    <x v="1"/>
    <n v="852"/>
    <n v="4094.6067095775234"/>
    <b v="0"/>
    <n v="4568"/>
    <n v="39"/>
    <n v="4095"/>
    <x v="0"/>
    <x v="1"/>
    <x v="5"/>
  </r>
  <r>
    <x v="161"/>
    <n v="6310.5"/>
    <n v="163.5"/>
    <x v="2"/>
    <x v="0"/>
    <n v="4009"/>
    <n v="5815.9342626991684"/>
    <b v="0"/>
    <n v="6311"/>
    <n v="164"/>
    <n v="5816"/>
    <x v="0"/>
    <x v="1"/>
    <x v="5"/>
  </r>
  <r>
    <x v="162"/>
    <n v="351"/>
    <n v="13.5"/>
    <x v="0"/>
    <x v="0"/>
    <n v="89"/>
    <n v="317.79030308899235"/>
    <b v="0"/>
    <n v="351"/>
    <n v="14"/>
    <n v="318"/>
    <x v="1"/>
    <x v="1"/>
    <x v="5"/>
  </r>
  <r>
    <x v="162"/>
    <n v="355.5"/>
    <n v="13.5"/>
    <x v="0"/>
    <x v="1"/>
    <n v="146"/>
    <n v="323.74942179716913"/>
    <b v="0"/>
    <n v="356"/>
    <n v="14"/>
    <n v="324"/>
    <x v="1"/>
    <x v="1"/>
    <x v="5"/>
  </r>
  <r>
    <x v="162"/>
    <n v="2922"/>
    <n v="97.5"/>
    <x v="1"/>
    <x v="1"/>
    <n v="1042"/>
    <n v="2456.6345747602891"/>
    <b v="0"/>
    <n v="2922"/>
    <n v="98"/>
    <n v="2457"/>
    <x v="1"/>
    <x v="1"/>
    <x v="5"/>
  </r>
  <r>
    <x v="162"/>
    <n v="6351"/>
    <n v="163.5"/>
    <x v="2"/>
    <x v="0"/>
    <n v="681"/>
    <n v="5885.8538305076218"/>
    <b v="0"/>
    <n v="6351"/>
    <n v="164"/>
    <n v="5886"/>
    <x v="1"/>
    <x v="1"/>
    <x v="5"/>
  </r>
  <r>
    <x v="163"/>
    <n v="780"/>
    <n v="61.5"/>
    <x v="0"/>
    <x v="1"/>
    <n v="26"/>
    <n v="747.49597944592858"/>
    <b v="0"/>
    <n v="780"/>
    <n v="62"/>
    <n v="747"/>
    <x v="2"/>
    <x v="1"/>
    <x v="5"/>
  </r>
  <r>
    <x v="163"/>
    <n v="1008"/>
    <n v="61.5"/>
    <x v="0"/>
    <x v="0"/>
    <n v="290"/>
    <n v="956.71589025732862"/>
    <b v="0"/>
    <n v="1008"/>
    <n v="62"/>
    <n v="957"/>
    <x v="2"/>
    <x v="1"/>
    <x v="5"/>
  </r>
  <r>
    <x v="163"/>
    <n v="1653"/>
    <n v="49.5"/>
    <x v="1"/>
    <x v="1"/>
    <n v="156"/>
    <n v="1467.3236499222069"/>
    <b v="0"/>
    <n v="1653"/>
    <n v="50"/>
    <n v="1467"/>
    <x v="2"/>
    <x v="1"/>
    <x v="5"/>
  </r>
  <r>
    <x v="163"/>
    <n v="6232.5"/>
    <n v="292.5"/>
    <x v="2"/>
    <x v="0"/>
    <n v="98"/>
    <n v="5750.9682251727636"/>
    <b v="0"/>
    <n v="6233"/>
    <n v="293"/>
    <n v="5751"/>
    <x v="2"/>
    <x v="1"/>
    <x v="5"/>
  </r>
  <r>
    <x v="164"/>
    <n v="784.5"/>
    <n v="43.5"/>
    <x v="0"/>
    <x v="1"/>
    <n v="97"/>
    <n v="712.29854731515513"/>
    <b v="0"/>
    <n v="785"/>
    <n v="44"/>
    <n v="712"/>
    <x v="3"/>
    <x v="1"/>
    <x v="5"/>
  </r>
  <r>
    <x v="164"/>
    <n v="990"/>
    <n v="43.5"/>
    <x v="0"/>
    <x v="0"/>
    <n v="571"/>
    <n v="958.95582393056543"/>
    <b v="0"/>
    <n v="990"/>
    <n v="44"/>
    <n v="959"/>
    <x v="3"/>
    <x v="1"/>
    <x v="5"/>
  </r>
  <r>
    <x v="164"/>
    <n v="2302.5"/>
    <n v="54"/>
    <x v="1"/>
    <x v="1"/>
    <n v="1067"/>
    <n v="1999.5895831781891"/>
    <b v="0"/>
    <n v="2303"/>
    <n v="54"/>
    <n v="2000"/>
    <x v="3"/>
    <x v="1"/>
    <x v="5"/>
  </r>
  <r>
    <x v="164"/>
    <n v="5565"/>
    <n v="315"/>
    <x v="2"/>
    <x v="0"/>
    <n v="588"/>
    <n v="5225.460364445642"/>
    <b v="0"/>
    <n v="5565"/>
    <n v="315"/>
    <n v="5225"/>
    <x v="3"/>
    <x v="1"/>
    <x v="5"/>
  </r>
  <r>
    <x v="165"/>
    <n v="976.5"/>
    <n v="1.5"/>
    <x v="1"/>
    <x v="1"/>
    <n v="558"/>
    <n v="867.99241872000175"/>
    <b v="0"/>
    <n v="977"/>
    <n v="2"/>
    <n v="868"/>
    <x v="4"/>
    <x v="1"/>
    <x v="5"/>
  </r>
  <r>
    <x v="165"/>
    <n v="1132.5"/>
    <n v="37.5"/>
    <x v="0"/>
    <x v="0"/>
    <n v="30"/>
    <n v="1025.40715767762"/>
    <b v="0"/>
    <n v="1133"/>
    <n v="38"/>
    <n v="1025"/>
    <x v="4"/>
    <x v="1"/>
    <x v="5"/>
  </r>
  <r>
    <x v="165"/>
    <n v="1144.5"/>
    <n v="37.5"/>
    <x v="0"/>
    <x v="1"/>
    <n v="446"/>
    <n v="968.03089230393857"/>
    <b v="0"/>
    <n v="1145"/>
    <n v="38"/>
    <n v="968"/>
    <x v="4"/>
    <x v="1"/>
    <x v="5"/>
  </r>
  <r>
    <x v="165"/>
    <n v="4702.5"/>
    <n v="181.5"/>
    <x v="2"/>
    <x v="0"/>
    <n v="3122"/>
    <n v="4481.5694035632432"/>
    <b v="0"/>
    <n v="4703"/>
    <n v="182"/>
    <n v="4482"/>
    <x v="4"/>
    <x v="1"/>
    <x v="5"/>
  </r>
  <r>
    <x v="166"/>
    <n v="466.5"/>
    <n v="1.5"/>
    <x v="0"/>
    <x v="1"/>
    <n v="100"/>
    <n v="410.41377189502236"/>
    <b v="0"/>
    <n v="467"/>
    <n v="2"/>
    <n v="410"/>
    <x v="5"/>
    <x v="1"/>
    <x v="5"/>
  </r>
  <r>
    <x v="166"/>
    <n v="1012.5"/>
    <n v="1.5"/>
    <x v="0"/>
    <x v="0"/>
    <n v="378"/>
    <n v="935.04948230774733"/>
    <b v="0"/>
    <n v="1013"/>
    <n v="2"/>
    <n v="935"/>
    <x v="5"/>
    <x v="1"/>
    <x v="5"/>
  </r>
  <r>
    <x v="166"/>
    <n v="1513.5"/>
    <n v="66"/>
    <x v="1"/>
    <x v="1"/>
    <n v="834"/>
    <n v="1320.1242424251386"/>
    <b v="0"/>
    <n v="1514"/>
    <n v="66"/>
    <n v="1320"/>
    <x v="5"/>
    <x v="1"/>
    <x v="5"/>
  </r>
  <r>
    <x v="166"/>
    <n v="4302"/>
    <n v="115.5"/>
    <x v="2"/>
    <x v="0"/>
    <n v="2080"/>
    <n v="3874.5286896243861"/>
    <b v="0"/>
    <n v="4302"/>
    <n v="116"/>
    <n v="3875"/>
    <x v="5"/>
    <x v="1"/>
    <x v="5"/>
  </r>
  <r>
    <x v="167"/>
    <n v="441"/>
    <n v="51"/>
    <x v="0"/>
    <x v="1"/>
    <n v="158"/>
    <n v="433.84326014503222"/>
    <b v="0"/>
    <n v="441"/>
    <n v="51"/>
    <n v="434"/>
    <x v="6"/>
    <x v="1"/>
    <x v="5"/>
  </r>
  <r>
    <x v="167"/>
    <n v="976.5"/>
    <n v="51"/>
    <x v="0"/>
    <x v="0"/>
    <n v="470"/>
    <n v="957.90056589512483"/>
    <b v="0"/>
    <n v="977"/>
    <n v="51"/>
    <n v="958"/>
    <x v="6"/>
    <x v="1"/>
    <x v="5"/>
  </r>
  <r>
    <x v="167"/>
    <n v="1134"/>
    <n v="24"/>
    <x v="1"/>
    <x v="1"/>
    <n v="430"/>
    <n v="974.99171628786871"/>
    <b v="0"/>
    <n v="1134"/>
    <n v="24"/>
    <n v="975"/>
    <x v="6"/>
    <x v="1"/>
    <x v="5"/>
  </r>
  <r>
    <x v="167"/>
    <n v="3453"/>
    <n v="25.5"/>
    <x v="2"/>
    <x v="0"/>
    <n v="2005"/>
    <n v="3173.482978117217"/>
    <b v="0"/>
    <n v="3453"/>
    <n v="26"/>
    <n v="3173"/>
    <x v="6"/>
    <x v="1"/>
    <x v="5"/>
  </r>
  <r>
    <x v="168"/>
    <n v="727.5"/>
    <n v="27"/>
    <x v="0"/>
    <x v="1"/>
    <n v="431"/>
    <n v="628.47594130658399"/>
    <b v="0"/>
    <n v="728"/>
    <n v="27"/>
    <n v="628"/>
    <x v="0"/>
    <x v="1"/>
    <x v="5"/>
  </r>
  <r>
    <x v="168"/>
    <n v="814.5"/>
    <n v="10.5"/>
    <x v="1"/>
    <x v="1"/>
    <n v="445"/>
    <n v="700.62631738468792"/>
    <b v="0"/>
    <n v="815"/>
    <n v="11"/>
    <n v="701"/>
    <x v="0"/>
    <x v="1"/>
    <x v="5"/>
  </r>
  <r>
    <x v="168"/>
    <n v="1287"/>
    <n v="27"/>
    <x v="0"/>
    <x v="0"/>
    <n v="385"/>
    <n v="1169.4095999829042"/>
    <b v="0"/>
    <n v="1287"/>
    <n v="27"/>
    <n v="1169"/>
    <x v="0"/>
    <x v="1"/>
    <x v="5"/>
  </r>
  <r>
    <x v="168"/>
    <n v="3948"/>
    <n v="204"/>
    <x v="2"/>
    <x v="0"/>
    <n v="2087"/>
    <n v="3796.3087334102988"/>
    <b v="0"/>
    <n v="3948"/>
    <n v="204"/>
    <n v="3796"/>
    <x v="0"/>
    <x v="1"/>
    <x v="5"/>
  </r>
  <r>
    <x v="169"/>
    <n v="1414.5"/>
    <n v="9"/>
    <x v="1"/>
    <x v="1"/>
    <n v="800"/>
    <n v="1214.3500643432446"/>
    <b v="1"/>
    <n v="1415"/>
    <n v="9"/>
    <n v="1214"/>
    <x v="1"/>
    <x v="0"/>
    <x v="5"/>
  </r>
  <r>
    <x v="169"/>
    <n v="1423.5"/>
    <n v="78"/>
    <x v="0"/>
    <x v="0"/>
    <n v="323"/>
    <n v="1398.8811284201333"/>
    <b v="1"/>
    <n v="1424"/>
    <n v="78"/>
    <n v="1399"/>
    <x v="1"/>
    <x v="0"/>
    <x v="5"/>
  </r>
  <r>
    <x v="169"/>
    <n v="1728"/>
    <n v="78"/>
    <x v="0"/>
    <x v="1"/>
    <n v="351"/>
    <n v="1574.8558126798905"/>
    <b v="1"/>
    <n v="1728"/>
    <n v="78"/>
    <n v="1575"/>
    <x v="1"/>
    <x v="0"/>
    <x v="5"/>
  </r>
  <r>
    <x v="169"/>
    <n v="4867.5"/>
    <n v="204"/>
    <x v="2"/>
    <x v="0"/>
    <n v="2413"/>
    <n v="4720.044749645529"/>
    <b v="1"/>
    <n v="4868"/>
    <n v="204"/>
    <n v="4720"/>
    <x v="1"/>
    <x v="0"/>
    <x v="5"/>
  </r>
  <r>
    <x v="170"/>
    <n v="1050"/>
    <n v="49.5"/>
    <x v="0"/>
    <x v="1"/>
    <n v="110"/>
    <n v="938.77303907041482"/>
    <b v="0"/>
    <n v="1050"/>
    <n v="50"/>
    <n v="939"/>
    <x v="2"/>
    <x v="1"/>
    <x v="5"/>
  </r>
  <r>
    <x v="170"/>
    <n v="1201.5"/>
    <n v="10.5"/>
    <x v="1"/>
    <x v="1"/>
    <n v="784"/>
    <n v="983.64338426873246"/>
    <b v="0"/>
    <n v="1202"/>
    <n v="11"/>
    <n v="984"/>
    <x v="2"/>
    <x v="1"/>
    <x v="5"/>
  </r>
  <r>
    <x v="170"/>
    <n v="1276.5"/>
    <n v="49.5"/>
    <x v="0"/>
    <x v="0"/>
    <n v="785"/>
    <n v="1165.5798171671906"/>
    <b v="0"/>
    <n v="1277"/>
    <n v="50"/>
    <n v="1166"/>
    <x v="2"/>
    <x v="1"/>
    <x v="5"/>
  </r>
  <r>
    <x v="170"/>
    <n v="5281.5"/>
    <n v="114"/>
    <x v="2"/>
    <x v="0"/>
    <n v="1279"/>
    <n v="4791.905883338939"/>
    <b v="0"/>
    <n v="5282"/>
    <n v="114"/>
    <n v="4792"/>
    <x v="2"/>
    <x v="1"/>
    <x v="5"/>
  </r>
  <r>
    <x v="171"/>
    <n v="1.5"/>
    <n v="0"/>
    <x v="1"/>
    <x v="0"/>
    <n v="1"/>
    <n v="1.3460573054138971"/>
    <b v="1"/>
    <n v="2"/>
    <n v="0"/>
    <n v="1"/>
    <x v="3"/>
    <x v="0"/>
    <x v="5"/>
  </r>
  <r>
    <x v="171"/>
    <n v="724.5"/>
    <n v="12"/>
    <x v="0"/>
    <x v="1"/>
    <n v="169"/>
    <n v="619.30561296531778"/>
    <b v="1"/>
    <n v="725"/>
    <n v="12"/>
    <n v="619"/>
    <x v="3"/>
    <x v="0"/>
    <x v="5"/>
  </r>
  <r>
    <x v="171"/>
    <n v="1011"/>
    <n v="12"/>
    <x v="0"/>
    <x v="0"/>
    <n v="7"/>
    <n v="920.7951553978246"/>
    <b v="1"/>
    <n v="1011"/>
    <n v="12"/>
    <n v="921"/>
    <x v="3"/>
    <x v="0"/>
    <x v="5"/>
  </r>
  <r>
    <x v="171"/>
    <n v="1599"/>
    <n v="79.5"/>
    <x v="1"/>
    <x v="1"/>
    <n v="979"/>
    <n v="1478.3192144294699"/>
    <b v="1"/>
    <n v="1599"/>
    <n v="80"/>
    <n v="1478"/>
    <x v="3"/>
    <x v="0"/>
    <x v="5"/>
  </r>
  <r>
    <x v="171"/>
    <n v="5817"/>
    <n v="52.5"/>
    <x v="2"/>
    <x v="0"/>
    <n v="3560"/>
    <n v="5496.6146776342657"/>
    <b v="1"/>
    <n v="5817"/>
    <n v="53"/>
    <n v="5497"/>
    <x v="3"/>
    <x v="0"/>
    <x v="5"/>
  </r>
  <r>
    <x v="172"/>
    <n v="934.5"/>
    <n v="39"/>
    <x v="0"/>
    <x v="1"/>
    <n v="602"/>
    <n v="845.88195568269782"/>
    <b v="1"/>
    <n v="935"/>
    <n v="39"/>
    <n v="846"/>
    <x v="4"/>
    <x v="0"/>
    <x v="5"/>
  </r>
  <r>
    <x v="172"/>
    <n v="1210.5"/>
    <n v="39"/>
    <x v="0"/>
    <x v="0"/>
    <n v="345"/>
    <n v="1136.8940805574239"/>
    <b v="1"/>
    <n v="1211"/>
    <n v="39"/>
    <n v="1137"/>
    <x v="4"/>
    <x v="0"/>
    <x v="5"/>
  </r>
  <r>
    <x v="172"/>
    <n v="2059.5"/>
    <n v="36"/>
    <x v="1"/>
    <x v="1"/>
    <n v="732"/>
    <n v="1817.7658724270916"/>
    <b v="1"/>
    <n v="2060"/>
    <n v="36"/>
    <n v="1818"/>
    <x v="4"/>
    <x v="0"/>
    <x v="5"/>
  </r>
  <r>
    <x v="172"/>
    <n v="6358.5"/>
    <n v="90"/>
    <x v="2"/>
    <x v="0"/>
    <n v="2817"/>
    <n v="6017.1798035339125"/>
    <b v="1"/>
    <n v="6359"/>
    <n v="90"/>
    <n v="6017"/>
    <x v="4"/>
    <x v="0"/>
    <x v="5"/>
  </r>
  <r>
    <x v="173"/>
    <n v="1.5"/>
    <n v="0"/>
    <x v="2"/>
    <x v="1"/>
    <n v="1"/>
    <n v="1.2078096001777801"/>
    <b v="0"/>
    <n v="2"/>
    <n v="0"/>
    <n v="1"/>
    <x v="5"/>
    <x v="1"/>
    <x v="5"/>
  </r>
  <r>
    <x v="173"/>
    <n v="1717.5"/>
    <n v="3"/>
    <x v="0"/>
    <x v="1"/>
    <n v="267"/>
    <n v="1525.5589497487288"/>
    <b v="0"/>
    <n v="1718"/>
    <n v="3"/>
    <n v="1526"/>
    <x v="5"/>
    <x v="1"/>
    <x v="5"/>
  </r>
  <r>
    <x v="173"/>
    <n v="1971"/>
    <n v="33"/>
    <x v="1"/>
    <x v="1"/>
    <n v="789"/>
    <n v="1690.4657439145421"/>
    <b v="0"/>
    <n v="1971"/>
    <n v="33"/>
    <n v="1690"/>
    <x v="5"/>
    <x v="1"/>
    <x v="5"/>
  </r>
  <r>
    <x v="173"/>
    <n v="2160"/>
    <n v="3"/>
    <x v="0"/>
    <x v="0"/>
    <n v="1131"/>
    <n v="1887.189999183116"/>
    <b v="0"/>
    <n v="2160"/>
    <n v="3"/>
    <n v="1887"/>
    <x v="5"/>
    <x v="1"/>
    <x v="5"/>
  </r>
  <r>
    <x v="173"/>
    <n v="4959"/>
    <n v="309"/>
    <x v="2"/>
    <x v="0"/>
    <n v="3211"/>
    <n v="4673.7380043385938"/>
    <b v="0"/>
    <n v="4959"/>
    <n v="309"/>
    <n v="4674"/>
    <x v="5"/>
    <x v="1"/>
    <x v="5"/>
  </r>
  <r>
    <x v="174"/>
    <n v="1359"/>
    <n v="106.5"/>
    <x v="0"/>
    <x v="1"/>
    <n v="853"/>
    <n v="1191.5980590266593"/>
    <b v="0"/>
    <n v="1359"/>
    <n v="107"/>
    <n v="1192"/>
    <x v="6"/>
    <x v="1"/>
    <x v="5"/>
  </r>
  <r>
    <x v="174"/>
    <n v="1756.5"/>
    <n v="106.5"/>
    <x v="0"/>
    <x v="0"/>
    <n v="949"/>
    <n v="1689.1398139997716"/>
    <b v="0"/>
    <n v="1757"/>
    <n v="107"/>
    <n v="1689"/>
    <x v="6"/>
    <x v="1"/>
    <x v="5"/>
  </r>
  <r>
    <x v="174"/>
    <n v="2311.5"/>
    <n v="30"/>
    <x v="1"/>
    <x v="1"/>
    <n v="818"/>
    <n v="1912.1670173148714"/>
    <b v="0"/>
    <n v="2312"/>
    <n v="30"/>
    <n v="1912"/>
    <x v="6"/>
    <x v="1"/>
    <x v="5"/>
  </r>
  <r>
    <x v="174"/>
    <n v="5232"/>
    <n v="297"/>
    <x v="2"/>
    <x v="0"/>
    <n v="2488"/>
    <n v="4963.4991910326544"/>
    <b v="0"/>
    <n v="5232"/>
    <n v="297"/>
    <n v="4963"/>
    <x v="6"/>
    <x v="1"/>
    <x v="5"/>
  </r>
  <r>
    <x v="175"/>
    <n v="1.5"/>
    <n v="0"/>
    <x v="2"/>
    <x v="1"/>
    <n v="1"/>
    <n v="1.2595663485269071"/>
    <b v="0"/>
    <n v="2"/>
    <n v="0"/>
    <n v="1"/>
    <x v="0"/>
    <x v="1"/>
    <x v="5"/>
  </r>
  <r>
    <x v="175"/>
    <n v="1287"/>
    <n v="75"/>
    <x v="0"/>
    <x v="1"/>
    <n v="460"/>
    <n v="1122.3105857666906"/>
    <b v="0"/>
    <n v="1287"/>
    <n v="75"/>
    <n v="1122"/>
    <x v="0"/>
    <x v="1"/>
    <x v="5"/>
  </r>
  <r>
    <x v="175"/>
    <n v="1690.5"/>
    <n v="63"/>
    <x v="1"/>
    <x v="1"/>
    <n v="1038"/>
    <n v="1476.0164487159254"/>
    <b v="0"/>
    <n v="1691"/>
    <n v="63"/>
    <n v="1476"/>
    <x v="0"/>
    <x v="1"/>
    <x v="5"/>
  </r>
  <r>
    <x v="175"/>
    <n v="1797"/>
    <n v="75"/>
    <x v="0"/>
    <x v="0"/>
    <n v="604"/>
    <n v="1707.3181217944239"/>
    <b v="0"/>
    <n v="1797"/>
    <n v="75"/>
    <n v="1707"/>
    <x v="0"/>
    <x v="1"/>
    <x v="5"/>
  </r>
  <r>
    <x v="175"/>
    <n v="3903"/>
    <n v="261"/>
    <x v="2"/>
    <x v="0"/>
    <n v="1485"/>
    <n v="3633.5822396668295"/>
    <b v="0"/>
    <n v="3903"/>
    <n v="261"/>
    <n v="3634"/>
    <x v="0"/>
    <x v="1"/>
    <x v="5"/>
  </r>
  <r>
    <x v="176"/>
    <n v="1198.5"/>
    <n v="34.5"/>
    <x v="1"/>
    <x v="1"/>
    <n v="646"/>
    <n v="993.32813018617412"/>
    <b v="1"/>
    <n v="1199"/>
    <n v="35"/>
    <n v="993"/>
    <x v="1"/>
    <x v="0"/>
    <x v="5"/>
  </r>
  <r>
    <x v="176"/>
    <n v="1444.5"/>
    <n v="9"/>
    <x v="0"/>
    <x v="0"/>
    <n v="856"/>
    <n v="1290.6121397176239"/>
    <b v="0"/>
    <n v="1445"/>
    <n v="9"/>
    <n v="1291"/>
    <x v="1"/>
    <x v="1"/>
    <x v="5"/>
  </r>
  <r>
    <x v="176"/>
    <n v="1656"/>
    <n v="9"/>
    <x v="0"/>
    <x v="1"/>
    <n v="572"/>
    <n v="1361.560437159673"/>
    <b v="0"/>
    <n v="1656"/>
    <n v="9"/>
    <n v="1362"/>
    <x v="1"/>
    <x v="1"/>
    <x v="5"/>
  </r>
  <r>
    <x v="176"/>
    <n v="4438.5"/>
    <n v="99"/>
    <x v="2"/>
    <x v="0"/>
    <n v="2801"/>
    <n v="4141.1903522666389"/>
    <b v="0"/>
    <n v="4439"/>
    <n v="99"/>
    <n v="4141"/>
    <x v="1"/>
    <x v="1"/>
    <x v="5"/>
  </r>
  <r>
    <x v="177"/>
    <n v="1234.5"/>
    <n v="42"/>
    <x v="0"/>
    <x v="1"/>
    <n v="660"/>
    <n v="1101.8626961746011"/>
    <b v="0"/>
    <n v="1235"/>
    <n v="42"/>
    <n v="1102"/>
    <x v="2"/>
    <x v="1"/>
    <x v="5"/>
  </r>
  <r>
    <x v="177"/>
    <n v="1368"/>
    <n v="42"/>
    <x v="0"/>
    <x v="0"/>
    <n v="650"/>
    <n v="1291.4960140630665"/>
    <b v="0"/>
    <n v="1368"/>
    <n v="42"/>
    <n v="1291"/>
    <x v="2"/>
    <x v="1"/>
    <x v="5"/>
  </r>
  <r>
    <x v="177"/>
    <n v="1893"/>
    <n v="15"/>
    <x v="1"/>
    <x v="1"/>
    <n v="587"/>
    <n v="1589.6814605482871"/>
    <b v="0"/>
    <n v="1893"/>
    <n v="15"/>
    <n v="1590"/>
    <x v="2"/>
    <x v="1"/>
    <x v="5"/>
  </r>
  <r>
    <x v="177"/>
    <n v="5145"/>
    <n v="306"/>
    <x v="2"/>
    <x v="0"/>
    <n v="2626"/>
    <n v="4975.756814552291"/>
    <b v="0"/>
    <n v="5145"/>
    <n v="306"/>
    <n v="4976"/>
    <x v="2"/>
    <x v="1"/>
    <x v="5"/>
  </r>
  <r>
    <x v="178"/>
    <n v="732"/>
    <n v="24"/>
    <x v="0"/>
    <x v="1"/>
    <n v="394"/>
    <n v="652.08362879567073"/>
    <b v="0"/>
    <n v="732"/>
    <n v="24"/>
    <n v="652"/>
    <x v="3"/>
    <x v="1"/>
    <x v="5"/>
  </r>
  <r>
    <x v="178"/>
    <n v="1065"/>
    <n v="24"/>
    <x v="0"/>
    <x v="0"/>
    <n v="449"/>
    <n v="961.37744380317861"/>
    <b v="0"/>
    <n v="1065"/>
    <n v="24"/>
    <n v="961"/>
    <x v="3"/>
    <x v="1"/>
    <x v="5"/>
  </r>
  <r>
    <x v="178"/>
    <n v="2953.5"/>
    <n v="90"/>
    <x v="1"/>
    <x v="1"/>
    <n v="1536"/>
    <n v="2478.9630644379858"/>
    <b v="0"/>
    <n v="2954"/>
    <n v="90"/>
    <n v="2479"/>
    <x v="3"/>
    <x v="1"/>
    <x v="5"/>
  </r>
  <r>
    <x v="178"/>
    <n v="6687"/>
    <n v="163.5"/>
    <x v="2"/>
    <x v="0"/>
    <n v="659"/>
    <n v="6003.9662945160308"/>
    <b v="0"/>
    <n v="6687"/>
    <n v="164"/>
    <n v="6004"/>
    <x v="3"/>
    <x v="1"/>
    <x v="5"/>
  </r>
  <r>
    <x v="179"/>
    <n v="1335"/>
    <n v="3"/>
    <x v="0"/>
    <x v="1"/>
    <n v="694"/>
    <n v="1153.4660113991524"/>
    <b v="0"/>
    <n v="1335"/>
    <n v="3"/>
    <n v="1153"/>
    <x v="4"/>
    <x v="1"/>
    <x v="5"/>
  </r>
  <r>
    <x v="179"/>
    <n v="1716"/>
    <n v="3"/>
    <x v="0"/>
    <x v="0"/>
    <n v="96"/>
    <n v="1570.2264159967765"/>
    <b v="0"/>
    <n v="1716"/>
    <n v="3"/>
    <n v="1570"/>
    <x v="4"/>
    <x v="1"/>
    <x v="5"/>
  </r>
  <r>
    <x v="179"/>
    <n v="1924.5"/>
    <n v="7.5"/>
    <x v="1"/>
    <x v="1"/>
    <n v="167"/>
    <n v="1575.5484160131177"/>
    <b v="0"/>
    <n v="1925"/>
    <n v="8"/>
    <n v="1576"/>
    <x v="4"/>
    <x v="1"/>
    <x v="5"/>
  </r>
  <r>
    <x v="179"/>
    <n v="6238.5"/>
    <n v="117"/>
    <x v="2"/>
    <x v="0"/>
    <n v="3593"/>
    <n v="5958.1235824406085"/>
    <b v="0"/>
    <n v="6239"/>
    <n v="117"/>
    <n v="5958"/>
    <x v="4"/>
    <x v="1"/>
    <x v="5"/>
  </r>
  <r>
    <x v="180"/>
    <n v="1830"/>
    <n v="66"/>
    <x v="0"/>
    <x v="1"/>
    <n v="739"/>
    <n v="1590.3778835420555"/>
    <b v="0"/>
    <n v="1830"/>
    <n v="66"/>
    <n v="1590"/>
    <x v="5"/>
    <x v="1"/>
    <x v="5"/>
  </r>
  <r>
    <x v="180"/>
    <n v="2340"/>
    <n v="66"/>
    <x v="0"/>
    <x v="0"/>
    <n v="1403"/>
    <n v="2181.225453806027"/>
    <b v="0"/>
    <n v="2340"/>
    <n v="66"/>
    <n v="2181"/>
    <x v="5"/>
    <x v="1"/>
    <x v="5"/>
  </r>
  <r>
    <x v="180"/>
    <n v="3064.5"/>
    <n v="64.5"/>
    <x v="1"/>
    <x v="1"/>
    <n v="1219"/>
    <n v="2709.3767641481336"/>
    <b v="0"/>
    <n v="3065"/>
    <n v="65"/>
    <n v="2709"/>
    <x v="5"/>
    <x v="1"/>
    <x v="5"/>
  </r>
  <r>
    <x v="180"/>
    <n v="6133.5"/>
    <n v="234"/>
    <x v="2"/>
    <x v="0"/>
    <n v="161"/>
    <n v="5783.2083861298297"/>
    <b v="0"/>
    <n v="6134"/>
    <n v="234"/>
    <n v="5783"/>
    <x v="5"/>
    <x v="1"/>
    <x v="5"/>
  </r>
  <r>
    <x v="181"/>
    <n v="1615.5"/>
    <n v="46.5"/>
    <x v="0"/>
    <x v="1"/>
    <n v="49"/>
    <n v="1428.7069557064265"/>
    <b v="0"/>
    <n v="1616"/>
    <n v="47"/>
    <n v="1429"/>
    <x v="6"/>
    <x v="1"/>
    <x v="5"/>
  </r>
  <r>
    <x v="181"/>
    <n v="2100"/>
    <n v="46.5"/>
    <x v="0"/>
    <x v="0"/>
    <n v="579"/>
    <n v="1924.9770721872583"/>
    <b v="0"/>
    <n v="2100"/>
    <n v="47"/>
    <n v="1925"/>
    <x v="6"/>
    <x v="1"/>
    <x v="5"/>
  </r>
  <r>
    <x v="181"/>
    <n v="2787"/>
    <n v="112.5"/>
    <x v="1"/>
    <x v="1"/>
    <n v="1753"/>
    <n v="2420.8576733563923"/>
    <b v="0"/>
    <n v="2787"/>
    <n v="113"/>
    <n v="2421"/>
    <x v="6"/>
    <x v="1"/>
    <x v="5"/>
  </r>
  <r>
    <x v="181"/>
    <n v="6975"/>
    <n v="337.5"/>
    <x v="2"/>
    <x v="0"/>
    <n v="4490"/>
    <n v="6654.4241706314406"/>
    <b v="0"/>
    <n v="6975"/>
    <n v="338"/>
    <n v="6654"/>
    <x v="6"/>
    <x v="1"/>
    <x v="5"/>
  </r>
  <r>
    <x v="182"/>
    <n v="1834.5"/>
    <n v="64.5"/>
    <x v="0"/>
    <x v="1"/>
    <n v="504"/>
    <n v="1640.8391494148252"/>
    <b v="0"/>
    <n v="1835"/>
    <n v="65"/>
    <n v="1641"/>
    <x v="0"/>
    <x v="1"/>
    <x v="6"/>
  </r>
  <r>
    <x v="182"/>
    <n v="2128.5"/>
    <n v="64.5"/>
    <x v="0"/>
    <x v="0"/>
    <n v="231"/>
    <n v="2018.2434256759209"/>
    <b v="0"/>
    <n v="2129"/>
    <n v="65"/>
    <n v="2018"/>
    <x v="0"/>
    <x v="1"/>
    <x v="6"/>
  </r>
  <r>
    <x v="182"/>
    <n v="2898"/>
    <n v="37.5"/>
    <x v="1"/>
    <x v="1"/>
    <n v="269"/>
    <n v="2501.353492895038"/>
    <b v="0"/>
    <n v="2898"/>
    <n v="38"/>
    <n v="2501"/>
    <x v="0"/>
    <x v="1"/>
    <x v="6"/>
  </r>
  <r>
    <x v="182"/>
    <n v="5919"/>
    <n v="393"/>
    <x v="2"/>
    <x v="0"/>
    <n v="2154"/>
    <n v="5668.4580167133327"/>
    <b v="0"/>
    <n v="5919"/>
    <n v="393"/>
    <n v="5668"/>
    <x v="0"/>
    <x v="1"/>
    <x v="6"/>
  </r>
  <r>
    <x v="183"/>
    <n v="1041"/>
    <n v="9"/>
    <x v="0"/>
    <x v="1"/>
    <n v="324"/>
    <n v="895.4078581172339"/>
    <b v="0"/>
    <n v="1041"/>
    <n v="9"/>
    <n v="895"/>
    <x v="1"/>
    <x v="1"/>
    <x v="6"/>
  </r>
  <r>
    <x v="183"/>
    <n v="1618.5"/>
    <n v="9"/>
    <x v="0"/>
    <x v="0"/>
    <n v="1028"/>
    <n v="1493.7089323100017"/>
    <b v="0"/>
    <n v="1619"/>
    <n v="9"/>
    <n v="1494"/>
    <x v="1"/>
    <x v="1"/>
    <x v="6"/>
  </r>
  <r>
    <x v="183"/>
    <n v="4231.5"/>
    <n v="112.5"/>
    <x v="1"/>
    <x v="1"/>
    <n v="14"/>
    <n v="3500.2296377386883"/>
    <b v="0"/>
    <n v="4232"/>
    <n v="113"/>
    <n v="3500"/>
    <x v="1"/>
    <x v="1"/>
    <x v="6"/>
  </r>
  <r>
    <x v="183"/>
    <n v="4960.5"/>
    <n v="306"/>
    <x v="2"/>
    <x v="0"/>
    <n v="3102"/>
    <n v="4805.7443047495626"/>
    <b v="0"/>
    <n v="4961"/>
    <n v="306"/>
    <n v="4806"/>
    <x v="1"/>
    <x v="1"/>
    <x v="6"/>
  </r>
  <r>
    <x v="184"/>
    <n v="1552.5"/>
    <n v="66"/>
    <x v="0"/>
    <x v="1"/>
    <n v="152"/>
    <n v="1433.1009897111794"/>
    <b v="1"/>
    <n v="1553"/>
    <n v="66"/>
    <n v="1433"/>
    <x v="2"/>
    <x v="0"/>
    <x v="6"/>
  </r>
  <r>
    <x v="184"/>
    <n v="1603.5"/>
    <n v="66"/>
    <x v="0"/>
    <x v="0"/>
    <n v="776"/>
    <n v="1458.4258410284906"/>
    <b v="1"/>
    <n v="1604"/>
    <n v="66"/>
    <n v="1458"/>
    <x v="2"/>
    <x v="0"/>
    <x v="6"/>
  </r>
  <r>
    <x v="184"/>
    <n v="2103"/>
    <n v="16.5"/>
    <x v="1"/>
    <x v="1"/>
    <n v="1127"/>
    <n v="1860.7872339317137"/>
    <b v="1"/>
    <n v="2103"/>
    <n v="17"/>
    <n v="1861"/>
    <x v="2"/>
    <x v="0"/>
    <x v="6"/>
  </r>
  <r>
    <x v="184"/>
    <n v="4642.5"/>
    <n v="228"/>
    <x v="2"/>
    <x v="0"/>
    <n v="2909"/>
    <n v="4451.0968304557546"/>
    <b v="1"/>
    <n v="4643"/>
    <n v="228"/>
    <n v="4451"/>
    <x v="2"/>
    <x v="0"/>
    <x v="6"/>
  </r>
  <r>
    <x v="185"/>
    <n v="1054.5"/>
    <n v="46.5"/>
    <x v="0"/>
    <x v="1"/>
    <n v="490"/>
    <n v="917.03417595674739"/>
    <b v="1"/>
    <n v="1055"/>
    <n v="47"/>
    <n v="917"/>
    <x v="3"/>
    <x v="0"/>
    <x v="6"/>
  </r>
  <r>
    <x v="185"/>
    <n v="1309.5"/>
    <n v="46.5"/>
    <x v="0"/>
    <x v="0"/>
    <n v="376"/>
    <n v="1229.8206474597962"/>
    <b v="1"/>
    <n v="1310"/>
    <n v="47"/>
    <n v="1230"/>
    <x v="3"/>
    <x v="0"/>
    <x v="6"/>
  </r>
  <r>
    <x v="185"/>
    <n v="2517"/>
    <n v="28.5"/>
    <x v="1"/>
    <x v="1"/>
    <n v="1416"/>
    <n v="2216.9338893226486"/>
    <b v="1"/>
    <n v="2517"/>
    <n v="29"/>
    <n v="2217"/>
    <x v="3"/>
    <x v="0"/>
    <x v="6"/>
  </r>
  <r>
    <x v="185"/>
    <n v="5728.5"/>
    <n v="133.5"/>
    <x v="2"/>
    <x v="0"/>
    <n v="1004"/>
    <n v="5393.7372531698556"/>
    <b v="1"/>
    <n v="5729"/>
    <n v="134"/>
    <n v="5394"/>
    <x v="3"/>
    <x v="0"/>
    <x v="6"/>
  </r>
  <r>
    <x v="186"/>
    <n v="1042.5"/>
    <n v="52.5"/>
    <x v="0"/>
    <x v="1"/>
    <n v="17"/>
    <n v="952.53051915072353"/>
    <b v="0"/>
    <n v="1043"/>
    <n v="53"/>
    <n v="953"/>
    <x v="4"/>
    <x v="1"/>
    <x v="6"/>
  </r>
  <r>
    <x v="186"/>
    <n v="1228.5"/>
    <n v="52.5"/>
    <x v="0"/>
    <x v="0"/>
    <n v="327"/>
    <n v="1128.0893985366381"/>
    <b v="0"/>
    <n v="1229"/>
    <n v="53"/>
    <n v="1128"/>
    <x v="4"/>
    <x v="1"/>
    <x v="6"/>
  </r>
  <r>
    <x v="186"/>
    <n v="2253"/>
    <n v="3"/>
    <x v="1"/>
    <x v="1"/>
    <n v="368"/>
    <n v="1855.4485418163051"/>
    <b v="0"/>
    <n v="2253"/>
    <n v="3"/>
    <n v="1855"/>
    <x v="4"/>
    <x v="1"/>
    <x v="6"/>
  </r>
  <r>
    <x v="186"/>
    <n v="5593.5"/>
    <n v="286.5"/>
    <x v="2"/>
    <x v="0"/>
    <n v="774"/>
    <n v="5285.9244258330891"/>
    <b v="0"/>
    <n v="5594"/>
    <n v="287"/>
    <n v="5286"/>
    <x v="4"/>
    <x v="1"/>
    <x v="6"/>
  </r>
  <r>
    <x v="187"/>
    <n v="1.5"/>
    <n v="0"/>
    <x v="2"/>
    <x v="1"/>
    <n v="1"/>
    <n v="1.2612325758231018"/>
    <b v="0"/>
    <n v="2"/>
    <n v="0"/>
    <n v="1"/>
    <x v="5"/>
    <x v="1"/>
    <x v="6"/>
  </r>
  <r>
    <x v="187"/>
    <n v="1.5"/>
    <n v="0"/>
    <x v="1"/>
    <x v="0"/>
    <n v="1"/>
    <n v="1.3136072989548195"/>
    <b v="0"/>
    <n v="2"/>
    <n v="0"/>
    <n v="1"/>
    <x v="5"/>
    <x v="1"/>
    <x v="6"/>
  </r>
  <r>
    <x v="187"/>
    <n v="807"/>
    <n v="51"/>
    <x v="0"/>
    <x v="1"/>
    <n v="76"/>
    <n v="703.40214513448484"/>
    <b v="0"/>
    <n v="807"/>
    <n v="51"/>
    <n v="703"/>
    <x v="5"/>
    <x v="1"/>
    <x v="6"/>
  </r>
  <r>
    <x v="187"/>
    <n v="925.5"/>
    <n v="51"/>
    <x v="0"/>
    <x v="0"/>
    <n v="8"/>
    <n v="856.75445368319413"/>
    <b v="0"/>
    <n v="926"/>
    <n v="51"/>
    <n v="857"/>
    <x v="5"/>
    <x v="1"/>
    <x v="6"/>
  </r>
  <r>
    <x v="187"/>
    <n v="2329.5"/>
    <n v="39"/>
    <x v="1"/>
    <x v="1"/>
    <n v="1196"/>
    <n v="1994.4123557832463"/>
    <b v="0"/>
    <n v="2330"/>
    <n v="39"/>
    <n v="1994"/>
    <x v="5"/>
    <x v="1"/>
    <x v="6"/>
  </r>
  <r>
    <x v="187"/>
    <n v="5491.5"/>
    <n v="324"/>
    <x v="2"/>
    <x v="0"/>
    <n v="148"/>
    <n v="5309.6239060372682"/>
    <b v="0"/>
    <n v="5492"/>
    <n v="324"/>
    <n v="5310"/>
    <x v="5"/>
    <x v="1"/>
    <x v="6"/>
  </r>
  <r>
    <x v="188"/>
    <n v="909"/>
    <n v="72"/>
    <x v="0"/>
    <x v="1"/>
    <n v="439"/>
    <n v="839.86719984373644"/>
    <b v="0"/>
    <n v="909"/>
    <n v="72"/>
    <n v="840"/>
    <x v="6"/>
    <x v="1"/>
    <x v="6"/>
  </r>
  <r>
    <x v="188"/>
    <n v="1249.5"/>
    <n v="72"/>
    <x v="0"/>
    <x v="0"/>
    <n v="786"/>
    <n v="1180.7074766637347"/>
    <b v="0"/>
    <n v="1250"/>
    <n v="72"/>
    <n v="1181"/>
    <x v="6"/>
    <x v="1"/>
    <x v="6"/>
  </r>
  <r>
    <x v="188"/>
    <n v="2349"/>
    <n v="48"/>
    <x v="1"/>
    <x v="1"/>
    <n v="1386"/>
    <n v="2010.379842363395"/>
    <b v="0"/>
    <n v="2349"/>
    <n v="48"/>
    <n v="2010"/>
    <x v="6"/>
    <x v="1"/>
    <x v="6"/>
  </r>
  <r>
    <x v="188"/>
    <n v="6031.5"/>
    <n v="228"/>
    <x v="2"/>
    <x v="0"/>
    <n v="3690"/>
    <n v="5480.8309964766931"/>
    <b v="0"/>
    <n v="6032"/>
    <n v="228"/>
    <n v="5481"/>
    <x v="6"/>
    <x v="1"/>
    <x v="6"/>
  </r>
  <r>
    <x v="189"/>
    <n v="1047"/>
    <n v="22.5"/>
    <x v="0"/>
    <x v="1"/>
    <n v="267"/>
    <n v="924.5120823973989"/>
    <b v="0"/>
    <n v="1047"/>
    <n v="23"/>
    <n v="925"/>
    <x v="0"/>
    <x v="1"/>
    <x v="6"/>
  </r>
  <r>
    <x v="189"/>
    <n v="1522.5"/>
    <n v="22.5"/>
    <x v="0"/>
    <x v="0"/>
    <n v="721"/>
    <n v="1448.0205485110275"/>
    <b v="0"/>
    <n v="1523"/>
    <n v="23"/>
    <n v="1448"/>
    <x v="0"/>
    <x v="1"/>
    <x v="6"/>
  </r>
  <r>
    <x v="189"/>
    <n v="2409"/>
    <n v="28.5"/>
    <x v="1"/>
    <x v="1"/>
    <n v="73"/>
    <n v="1983.6690048478486"/>
    <b v="0"/>
    <n v="2409"/>
    <n v="29"/>
    <n v="1984"/>
    <x v="0"/>
    <x v="1"/>
    <x v="6"/>
  </r>
  <r>
    <x v="189"/>
    <n v="5826"/>
    <n v="190.5"/>
    <x v="2"/>
    <x v="0"/>
    <n v="3275"/>
    <n v="5589.2524523933325"/>
    <b v="0"/>
    <n v="5826"/>
    <n v="191"/>
    <n v="5589"/>
    <x v="0"/>
    <x v="1"/>
    <x v="6"/>
  </r>
  <r>
    <x v="190"/>
    <n v="948"/>
    <n v="64.5"/>
    <x v="0"/>
    <x v="1"/>
    <n v="418"/>
    <n v="853.73114530883822"/>
    <b v="0"/>
    <n v="948"/>
    <n v="65"/>
    <n v="854"/>
    <x v="1"/>
    <x v="1"/>
    <x v="6"/>
  </r>
  <r>
    <x v="190"/>
    <n v="1171.5"/>
    <n v="64.5"/>
    <x v="0"/>
    <x v="0"/>
    <n v="630"/>
    <n v="1138.7624003139838"/>
    <b v="0"/>
    <n v="1172"/>
    <n v="65"/>
    <n v="1139"/>
    <x v="1"/>
    <x v="1"/>
    <x v="6"/>
  </r>
  <r>
    <x v="190"/>
    <n v="2040"/>
    <n v="42"/>
    <x v="1"/>
    <x v="1"/>
    <n v="193"/>
    <n v="1667.0599931937452"/>
    <b v="1"/>
    <n v="2040"/>
    <n v="42"/>
    <n v="1667"/>
    <x v="1"/>
    <x v="0"/>
    <x v="6"/>
  </r>
  <r>
    <x v="190"/>
    <n v="4837.5"/>
    <n v="96"/>
    <x v="2"/>
    <x v="0"/>
    <n v="2314"/>
    <n v="4605.2270018208383"/>
    <b v="0"/>
    <n v="4838"/>
    <n v="96"/>
    <n v="4605"/>
    <x v="1"/>
    <x v="1"/>
    <x v="6"/>
  </r>
  <r>
    <x v="191"/>
    <n v="1804.5"/>
    <n v="42"/>
    <x v="0"/>
    <x v="1"/>
    <n v="1111"/>
    <n v="1501.477051324048"/>
    <b v="0"/>
    <n v="1805"/>
    <n v="42"/>
    <n v="1501"/>
    <x v="2"/>
    <x v="1"/>
    <x v="6"/>
  </r>
  <r>
    <x v="191"/>
    <n v="1864.5"/>
    <n v="88.5"/>
    <x v="1"/>
    <x v="1"/>
    <n v="72"/>
    <n v="1713.4129626301292"/>
    <b v="0"/>
    <n v="1865"/>
    <n v="89"/>
    <n v="1713"/>
    <x v="2"/>
    <x v="1"/>
    <x v="6"/>
  </r>
  <r>
    <x v="191"/>
    <n v="1884"/>
    <n v="42"/>
    <x v="0"/>
    <x v="0"/>
    <n v="49"/>
    <n v="1724.1381993881714"/>
    <b v="0"/>
    <n v="1884"/>
    <n v="42"/>
    <n v="1724"/>
    <x v="2"/>
    <x v="1"/>
    <x v="6"/>
  </r>
  <r>
    <x v="191"/>
    <n v="4878"/>
    <n v="22.5"/>
    <x v="2"/>
    <x v="0"/>
    <n v="2577"/>
    <n v="4522.0620769537345"/>
    <b v="0"/>
    <n v="4878"/>
    <n v="23"/>
    <n v="4522"/>
    <x v="2"/>
    <x v="1"/>
    <x v="6"/>
  </r>
  <r>
    <x v="192"/>
    <n v="666"/>
    <n v="63"/>
    <x v="0"/>
    <x v="1"/>
    <n v="436"/>
    <n v="631.63259554553156"/>
    <b v="0"/>
    <n v="666"/>
    <n v="63"/>
    <n v="632"/>
    <x v="3"/>
    <x v="1"/>
    <x v="6"/>
  </r>
  <r>
    <x v="192"/>
    <n v="1090.5"/>
    <n v="63"/>
    <x v="0"/>
    <x v="0"/>
    <n v="489"/>
    <n v="1022.5420570703453"/>
    <b v="0"/>
    <n v="1091"/>
    <n v="63"/>
    <n v="1023"/>
    <x v="3"/>
    <x v="1"/>
    <x v="6"/>
  </r>
  <r>
    <x v="192"/>
    <n v="2518.5"/>
    <n v="7.5"/>
    <x v="1"/>
    <x v="1"/>
    <n v="141"/>
    <n v="2181.3322253819665"/>
    <b v="0"/>
    <n v="2519"/>
    <n v="8"/>
    <n v="2181"/>
    <x v="3"/>
    <x v="1"/>
    <x v="6"/>
  </r>
  <r>
    <x v="192"/>
    <n v="5517"/>
    <n v="126"/>
    <x v="2"/>
    <x v="0"/>
    <n v="2767"/>
    <n v="4935.379591822054"/>
    <b v="0"/>
    <n v="5517"/>
    <n v="126"/>
    <n v="4935"/>
    <x v="3"/>
    <x v="1"/>
    <x v="6"/>
  </r>
  <r>
    <x v="193"/>
    <n v="1342.5"/>
    <n v="88.5"/>
    <x v="0"/>
    <x v="1"/>
    <n v="644"/>
    <n v="1235.8136505068887"/>
    <b v="0"/>
    <n v="1343"/>
    <n v="89"/>
    <n v="1236"/>
    <x v="4"/>
    <x v="1"/>
    <x v="6"/>
  </r>
  <r>
    <x v="193"/>
    <n v="1459.5"/>
    <n v="88.5"/>
    <x v="0"/>
    <x v="0"/>
    <n v="301"/>
    <n v="1414.2236605228627"/>
    <b v="0"/>
    <n v="1460"/>
    <n v="89"/>
    <n v="1414"/>
    <x v="4"/>
    <x v="1"/>
    <x v="6"/>
  </r>
  <r>
    <x v="193"/>
    <n v="1933.5"/>
    <n v="3"/>
    <x v="1"/>
    <x v="1"/>
    <n v="1065"/>
    <n v="1610.9487852683656"/>
    <b v="0"/>
    <n v="1934"/>
    <n v="3"/>
    <n v="1611"/>
    <x v="4"/>
    <x v="1"/>
    <x v="6"/>
  </r>
  <r>
    <x v="193"/>
    <n v="6276"/>
    <n v="358.5"/>
    <x v="2"/>
    <x v="0"/>
    <n v="3918"/>
    <n v="5923.5249796548633"/>
    <b v="0"/>
    <n v="6276"/>
    <n v="359"/>
    <n v="5924"/>
    <x v="4"/>
    <x v="1"/>
    <x v="6"/>
  </r>
  <r>
    <x v="194"/>
    <n v="1284"/>
    <n v="69"/>
    <x v="0"/>
    <x v="1"/>
    <n v="134"/>
    <n v="1135.0446752372034"/>
    <b v="0"/>
    <n v="1284"/>
    <n v="69"/>
    <n v="1135"/>
    <x v="5"/>
    <x v="1"/>
    <x v="6"/>
  </r>
  <r>
    <x v="194"/>
    <n v="2179.5"/>
    <n v="69"/>
    <x v="0"/>
    <x v="0"/>
    <n v="1345"/>
    <n v="1959.3687252268123"/>
    <b v="1"/>
    <n v="2180"/>
    <n v="69"/>
    <n v="1959"/>
    <x v="5"/>
    <x v="0"/>
    <x v="6"/>
  </r>
  <r>
    <x v="194"/>
    <n v="5115"/>
    <n v="171"/>
    <x v="1"/>
    <x v="1"/>
    <n v="2176"/>
    <n v="4700.6630944860572"/>
    <b v="0"/>
    <n v="5115"/>
    <n v="171"/>
    <n v="4701"/>
    <x v="5"/>
    <x v="1"/>
    <x v="6"/>
  </r>
  <r>
    <x v="194"/>
    <n v="7659"/>
    <n v="351"/>
    <x v="2"/>
    <x v="0"/>
    <n v="5006"/>
    <n v="7480.5760614382734"/>
    <b v="0"/>
    <n v="7659"/>
    <n v="351"/>
    <n v="7481"/>
    <x v="5"/>
    <x v="1"/>
    <x v="6"/>
  </r>
  <r>
    <x v="195"/>
    <n v="1519.5"/>
    <n v="70.5"/>
    <x v="0"/>
    <x v="1"/>
    <n v="832"/>
    <n v="1297.9063820551403"/>
    <b v="0"/>
    <n v="1520"/>
    <n v="71"/>
    <n v="1298"/>
    <x v="6"/>
    <x v="1"/>
    <x v="6"/>
  </r>
  <r>
    <x v="195"/>
    <n v="1573.5"/>
    <n v="70.5"/>
    <x v="0"/>
    <x v="0"/>
    <n v="899"/>
    <n v="1460.0576882011114"/>
    <b v="0"/>
    <n v="1574"/>
    <n v="71"/>
    <n v="1460"/>
    <x v="6"/>
    <x v="1"/>
    <x v="6"/>
  </r>
  <r>
    <x v="195"/>
    <n v="4078.5"/>
    <n v="195"/>
    <x v="1"/>
    <x v="1"/>
    <n v="2655"/>
    <n v="3502.3845127541263"/>
    <b v="0"/>
    <n v="4079"/>
    <n v="195"/>
    <n v="3502"/>
    <x v="6"/>
    <x v="1"/>
    <x v="6"/>
  </r>
  <r>
    <x v="195"/>
    <n v="8277"/>
    <n v="228"/>
    <x v="2"/>
    <x v="0"/>
    <n v="5360"/>
    <n v="7405.9304695644405"/>
    <b v="0"/>
    <n v="8277"/>
    <n v="228"/>
    <n v="7406"/>
    <x v="6"/>
    <x v="1"/>
    <x v="6"/>
  </r>
  <r>
    <x v="196"/>
    <n v="1132.5"/>
    <n v="81"/>
    <x v="0"/>
    <x v="1"/>
    <n v="627"/>
    <n v="1011.2938470977965"/>
    <b v="0"/>
    <n v="1133"/>
    <n v="81"/>
    <n v="1011"/>
    <x v="0"/>
    <x v="1"/>
    <x v="6"/>
  </r>
  <r>
    <x v="196"/>
    <n v="2007"/>
    <n v="81"/>
    <x v="0"/>
    <x v="0"/>
    <n v="1076"/>
    <n v="1879.3296782966067"/>
    <b v="0"/>
    <n v="2007"/>
    <n v="81"/>
    <n v="1879"/>
    <x v="0"/>
    <x v="1"/>
    <x v="6"/>
  </r>
  <r>
    <x v="196"/>
    <n v="2944.5"/>
    <n v="106.5"/>
    <x v="1"/>
    <x v="1"/>
    <n v="1543"/>
    <n v="2615.895040188695"/>
    <b v="0"/>
    <n v="2945"/>
    <n v="107"/>
    <n v="2616"/>
    <x v="0"/>
    <x v="1"/>
    <x v="6"/>
  </r>
  <r>
    <x v="196"/>
    <n v="7159.5"/>
    <n v="303"/>
    <x v="2"/>
    <x v="0"/>
    <n v="4162"/>
    <n v="6629.5987006230007"/>
    <b v="0"/>
    <n v="7160"/>
    <n v="303"/>
    <n v="6630"/>
    <x v="0"/>
    <x v="1"/>
    <x v="6"/>
  </r>
  <r>
    <x v="197"/>
    <n v="1591.5"/>
    <n v="69"/>
    <x v="0"/>
    <x v="1"/>
    <n v="955"/>
    <n v="1471.7193214513156"/>
    <b v="0"/>
    <n v="1592"/>
    <n v="69"/>
    <n v="1472"/>
    <x v="1"/>
    <x v="1"/>
    <x v="6"/>
  </r>
  <r>
    <x v="197"/>
    <n v="1669.5"/>
    <n v="69"/>
    <x v="0"/>
    <x v="0"/>
    <n v="354"/>
    <n v="1599.156065485995"/>
    <b v="0"/>
    <n v="1670"/>
    <n v="69"/>
    <n v="1599"/>
    <x v="1"/>
    <x v="1"/>
    <x v="6"/>
  </r>
  <r>
    <x v="197"/>
    <n v="2943"/>
    <n v="1.5"/>
    <x v="1"/>
    <x v="1"/>
    <n v="1531"/>
    <n v="2610.3711457000527"/>
    <b v="0"/>
    <n v="2943"/>
    <n v="2"/>
    <n v="2610"/>
    <x v="1"/>
    <x v="1"/>
    <x v="6"/>
  </r>
  <r>
    <x v="197"/>
    <n v="6811.5"/>
    <n v="397.5"/>
    <x v="2"/>
    <x v="0"/>
    <n v="4044"/>
    <n v="6384.534970210857"/>
    <b v="0"/>
    <n v="6812"/>
    <n v="398"/>
    <n v="6385"/>
    <x v="1"/>
    <x v="1"/>
    <x v="6"/>
  </r>
  <r>
    <x v="198"/>
    <n v="1404"/>
    <n v="90"/>
    <x v="0"/>
    <x v="1"/>
    <n v="752"/>
    <n v="1208.1566971122079"/>
    <b v="1"/>
    <n v="1404"/>
    <n v="90"/>
    <n v="1208"/>
    <x v="2"/>
    <x v="0"/>
    <x v="6"/>
  </r>
  <r>
    <x v="198"/>
    <n v="1863"/>
    <n v="90"/>
    <x v="0"/>
    <x v="0"/>
    <n v="1144"/>
    <n v="1722.5870269172751"/>
    <b v="1"/>
    <n v="1863"/>
    <n v="90"/>
    <n v="1723"/>
    <x v="2"/>
    <x v="0"/>
    <x v="6"/>
  </r>
  <r>
    <x v="198"/>
    <n v="2616"/>
    <n v="43.5"/>
    <x v="1"/>
    <x v="1"/>
    <n v="1206"/>
    <n v="2319.5607930808192"/>
    <b v="1"/>
    <n v="2616"/>
    <n v="44"/>
    <n v="2320"/>
    <x v="2"/>
    <x v="0"/>
    <x v="6"/>
  </r>
  <r>
    <x v="198"/>
    <n v="5248.5"/>
    <n v="39"/>
    <x v="2"/>
    <x v="0"/>
    <n v="340"/>
    <n v="4928.937612278638"/>
    <b v="1"/>
    <n v="5249"/>
    <n v="39"/>
    <n v="4929"/>
    <x v="2"/>
    <x v="0"/>
    <x v="6"/>
  </r>
  <r>
    <x v="199"/>
    <n v="808.5"/>
    <n v="18"/>
    <x v="0"/>
    <x v="1"/>
    <n v="500"/>
    <n v="723.91046738187674"/>
    <b v="0"/>
    <n v="809"/>
    <n v="18"/>
    <n v="724"/>
    <x v="3"/>
    <x v="1"/>
    <x v="6"/>
  </r>
  <r>
    <x v="199"/>
    <n v="1140"/>
    <n v="18"/>
    <x v="0"/>
    <x v="0"/>
    <n v="552"/>
    <n v="1066.6365668327544"/>
    <b v="0"/>
    <n v="1140"/>
    <n v="18"/>
    <n v="1067"/>
    <x v="3"/>
    <x v="1"/>
    <x v="6"/>
  </r>
  <r>
    <x v="199"/>
    <n v="2520"/>
    <n v="81"/>
    <x v="1"/>
    <x v="1"/>
    <n v="63"/>
    <n v="2132.3731228235538"/>
    <b v="0"/>
    <n v="2520"/>
    <n v="81"/>
    <n v="2132"/>
    <x v="3"/>
    <x v="1"/>
    <x v="6"/>
  </r>
  <r>
    <x v="199"/>
    <n v="7354.5"/>
    <n v="94.5"/>
    <x v="2"/>
    <x v="0"/>
    <n v="4062"/>
    <n v="6889.168933972649"/>
    <b v="0"/>
    <n v="7355"/>
    <n v="95"/>
    <n v="6889"/>
    <x v="3"/>
    <x v="1"/>
    <x v="6"/>
  </r>
  <r>
    <x v="200"/>
    <n v="1089"/>
    <n v="99"/>
    <x v="0"/>
    <x v="1"/>
    <n v="476"/>
    <n v="1050.024841118679"/>
    <b v="0"/>
    <n v="1089"/>
    <n v="99"/>
    <n v="1050"/>
    <x v="4"/>
    <x v="1"/>
    <x v="6"/>
  </r>
  <r>
    <x v="200"/>
    <n v="1807.5"/>
    <n v="99"/>
    <x v="0"/>
    <x v="0"/>
    <n v="335"/>
    <n v="1721.8263919260737"/>
    <b v="0"/>
    <n v="1808"/>
    <n v="99"/>
    <n v="1722"/>
    <x v="4"/>
    <x v="1"/>
    <x v="6"/>
  </r>
  <r>
    <x v="200"/>
    <n v="2878.5"/>
    <n v="1.5"/>
    <x v="1"/>
    <x v="1"/>
    <n v="1234"/>
    <n v="2368.1854210233223"/>
    <b v="0"/>
    <n v="2879"/>
    <n v="2"/>
    <n v="2368"/>
    <x v="4"/>
    <x v="1"/>
    <x v="6"/>
  </r>
  <r>
    <x v="200"/>
    <n v="7542"/>
    <n v="189"/>
    <x v="2"/>
    <x v="0"/>
    <n v="4567"/>
    <n v="6735.4996009314673"/>
    <b v="1"/>
    <n v="7542"/>
    <n v="189"/>
    <n v="6735"/>
    <x v="4"/>
    <x v="0"/>
    <x v="6"/>
  </r>
  <r>
    <x v="201"/>
    <n v="738"/>
    <n v="57"/>
    <x v="0"/>
    <x v="1"/>
    <n v="411"/>
    <n v="670.66508059052489"/>
    <b v="0"/>
    <n v="738"/>
    <n v="57"/>
    <n v="671"/>
    <x v="5"/>
    <x v="1"/>
    <x v="6"/>
  </r>
  <r>
    <x v="201"/>
    <n v="946.5"/>
    <n v="57"/>
    <x v="0"/>
    <x v="0"/>
    <n v="541"/>
    <n v="939.3168251260106"/>
    <b v="0"/>
    <n v="947"/>
    <n v="57"/>
    <n v="939"/>
    <x v="5"/>
    <x v="1"/>
    <x v="6"/>
  </r>
  <r>
    <x v="201"/>
    <n v="4249.5"/>
    <n v="9"/>
    <x v="1"/>
    <x v="1"/>
    <n v="1661"/>
    <n v="3738.1311619124858"/>
    <b v="0"/>
    <n v="4250"/>
    <n v="9"/>
    <n v="3738"/>
    <x v="5"/>
    <x v="1"/>
    <x v="6"/>
  </r>
  <r>
    <x v="201"/>
    <n v="8026.5"/>
    <n v="430.5"/>
    <x v="2"/>
    <x v="0"/>
    <n v="385"/>
    <n v="7905.0447876688686"/>
    <b v="0"/>
    <n v="8027"/>
    <n v="431"/>
    <n v="7905"/>
    <x v="5"/>
    <x v="1"/>
    <x v="6"/>
  </r>
  <r>
    <x v="202"/>
    <n v="1237.5"/>
    <n v="66"/>
    <x v="0"/>
    <x v="1"/>
    <n v="385"/>
    <n v="1138.667080730271"/>
    <b v="0"/>
    <n v="1238"/>
    <n v="66"/>
    <n v="1139"/>
    <x v="6"/>
    <x v="1"/>
    <x v="6"/>
  </r>
  <r>
    <x v="202"/>
    <n v="1399.5"/>
    <n v="66"/>
    <x v="0"/>
    <x v="0"/>
    <n v="798"/>
    <n v="1319.7712329216165"/>
    <b v="0"/>
    <n v="1400"/>
    <n v="66"/>
    <n v="1320"/>
    <x v="6"/>
    <x v="1"/>
    <x v="6"/>
  </r>
  <r>
    <x v="202"/>
    <n v="2967"/>
    <n v="78"/>
    <x v="1"/>
    <x v="1"/>
    <n v="1403"/>
    <n v="2481.3001927429505"/>
    <b v="0"/>
    <n v="2967"/>
    <n v="78"/>
    <n v="2481"/>
    <x v="6"/>
    <x v="1"/>
    <x v="6"/>
  </r>
  <r>
    <x v="202"/>
    <n v="7011"/>
    <n v="387"/>
    <x v="2"/>
    <x v="0"/>
    <n v="1913"/>
    <n v="6897.8740096376632"/>
    <b v="0"/>
    <n v="7011"/>
    <n v="387"/>
    <n v="6898"/>
    <x v="6"/>
    <x v="1"/>
    <x v="6"/>
  </r>
  <r>
    <x v="203"/>
    <n v="871.5"/>
    <n v="106.5"/>
    <x v="0"/>
    <x v="1"/>
    <n v="501"/>
    <n v="807.07622137241367"/>
    <b v="0"/>
    <n v="872"/>
    <n v="107"/>
    <n v="807"/>
    <x v="0"/>
    <x v="1"/>
    <x v="6"/>
  </r>
  <r>
    <x v="203"/>
    <n v="1531.5"/>
    <n v="106.5"/>
    <x v="0"/>
    <x v="0"/>
    <n v="879"/>
    <n v="1473.0231509686848"/>
    <b v="0"/>
    <n v="1532"/>
    <n v="107"/>
    <n v="1473"/>
    <x v="0"/>
    <x v="1"/>
    <x v="6"/>
  </r>
  <r>
    <x v="203"/>
    <n v="1969.5"/>
    <n v="67.5"/>
    <x v="1"/>
    <x v="1"/>
    <n v="21"/>
    <n v="1648.0516929586383"/>
    <b v="0"/>
    <n v="1970"/>
    <n v="68"/>
    <n v="1648"/>
    <x v="0"/>
    <x v="1"/>
    <x v="6"/>
  </r>
  <r>
    <x v="203"/>
    <n v="6735"/>
    <n v="9"/>
    <x v="2"/>
    <x v="0"/>
    <n v="1801"/>
    <n v="6325.5083342683984"/>
    <b v="0"/>
    <n v="6735"/>
    <n v="9"/>
    <n v="6326"/>
    <x v="0"/>
    <x v="1"/>
    <x v="6"/>
  </r>
  <r>
    <x v="204"/>
    <n v="697.5"/>
    <n v="22.5"/>
    <x v="0"/>
    <x v="1"/>
    <n v="405"/>
    <n v="580.69843391170946"/>
    <b v="0"/>
    <n v="698"/>
    <n v="23"/>
    <n v="581"/>
    <x v="1"/>
    <x v="1"/>
    <x v="6"/>
  </r>
  <r>
    <x v="204"/>
    <n v="1513.5"/>
    <n v="22.5"/>
    <x v="0"/>
    <x v="0"/>
    <n v="323"/>
    <n v="1421.8187418726466"/>
    <b v="0"/>
    <n v="1514"/>
    <n v="23"/>
    <n v="1422"/>
    <x v="1"/>
    <x v="1"/>
    <x v="6"/>
  </r>
  <r>
    <x v="204"/>
    <n v="3424.5"/>
    <n v="45"/>
    <x v="1"/>
    <x v="1"/>
    <n v="638"/>
    <n v="3050.1266568395777"/>
    <b v="0"/>
    <n v="3425"/>
    <n v="45"/>
    <n v="3050"/>
    <x v="1"/>
    <x v="1"/>
    <x v="6"/>
  </r>
  <r>
    <x v="204"/>
    <n v="6139.5"/>
    <n v="336"/>
    <x v="2"/>
    <x v="0"/>
    <n v="2631"/>
    <n v="5840.260412042132"/>
    <b v="0"/>
    <n v="6140"/>
    <n v="336"/>
    <n v="5840"/>
    <x v="1"/>
    <x v="1"/>
    <x v="6"/>
  </r>
  <r>
    <x v="205"/>
    <n v="738"/>
    <n v="9"/>
    <x v="0"/>
    <x v="1"/>
    <n v="32"/>
    <n v="601.43149575242978"/>
    <b v="0"/>
    <n v="738"/>
    <n v="9"/>
    <n v="601"/>
    <x v="2"/>
    <x v="1"/>
    <x v="6"/>
  </r>
  <r>
    <x v="205"/>
    <n v="958.5"/>
    <n v="9"/>
    <x v="0"/>
    <x v="0"/>
    <n v="318"/>
    <n v="851.66902727101387"/>
    <b v="0"/>
    <n v="959"/>
    <n v="9"/>
    <n v="852"/>
    <x v="2"/>
    <x v="1"/>
    <x v="6"/>
  </r>
  <r>
    <x v="205"/>
    <n v="2505"/>
    <n v="58.5"/>
    <x v="1"/>
    <x v="1"/>
    <n v="829"/>
    <n v="2115.130583533014"/>
    <b v="0"/>
    <n v="2505"/>
    <n v="59"/>
    <n v="2115"/>
    <x v="2"/>
    <x v="1"/>
    <x v="6"/>
  </r>
  <r>
    <x v="205"/>
    <n v="6690"/>
    <n v="99"/>
    <x v="2"/>
    <x v="0"/>
    <n v="1175"/>
    <n v="6251.7965110014156"/>
    <b v="0"/>
    <n v="6690"/>
    <n v="99"/>
    <n v="6252"/>
    <x v="2"/>
    <x v="1"/>
    <x v="6"/>
  </r>
  <r>
    <x v="206"/>
    <n v="1.5"/>
    <n v="0"/>
    <x v="2"/>
    <x v="1"/>
    <n v="1"/>
    <n v="1.2287920658313045"/>
    <b v="0"/>
    <n v="2"/>
    <n v="0"/>
    <n v="1"/>
    <x v="3"/>
    <x v="1"/>
    <x v="6"/>
  </r>
  <r>
    <x v="206"/>
    <n v="882"/>
    <n v="58.5"/>
    <x v="0"/>
    <x v="1"/>
    <n v="123"/>
    <n v="760.01572695800553"/>
    <b v="1"/>
    <n v="882"/>
    <n v="59"/>
    <n v="760"/>
    <x v="3"/>
    <x v="0"/>
    <x v="6"/>
  </r>
  <r>
    <x v="206"/>
    <n v="1480.5"/>
    <n v="58.5"/>
    <x v="0"/>
    <x v="0"/>
    <n v="385"/>
    <n v="1373.3576109041301"/>
    <b v="0"/>
    <n v="1481"/>
    <n v="59"/>
    <n v="1373"/>
    <x v="3"/>
    <x v="1"/>
    <x v="6"/>
  </r>
  <r>
    <x v="206"/>
    <n v="2902.5"/>
    <n v="70.5"/>
    <x v="1"/>
    <x v="1"/>
    <n v="621"/>
    <n v="2445.6604911852933"/>
    <b v="0"/>
    <n v="2903"/>
    <n v="71"/>
    <n v="2446"/>
    <x v="3"/>
    <x v="1"/>
    <x v="6"/>
  </r>
  <r>
    <x v="206"/>
    <n v="6783"/>
    <n v="90"/>
    <x v="2"/>
    <x v="0"/>
    <n v="424"/>
    <n v="6159.0007455992172"/>
    <b v="0"/>
    <n v="6783"/>
    <n v="90"/>
    <n v="6159"/>
    <x v="3"/>
    <x v="1"/>
    <x v="6"/>
  </r>
  <r>
    <x v="207"/>
    <n v="529.5"/>
    <n v="66"/>
    <x v="0"/>
    <x v="1"/>
    <n v="51"/>
    <n v="508.50418245172648"/>
    <b v="0"/>
    <n v="530"/>
    <n v="66"/>
    <n v="509"/>
    <x v="4"/>
    <x v="1"/>
    <x v="6"/>
  </r>
  <r>
    <x v="207"/>
    <n v="1282.5"/>
    <n v="66"/>
    <x v="0"/>
    <x v="0"/>
    <n v="669"/>
    <n v="1250.3320186858755"/>
    <b v="0"/>
    <n v="1283"/>
    <n v="66"/>
    <n v="1250"/>
    <x v="4"/>
    <x v="1"/>
    <x v="6"/>
  </r>
  <r>
    <x v="207"/>
    <n v="3711"/>
    <n v="15"/>
    <x v="1"/>
    <x v="1"/>
    <n v="1144"/>
    <n v="3100.5934705832537"/>
    <b v="0"/>
    <n v="3711"/>
    <n v="15"/>
    <n v="3101"/>
    <x v="4"/>
    <x v="1"/>
    <x v="6"/>
  </r>
  <r>
    <x v="207"/>
    <n v="6508.5"/>
    <n v="403.5"/>
    <x v="2"/>
    <x v="0"/>
    <n v="4196"/>
    <n v="6485.7419991530332"/>
    <b v="0"/>
    <n v="6509"/>
    <n v="404"/>
    <n v="6486"/>
    <x v="4"/>
    <x v="1"/>
    <x v="6"/>
  </r>
  <r>
    <x v="208"/>
    <n v="1.5"/>
    <n v="0"/>
    <x v="1"/>
    <x v="0"/>
    <n v="1"/>
    <n v="1.3627601205891495"/>
    <b v="0"/>
    <n v="2"/>
    <n v="0"/>
    <n v="1"/>
    <x v="5"/>
    <x v="1"/>
    <x v="6"/>
  </r>
  <r>
    <x v="208"/>
    <n v="714"/>
    <n v="4.5"/>
    <x v="0"/>
    <x v="1"/>
    <n v="221"/>
    <n v="622.40091127111793"/>
    <b v="0"/>
    <n v="714"/>
    <n v="5"/>
    <n v="622"/>
    <x v="5"/>
    <x v="1"/>
    <x v="6"/>
  </r>
  <r>
    <x v="208"/>
    <n v="1347"/>
    <n v="4.5"/>
    <x v="0"/>
    <x v="0"/>
    <n v="703"/>
    <n v="1236.4805913759021"/>
    <b v="0"/>
    <n v="1347"/>
    <n v="5"/>
    <n v="1236"/>
    <x v="5"/>
    <x v="1"/>
    <x v="6"/>
  </r>
  <r>
    <x v="208"/>
    <n v="4309.5"/>
    <n v="202.5"/>
    <x v="1"/>
    <x v="1"/>
    <n v="2092"/>
    <n v="3649.3329036217829"/>
    <b v="1"/>
    <n v="4310"/>
    <n v="203"/>
    <n v="3649"/>
    <x v="5"/>
    <x v="0"/>
    <x v="6"/>
  </r>
  <r>
    <x v="208"/>
    <n v="6795"/>
    <n v="55.5"/>
    <x v="2"/>
    <x v="0"/>
    <n v="4468"/>
    <n v="6040.9639484472827"/>
    <b v="0"/>
    <n v="6795"/>
    <n v="56"/>
    <n v="6041"/>
    <x v="5"/>
    <x v="1"/>
    <x v="6"/>
  </r>
  <r>
    <x v="209"/>
    <n v="1.5"/>
    <n v="1.5"/>
    <x v="2"/>
    <x v="1"/>
    <n v="1"/>
    <n v="2.4087016584076499"/>
    <b v="0"/>
    <n v="2"/>
    <n v="2"/>
    <n v="2"/>
    <x v="6"/>
    <x v="1"/>
    <x v="6"/>
  </r>
  <r>
    <x v="209"/>
    <n v="906"/>
    <n v="39"/>
    <x v="0"/>
    <x v="1"/>
    <n v="327"/>
    <n v="777.79962308605911"/>
    <b v="0"/>
    <n v="906"/>
    <n v="39"/>
    <n v="778"/>
    <x v="6"/>
    <x v="1"/>
    <x v="6"/>
  </r>
  <r>
    <x v="209"/>
    <n v="1342.5"/>
    <n v="39"/>
    <x v="0"/>
    <x v="0"/>
    <n v="108"/>
    <n v="1266.0114108495175"/>
    <b v="0"/>
    <n v="1343"/>
    <n v="39"/>
    <n v="1266"/>
    <x v="6"/>
    <x v="1"/>
    <x v="6"/>
  </r>
  <r>
    <x v="209"/>
    <n v="3664.5"/>
    <n v="132"/>
    <x v="1"/>
    <x v="1"/>
    <n v="2254"/>
    <n v="3180.1840646953569"/>
    <b v="0"/>
    <n v="3665"/>
    <n v="132"/>
    <n v="3180"/>
    <x v="6"/>
    <x v="1"/>
    <x v="6"/>
  </r>
  <r>
    <x v="209"/>
    <n v="9175.5"/>
    <n v="628.5"/>
    <x v="2"/>
    <x v="0"/>
    <n v="5630"/>
    <n v="8889.9194966219238"/>
    <b v="0"/>
    <n v="9176"/>
    <n v="629"/>
    <n v="8890"/>
    <x v="6"/>
    <x v="1"/>
    <x v="6"/>
  </r>
  <r>
    <x v="210"/>
    <n v="1030.5"/>
    <n v="91.5"/>
    <x v="0"/>
    <x v="1"/>
    <n v="58"/>
    <n v="918.78472837899255"/>
    <b v="0"/>
    <n v="1031"/>
    <n v="92"/>
    <n v="919"/>
    <x v="0"/>
    <x v="1"/>
    <x v="6"/>
  </r>
  <r>
    <x v="210"/>
    <n v="1848"/>
    <n v="91.5"/>
    <x v="0"/>
    <x v="0"/>
    <n v="284"/>
    <n v="1692.2290405888371"/>
    <b v="0"/>
    <n v="1848"/>
    <n v="92"/>
    <n v="1692"/>
    <x v="0"/>
    <x v="1"/>
    <x v="6"/>
  </r>
  <r>
    <x v="210"/>
    <n v="3187.5"/>
    <n v="84"/>
    <x v="1"/>
    <x v="1"/>
    <n v="249"/>
    <n v="2782.5494384719736"/>
    <b v="0"/>
    <n v="3188"/>
    <n v="84"/>
    <n v="2783"/>
    <x v="0"/>
    <x v="1"/>
    <x v="6"/>
  </r>
  <r>
    <x v="210"/>
    <n v="8199"/>
    <n v="477"/>
    <x v="2"/>
    <x v="0"/>
    <n v="5306"/>
    <n v="7805.4354824382617"/>
    <b v="0"/>
    <n v="8199"/>
    <n v="477"/>
    <n v="7805"/>
    <x v="0"/>
    <x v="1"/>
    <x v="6"/>
  </r>
  <r>
    <x v="211"/>
    <n v="499.5"/>
    <n v="46.5"/>
    <x v="0"/>
    <x v="1"/>
    <n v="310"/>
    <n v="456.73141537068642"/>
    <b v="0"/>
    <n v="500"/>
    <n v="47"/>
    <n v="457"/>
    <x v="1"/>
    <x v="1"/>
    <x v="6"/>
  </r>
  <r>
    <x v="211"/>
    <n v="997.5"/>
    <n v="46.5"/>
    <x v="0"/>
    <x v="0"/>
    <n v="84"/>
    <n v="957.45791805726856"/>
    <b v="0"/>
    <n v="998"/>
    <n v="47"/>
    <n v="957"/>
    <x v="1"/>
    <x v="1"/>
    <x v="6"/>
  </r>
  <r>
    <x v="211"/>
    <n v="3952.5"/>
    <n v="84"/>
    <x v="1"/>
    <x v="1"/>
    <n v="608"/>
    <n v="3303.9801864988622"/>
    <b v="0"/>
    <n v="3953"/>
    <n v="84"/>
    <n v="3304"/>
    <x v="1"/>
    <x v="1"/>
    <x v="6"/>
  </r>
  <r>
    <x v="211"/>
    <n v="7527"/>
    <n v="244.5"/>
    <x v="2"/>
    <x v="0"/>
    <n v="4358"/>
    <n v="7097.1144361316028"/>
    <b v="0"/>
    <n v="7527"/>
    <n v="245"/>
    <n v="7097"/>
    <x v="1"/>
    <x v="1"/>
    <x v="6"/>
  </r>
  <r>
    <x v="212"/>
    <n v="1003.5"/>
    <n v="45"/>
    <x v="0"/>
    <x v="1"/>
    <n v="163"/>
    <n v="859.92766436942611"/>
    <b v="0"/>
    <n v="1004"/>
    <n v="45"/>
    <n v="860"/>
    <x v="2"/>
    <x v="1"/>
    <x v="6"/>
  </r>
  <r>
    <x v="212"/>
    <n v="1423.5"/>
    <n v="45"/>
    <x v="0"/>
    <x v="0"/>
    <n v="636"/>
    <n v="1333.8323436994026"/>
    <b v="0"/>
    <n v="1424"/>
    <n v="45"/>
    <n v="1334"/>
    <x v="2"/>
    <x v="1"/>
    <x v="6"/>
  </r>
  <r>
    <x v="212"/>
    <n v="2796"/>
    <n v="21"/>
    <x v="1"/>
    <x v="1"/>
    <n v="938"/>
    <n v="2426.5263057555021"/>
    <b v="0"/>
    <n v="2796"/>
    <n v="21"/>
    <n v="2427"/>
    <x v="2"/>
    <x v="1"/>
    <x v="6"/>
  </r>
  <r>
    <x v="212"/>
    <n v="7231.5"/>
    <n v="100.5"/>
    <x v="2"/>
    <x v="0"/>
    <n v="4321"/>
    <n v="6535.5870942577758"/>
    <b v="0"/>
    <n v="7232"/>
    <n v="101"/>
    <n v="6536"/>
    <x v="2"/>
    <x v="1"/>
    <x v="6"/>
  </r>
  <r>
    <x v="213"/>
    <n v="1221"/>
    <n v="73.5"/>
    <x v="0"/>
    <x v="1"/>
    <n v="674"/>
    <n v="1056.1378406460033"/>
    <b v="0"/>
    <n v="1221"/>
    <n v="74"/>
    <n v="1056"/>
    <x v="3"/>
    <x v="1"/>
    <x v="7"/>
  </r>
  <r>
    <x v="213"/>
    <n v="1453.5"/>
    <n v="73.5"/>
    <x v="0"/>
    <x v="0"/>
    <n v="734"/>
    <n v="1332.3381135660179"/>
    <b v="0"/>
    <n v="1454"/>
    <n v="74"/>
    <n v="1332"/>
    <x v="3"/>
    <x v="1"/>
    <x v="7"/>
  </r>
  <r>
    <x v="213"/>
    <n v="2823"/>
    <n v="39"/>
    <x v="1"/>
    <x v="1"/>
    <n v="775"/>
    <n v="2340.985932505147"/>
    <b v="0"/>
    <n v="2823"/>
    <n v="39"/>
    <n v="2341"/>
    <x v="3"/>
    <x v="1"/>
    <x v="7"/>
  </r>
  <r>
    <x v="213"/>
    <n v="6370.5"/>
    <n v="307.5"/>
    <x v="2"/>
    <x v="0"/>
    <n v="4103"/>
    <n v="6210.9054690045614"/>
    <b v="0"/>
    <n v="6371"/>
    <n v="308"/>
    <n v="6211"/>
    <x v="3"/>
    <x v="1"/>
    <x v="7"/>
  </r>
  <r>
    <x v="214"/>
    <n v="1.5"/>
    <n v="1.5"/>
    <x v="2"/>
    <x v="1"/>
    <n v="1"/>
    <n v="2.6059794474164582"/>
    <b v="0"/>
    <n v="2"/>
    <n v="2"/>
    <n v="3"/>
    <x v="4"/>
    <x v="1"/>
    <x v="7"/>
  </r>
  <r>
    <x v="214"/>
    <n v="1345.5"/>
    <n v="141"/>
    <x v="0"/>
    <x v="1"/>
    <n v="178"/>
    <n v="1229.1959197550727"/>
    <b v="0"/>
    <n v="1346"/>
    <n v="141"/>
    <n v="1229"/>
    <x v="4"/>
    <x v="1"/>
    <x v="7"/>
  </r>
  <r>
    <x v="214"/>
    <n v="2089.5"/>
    <n v="141"/>
    <x v="0"/>
    <x v="0"/>
    <n v="1246"/>
    <n v="2093.3750843027065"/>
    <b v="0"/>
    <n v="2090"/>
    <n v="141"/>
    <n v="2093"/>
    <x v="4"/>
    <x v="1"/>
    <x v="7"/>
  </r>
  <r>
    <x v="214"/>
    <n v="4173"/>
    <n v="82.5"/>
    <x v="1"/>
    <x v="1"/>
    <n v="404"/>
    <n v="3671.8968347561572"/>
    <b v="0"/>
    <n v="4173"/>
    <n v="83"/>
    <n v="3672"/>
    <x v="4"/>
    <x v="1"/>
    <x v="7"/>
  </r>
  <r>
    <x v="214"/>
    <n v="6138"/>
    <n v="93"/>
    <x v="2"/>
    <x v="0"/>
    <n v="2641"/>
    <n v="5487.7100438751304"/>
    <b v="0"/>
    <n v="6138"/>
    <n v="93"/>
    <n v="5488"/>
    <x v="4"/>
    <x v="1"/>
    <x v="7"/>
  </r>
  <r>
    <x v="215"/>
    <n v="1212"/>
    <n v="60"/>
    <x v="0"/>
    <x v="1"/>
    <n v="688"/>
    <n v="1113.3473319672107"/>
    <b v="0"/>
    <n v="1212"/>
    <n v="60"/>
    <n v="1113"/>
    <x v="5"/>
    <x v="1"/>
    <x v="7"/>
  </r>
  <r>
    <x v="215"/>
    <n v="1602"/>
    <n v="60"/>
    <x v="0"/>
    <x v="0"/>
    <n v="935"/>
    <n v="1453.6440995974876"/>
    <b v="0"/>
    <n v="1602"/>
    <n v="60"/>
    <n v="1454"/>
    <x v="5"/>
    <x v="1"/>
    <x v="7"/>
  </r>
  <r>
    <x v="215"/>
    <n v="4099.5"/>
    <n v="31.5"/>
    <x v="1"/>
    <x v="1"/>
    <n v="2703"/>
    <n v="3563.604620157932"/>
    <b v="0"/>
    <n v="4100"/>
    <n v="32"/>
    <n v="3564"/>
    <x v="5"/>
    <x v="1"/>
    <x v="7"/>
  </r>
  <r>
    <x v="215"/>
    <n v="6231"/>
    <n v="226.5"/>
    <x v="2"/>
    <x v="0"/>
    <n v="1140"/>
    <n v="5777.864787450224"/>
    <b v="0"/>
    <n v="6231"/>
    <n v="227"/>
    <n v="5778"/>
    <x v="5"/>
    <x v="1"/>
    <x v="7"/>
  </r>
  <r>
    <x v="216"/>
    <n v="681"/>
    <n v="3"/>
    <x v="0"/>
    <x v="1"/>
    <n v="273"/>
    <n v="602.6660852296252"/>
    <b v="0"/>
    <n v="681"/>
    <n v="3"/>
    <n v="603"/>
    <x v="6"/>
    <x v="1"/>
    <x v="7"/>
  </r>
  <r>
    <x v="216"/>
    <n v="1408.5"/>
    <n v="3"/>
    <x v="0"/>
    <x v="0"/>
    <n v="830"/>
    <n v="1310.5105739505545"/>
    <b v="0"/>
    <n v="1409"/>
    <n v="3"/>
    <n v="1311"/>
    <x v="6"/>
    <x v="1"/>
    <x v="7"/>
  </r>
  <r>
    <x v="216"/>
    <n v="4089"/>
    <n v="70.5"/>
    <x v="1"/>
    <x v="1"/>
    <n v="314"/>
    <n v="3670.1246208514758"/>
    <b v="0"/>
    <n v="4089"/>
    <n v="71"/>
    <n v="3670"/>
    <x v="6"/>
    <x v="1"/>
    <x v="7"/>
  </r>
  <r>
    <x v="216"/>
    <n v="7992"/>
    <n v="247.5"/>
    <x v="2"/>
    <x v="0"/>
    <n v="642"/>
    <n v="7246.1468851450991"/>
    <b v="0"/>
    <n v="7992"/>
    <n v="248"/>
    <n v="7246"/>
    <x v="6"/>
    <x v="1"/>
    <x v="7"/>
  </r>
  <r>
    <x v="217"/>
    <n v="1.5"/>
    <n v="0"/>
    <x v="2"/>
    <x v="1"/>
    <n v="1"/>
    <n v="1.2440916669354691"/>
    <b v="0"/>
    <n v="2"/>
    <n v="0"/>
    <n v="1"/>
    <x v="0"/>
    <x v="1"/>
    <x v="7"/>
  </r>
  <r>
    <x v="217"/>
    <n v="727.5"/>
    <n v="60"/>
    <x v="0"/>
    <x v="1"/>
    <n v="272"/>
    <n v="655.73823701913261"/>
    <b v="0"/>
    <n v="728"/>
    <n v="60"/>
    <n v="656"/>
    <x v="0"/>
    <x v="1"/>
    <x v="7"/>
  </r>
  <r>
    <x v="217"/>
    <n v="1435.5"/>
    <n v="60"/>
    <x v="0"/>
    <x v="0"/>
    <n v="148"/>
    <n v="1404.0888791541884"/>
    <b v="0"/>
    <n v="1436"/>
    <n v="60"/>
    <n v="1404"/>
    <x v="0"/>
    <x v="1"/>
    <x v="7"/>
  </r>
  <r>
    <x v="217"/>
    <n v="3717"/>
    <n v="19.5"/>
    <x v="1"/>
    <x v="1"/>
    <n v="1176"/>
    <n v="3014.6637209841651"/>
    <b v="1"/>
    <n v="3717"/>
    <n v="20"/>
    <n v="3015"/>
    <x v="0"/>
    <x v="0"/>
    <x v="7"/>
  </r>
  <r>
    <x v="217"/>
    <n v="8587.5"/>
    <n v="187.5"/>
    <x v="2"/>
    <x v="0"/>
    <n v="5670"/>
    <n v="7718.2278819477797"/>
    <b v="0"/>
    <n v="8588"/>
    <n v="188"/>
    <n v="7718"/>
    <x v="0"/>
    <x v="1"/>
    <x v="7"/>
  </r>
  <r>
    <x v="218"/>
    <n v="4.5"/>
    <n v="0"/>
    <x v="1"/>
    <x v="0"/>
    <n v="1"/>
    <n v="4.1526673860351053"/>
    <b v="0"/>
    <n v="5"/>
    <n v="0"/>
    <n v="4"/>
    <x v="1"/>
    <x v="1"/>
    <x v="7"/>
  </r>
  <r>
    <x v="218"/>
    <n v="931.5"/>
    <n v="45"/>
    <x v="0"/>
    <x v="1"/>
    <n v="614"/>
    <n v="801.0982088537736"/>
    <b v="0"/>
    <n v="932"/>
    <n v="45"/>
    <n v="801"/>
    <x v="1"/>
    <x v="1"/>
    <x v="7"/>
  </r>
  <r>
    <x v="218"/>
    <n v="1303.5"/>
    <n v="45"/>
    <x v="0"/>
    <x v="0"/>
    <n v="178"/>
    <n v="1245.6032986354708"/>
    <b v="0"/>
    <n v="1304"/>
    <n v="45"/>
    <n v="1246"/>
    <x v="1"/>
    <x v="1"/>
    <x v="7"/>
  </r>
  <r>
    <x v="218"/>
    <n v="1486.5"/>
    <n v="10.5"/>
    <x v="1"/>
    <x v="1"/>
    <n v="742"/>
    <n v="1306.9526054270859"/>
    <b v="0"/>
    <n v="1487"/>
    <n v="11"/>
    <n v="1307"/>
    <x v="1"/>
    <x v="1"/>
    <x v="7"/>
  </r>
  <r>
    <x v="218"/>
    <n v="7237.5"/>
    <n v="360"/>
    <x v="2"/>
    <x v="0"/>
    <n v="4587"/>
    <n v="6996.6522701380909"/>
    <b v="0"/>
    <n v="7238"/>
    <n v="360"/>
    <n v="6997"/>
    <x v="1"/>
    <x v="1"/>
    <x v="7"/>
  </r>
  <r>
    <x v="219"/>
    <n v="3"/>
    <n v="0"/>
    <x v="2"/>
    <x v="1"/>
    <n v="1"/>
    <n v="2.5348772360084069"/>
    <b v="0"/>
    <n v="3"/>
    <n v="0"/>
    <n v="3"/>
    <x v="2"/>
    <x v="1"/>
    <x v="7"/>
  </r>
  <r>
    <x v="219"/>
    <n v="834"/>
    <n v="46.5"/>
    <x v="0"/>
    <x v="1"/>
    <n v="457"/>
    <n v="712.81332990175633"/>
    <b v="0"/>
    <n v="834"/>
    <n v="47"/>
    <n v="713"/>
    <x v="2"/>
    <x v="1"/>
    <x v="7"/>
  </r>
  <r>
    <x v="219"/>
    <n v="1183.5"/>
    <n v="46.5"/>
    <x v="0"/>
    <x v="0"/>
    <n v="34"/>
    <n v="1111.393138289724"/>
    <b v="0"/>
    <n v="1184"/>
    <n v="47"/>
    <n v="1111"/>
    <x v="2"/>
    <x v="1"/>
    <x v="7"/>
  </r>
  <r>
    <x v="219"/>
    <n v="3466.5"/>
    <n v="96"/>
    <x v="1"/>
    <x v="1"/>
    <n v="112"/>
    <n v="2856.5664521286731"/>
    <b v="0"/>
    <n v="3467"/>
    <n v="96"/>
    <n v="2857"/>
    <x v="2"/>
    <x v="1"/>
    <x v="7"/>
  </r>
  <r>
    <x v="219"/>
    <n v="7584"/>
    <n v="327"/>
    <x v="2"/>
    <x v="0"/>
    <n v="2827"/>
    <n v="7156.0859202765896"/>
    <b v="0"/>
    <n v="7584"/>
    <n v="327"/>
    <n v="7156"/>
    <x v="2"/>
    <x v="1"/>
    <x v="7"/>
  </r>
  <r>
    <x v="220"/>
    <n v="604.5"/>
    <n v="79.5"/>
    <x v="0"/>
    <x v="1"/>
    <n v="53"/>
    <n v="568.15735290148609"/>
    <b v="0"/>
    <n v="605"/>
    <n v="80"/>
    <n v="568"/>
    <x v="3"/>
    <x v="1"/>
    <x v="7"/>
  </r>
  <r>
    <x v="220"/>
    <n v="1299"/>
    <n v="79.5"/>
    <x v="0"/>
    <x v="0"/>
    <n v="159"/>
    <n v="1265.130892187992"/>
    <b v="0"/>
    <n v="1299"/>
    <n v="80"/>
    <n v="1265"/>
    <x v="3"/>
    <x v="1"/>
    <x v="7"/>
  </r>
  <r>
    <x v="220"/>
    <n v="2617.5"/>
    <n v="43.5"/>
    <x v="1"/>
    <x v="1"/>
    <n v="1675"/>
    <n v="2238.0373363713602"/>
    <b v="0"/>
    <n v="2618"/>
    <n v="44"/>
    <n v="2238"/>
    <x v="3"/>
    <x v="1"/>
    <x v="7"/>
  </r>
  <r>
    <x v="220"/>
    <n v="7512"/>
    <n v="138"/>
    <x v="2"/>
    <x v="0"/>
    <n v="1815"/>
    <n v="7068.8297697330863"/>
    <b v="0"/>
    <n v="7512"/>
    <n v="138"/>
    <n v="7069"/>
    <x v="3"/>
    <x v="1"/>
    <x v="7"/>
  </r>
  <r>
    <x v="221"/>
    <n v="613.5"/>
    <n v="28.5"/>
    <x v="0"/>
    <x v="1"/>
    <n v="385"/>
    <n v="553.25592699722949"/>
    <b v="0"/>
    <n v="614"/>
    <n v="29"/>
    <n v="553"/>
    <x v="4"/>
    <x v="1"/>
    <x v="7"/>
  </r>
  <r>
    <x v="221"/>
    <n v="1062"/>
    <n v="28.5"/>
    <x v="0"/>
    <x v="0"/>
    <n v="452"/>
    <n v="1021.664544500433"/>
    <b v="0"/>
    <n v="1062"/>
    <n v="29"/>
    <n v="1022"/>
    <x v="4"/>
    <x v="1"/>
    <x v="7"/>
  </r>
  <r>
    <x v="221"/>
    <n v="3522"/>
    <n v="13.5"/>
    <x v="1"/>
    <x v="1"/>
    <n v="592"/>
    <n v="2935.2860314182858"/>
    <b v="0"/>
    <n v="3522"/>
    <n v="14"/>
    <n v="2935"/>
    <x v="4"/>
    <x v="1"/>
    <x v="7"/>
  </r>
  <r>
    <x v="221"/>
    <n v="8257.5"/>
    <n v="312"/>
    <x v="2"/>
    <x v="0"/>
    <n v="3861"/>
    <n v="8009.7646187753844"/>
    <b v="0"/>
    <n v="8258"/>
    <n v="312"/>
    <n v="8010"/>
    <x v="4"/>
    <x v="1"/>
    <x v="7"/>
  </r>
  <r>
    <x v="222"/>
    <n v="1206"/>
    <n v="51"/>
    <x v="0"/>
    <x v="1"/>
    <n v="799"/>
    <n v="1078.5542746232297"/>
    <b v="0"/>
    <n v="1206"/>
    <n v="51"/>
    <n v="1079"/>
    <x v="5"/>
    <x v="1"/>
    <x v="7"/>
  </r>
  <r>
    <x v="222"/>
    <n v="1317"/>
    <n v="51"/>
    <x v="0"/>
    <x v="0"/>
    <n v="867"/>
    <n v="1242.9687080513434"/>
    <b v="0"/>
    <n v="1317"/>
    <n v="51"/>
    <n v="1243"/>
    <x v="5"/>
    <x v="1"/>
    <x v="7"/>
  </r>
  <r>
    <x v="222"/>
    <n v="3024"/>
    <n v="147"/>
    <x v="1"/>
    <x v="1"/>
    <n v="1843"/>
    <n v="2543.9234672378388"/>
    <b v="1"/>
    <n v="3024"/>
    <n v="147"/>
    <n v="2544"/>
    <x v="5"/>
    <x v="0"/>
    <x v="7"/>
  </r>
  <r>
    <x v="222"/>
    <n v="7417.5"/>
    <n v="385.5"/>
    <x v="2"/>
    <x v="0"/>
    <n v="3825"/>
    <n v="7088.3556798245354"/>
    <b v="0"/>
    <n v="7418"/>
    <n v="386"/>
    <n v="7088"/>
    <x v="5"/>
    <x v="1"/>
    <x v="7"/>
  </r>
  <r>
    <x v="223"/>
    <n v="640.5"/>
    <n v="75"/>
    <x v="0"/>
    <x v="1"/>
    <n v="400"/>
    <n v="580.19048344439295"/>
    <b v="0"/>
    <n v="641"/>
    <n v="75"/>
    <n v="580"/>
    <x v="6"/>
    <x v="1"/>
    <x v="7"/>
  </r>
  <r>
    <x v="223"/>
    <n v="1218"/>
    <n v="75"/>
    <x v="0"/>
    <x v="0"/>
    <n v="790"/>
    <n v="1142.9187070589121"/>
    <b v="0"/>
    <n v="1218"/>
    <n v="75"/>
    <n v="1143"/>
    <x v="6"/>
    <x v="1"/>
    <x v="7"/>
  </r>
  <r>
    <x v="223"/>
    <n v="3832.5"/>
    <n v="160.5"/>
    <x v="1"/>
    <x v="1"/>
    <n v="2146"/>
    <n v="3197.7976251405084"/>
    <b v="0"/>
    <n v="3833"/>
    <n v="161"/>
    <n v="3198"/>
    <x v="6"/>
    <x v="1"/>
    <x v="7"/>
  </r>
  <r>
    <x v="223"/>
    <n v="8445"/>
    <n v="559.5"/>
    <x v="2"/>
    <x v="0"/>
    <n v="4549"/>
    <n v="7901.4451874681108"/>
    <b v="0"/>
    <n v="8445"/>
    <n v="560"/>
    <n v="7901"/>
    <x v="6"/>
    <x v="1"/>
    <x v="7"/>
  </r>
  <r>
    <x v="224"/>
    <n v="324"/>
    <n v="10.5"/>
    <x v="0"/>
    <x v="1"/>
    <n v="200"/>
    <n v="284.75953852903552"/>
    <b v="0"/>
    <n v="324"/>
    <n v="11"/>
    <n v="285"/>
    <x v="0"/>
    <x v="1"/>
    <x v="7"/>
  </r>
  <r>
    <x v="224"/>
    <n v="673.5"/>
    <n v="10.5"/>
    <x v="0"/>
    <x v="0"/>
    <n v="156"/>
    <n v="621.9880816237544"/>
    <b v="0"/>
    <n v="674"/>
    <n v="11"/>
    <n v="622"/>
    <x v="0"/>
    <x v="1"/>
    <x v="7"/>
  </r>
  <r>
    <x v="224"/>
    <n v="5104.5"/>
    <n v="99"/>
    <x v="1"/>
    <x v="1"/>
    <n v="742"/>
    <n v="4464.8959084311391"/>
    <b v="0"/>
    <n v="5105"/>
    <n v="99"/>
    <n v="4465"/>
    <x v="0"/>
    <x v="1"/>
    <x v="7"/>
  </r>
  <r>
    <x v="224"/>
    <n v="6513"/>
    <n v="318"/>
    <x v="2"/>
    <x v="0"/>
    <n v="4111"/>
    <n v="5963.689830708483"/>
    <b v="1"/>
    <n v="6513"/>
    <n v="318"/>
    <n v="5964"/>
    <x v="0"/>
    <x v="0"/>
    <x v="7"/>
  </r>
  <r>
    <x v="225"/>
    <n v="1.5"/>
    <n v="0"/>
    <x v="2"/>
    <x v="1"/>
    <n v="1"/>
    <n v="1.2567009009814576"/>
    <b v="0"/>
    <n v="2"/>
    <n v="0"/>
    <n v="1"/>
    <x v="1"/>
    <x v="1"/>
    <x v="7"/>
  </r>
  <r>
    <x v="225"/>
    <n v="304.5"/>
    <n v="42"/>
    <x v="0"/>
    <x v="1"/>
    <n v="139"/>
    <n v="280.41518846965238"/>
    <b v="0"/>
    <n v="305"/>
    <n v="42"/>
    <n v="280"/>
    <x v="1"/>
    <x v="1"/>
    <x v="7"/>
  </r>
  <r>
    <x v="225"/>
    <n v="609"/>
    <n v="42"/>
    <x v="0"/>
    <x v="0"/>
    <n v="396"/>
    <n v="588.14587884508217"/>
    <b v="0"/>
    <n v="609"/>
    <n v="42"/>
    <n v="588"/>
    <x v="1"/>
    <x v="1"/>
    <x v="7"/>
  </r>
  <r>
    <x v="225"/>
    <n v="4837.5"/>
    <n v="213"/>
    <x v="1"/>
    <x v="1"/>
    <n v="2229"/>
    <n v="4176.8257819704204"/>
    <b v="0"/>
    <n v="4838"/>
    <n v="213"/>
    <n v="4177"/>
    <x v="1"/>
    <x v="1"/>
    <x v="7"/>
  </r>
  <r>
    <x v="225"/>
    <n v="5275.5"/>
    <n v="298.5"/>
    <x v="2"/>
    <x v="0"/>
    <n v="2356"/>
    <n v="4919.1153426387127"/>
    <b v="0"/>
    <n v="5276"/>
    <n v="299"/>
    <n v="4919"/>
    <x v="1"/>
    <x v="1"/>
    <x v="7"/>
  </r>
  <r>
    <x v="226"/>
    <n v="327"/>
    <n v="10.5"/>
    <x v="0"/>
    <x v="1"/>
    <n v="169"/>
    <n v="285.43465349180394"/>
    <b v="0"/>
    <n v="327"/>
    <n v="11"/>
    <n v="285"/>
    <x v="2"/>
    <x v="1"/>
    <x v="7"/>
  </r>
  <r>
    <x v="226"/>
    <n v="630"/>
    <n v="10.5"/>
    <x v="0"/>
    <x v="0"/>
    <n v="28"/>
    <n v="592.34885329455858"/>
    <b v="0"/>
    <n v="630"/>
    <n v="11"/>
    <n v="592"/>
    <x v="2"/>
    <x v="1"/>
    <x v="7"/>
  </r>
  <r>
    <x v="226"/>
    <n v="4977"/>
    <n v="43.5"/>
    <x v="1"/>
    <x v="1"/>
    <n v="2484"/>
    <n v="4107.8699915249517"/>
    <b v="0"/>
    <n v="4977"/>
    <n v="44"/>
    <n v="4108"/>
    <x v="2"/>
    <x v="1"/>
    <x v="7"/>
  </r>
  <r>
    <x v="226"/>
    <n v="5308.5"/>
    <n v="163.5"/>
    <x v="2"/>
    <x v="0"/>
    <n v="1041"/>
    <n v="4870.4769352328685"/>
    <b v="0"/>
    <n v="5309"/>
    <n v="164"/>
    <n v="4870"/>
    <x v="2"/>
    <x v="1"/>
    <x v="7"/>
  </r>
  <r>
    <x v="227"/>
    <n v="577.5"/>
    <n v="6"/>
    <x v="0"/>
    <x v="1"/>
    <n v="304"/>
    <n v="513.13102273958361"/>
    <b v="0"/>
    <n v="578"/>
    <n v="6"/>
    <n v="513"/>
    <x v="3"/>
    <x v="1"/>
    <x v="7"/>
  </r>
  <r>
    <x v="227"/>
    <n v="955.5"/>
    <n v="6"/>
    <x v="0"/>
    <x v="0"/>
    <n v="268"/>
    <n v="845.16565066826468"/>
    <b v="0"/>
    <n v="956"/>
    <n v="6"/>
    <n v="845"/>
    <x v="3"/>
    <x v="1"/>
    <x v="7"/>
  </r>
  <r>
    <x v="227"/>
    <n v="4999.5"/>
    <n v="232.5"/>
    <x v="1"/>
    <x v="1"/>
    <n v="2727"/>
    <n v="4286.2720470478425"/>
    <b v="0"/>
    <n v="5000"/>
    <n v="233"/>
    <n v="4286"/>
    <x v="3"/>
    <x v="1"/>
    <x v="7"/>
  </r>
  <r>
    <x v="227"/>
    <n v="5185.5"/>
    <n v="226.5"/>
    <x v="2"/>
    <x v="0"/>
    <n v="226"/>
    <n v="4854.9412840737159"/>
    <b v="0"/>
    <n v="5186"/>
    <n v="227"/>
    <n v="4855"/>
    <x v="3"/>
    <x v="1"/>
    <x v="7"/>
  </r>
  <r>
    <x v="228"/>
    <n v="1177.5"/>
    <n v="57"/>
    <x v="0"/>
    <x v="1"/>
    <n v="220"/>
    <n v="1010.3816365751355"/>
    <b v="0"/>
    <n v="1178"/>
    <n v="57"/>
    <n v="1010"/>
    <x v="4"/>
    <x v="1"/>
    <x v="7"/>
  </r>
  <r>
    <x v="228"/>
    <n v="1534.5"/>
    <n v="57"/>
    <x v="0"/>
    <x v="0"/>
    <n v="102"/>
    <n v="1402.6830570711677"/>
    <b v="0"/>
    <n v="1535"/>
    <n v="57"/>
    <n v="1403"/>
    <x v="4"/>
    <x v="1"/>
    <x v="7"/>
  </r>
  <r>
    <x v="228"/>
    <n v="4084.5"/>
    <n v="63"/>
    <x v="2"/>
    <x v="0"/>
    <n v="1953"/>
    <n v="3812.7050499696293"/>
    <b v="0"/>
    <n v="4085"/>
    <n v="63"/>
    <n v="3813"/>
    <x v="4"/>
    <x v="1"/>
    <x v="7"/>
  </r>
  <r>
    <x v="228"/>
    <n v="4774.5"/>
    <n v="205.5"/>
    <x v="1"/>
    <x v="1"/>
    <n v="1186"/>
    <n v="4366.2132652790206"/>
    <b v="1"/>
    <n v="4775"/>
    <n v="206"/>
    <n v="4366"/>
    <x v="4"/>
    <x v="0"/>
    <x v="7"/>
  </r>
  <r>
    <x v="229"/>
    <n v="1.5"/>
    <n v="0"/>
    <x v="2"/>
    <x v="1"/>
    <n v="1"/>
    <n v="1.2214558873598713"/>
    <b v="0"/>
    <n v="2"/>
    <n v="0"/>
    <n v="1"/>
    <x v="5"/>
    <x v="1"/>
    <x v="7"/>
  </r>
  <r>
    <x v="229"/>
    <n v="1.5"/>
    <n v="0"/>
    <x v="1"/>
    <x v="0"/>
    <n v="1"/>
    <n v="1.3062415929073965"/>
    <b v="0"/>
    <n v="2"/>
    <n v="0"/>
    <n v="1"/>
    <x v="5"/>
    <x v="1"/>
    <x v="7"/>
  </r>
  <r>
    <x v="229"/>
    <n v="868.5"/>
    <n v="21"/>
    <x v="0"/>
    <x v="0"/>
    <n v="283"/>
    <n v="831.29278803806119"/>
    <b v="0"/>
    <n v="869"/>
    <n v="21"/>
    <n v="831"/>
    <x v="5"/>
    <x v="1"/>
    <x v="7"/>
  </r>
  <r>
    <x v="229"/>
    <n v="1134"/>
    <n v="21"/>
    <x v="0"/>
    <x v="1"/>
    <n v="82"/>
    <n v="951.01484913858201"/>
    <b v="0"/>
    <n v="1134"/>
    <n v="21"/>
    <n v="951"/>
    <x v="5"/>
    <x v="1"/>
    <x v="7"/>
  </r>
  <r>
    <x v="229"/>
    <n v="4740"/>
    <n v="82.5"/>
    <x v="1"/>
    <x v="1"/>
    <n v="3100"/>
    <n v="4001.5734864222345"/>
    <b v="0"/>
    <n v="4740"/>
    <n v="83"/>
    <n v="4002"/>
    <x v="5"/>
    <x v="1"/>
    <x v="7"/>
  </r>
  <r>
    <x v="229"/>
    <n v="5947.5"/>
    <n v="99"/>
    <x v="2"/>
    <x v="0"/>
    <n v="1347"/>
    <n v="5574.0255765743823"/>
    <b v="0"/>
    <n v="5948"/>
    <n v="99"/>
    <n v="5574"/>
    <x v="5"/>
    <x v="1"/>
    <x v="7"/>
  </r>
  <r>
    <x v="230"/>
    <n v="4.5"/>
    <n v="1.5"/>
    <x v="2"/>
    <x v="1"/>
    <n v="3"/>
    <n v="5.19482117612334"/>
    <b v="0"/>
    <n v="5"/>
    <n v="2"/>
    <n v="5"/>
    <x v="6"/>
    <x v="1"/>
    <x v="7"/>
  </r>
  <r>
    <x v="230"/>
    <n v="1300.5"/>
    <n v="27"/>
    <x v="0"/>
    <x v="0"/>
    <n v="49"/>
    <n v="1245.4204437052413"/>
    <b v="0"/>
    <n v="1301"/>
    <n v="27"/>
    <n v="1245"/>
    <x v="6"/>
    <x v="1"/>
    <x v="7"/>
  </r>
  <r>
    <x v="230"/>
    <n v="1401"/>
    <n v="27"/>
    <x v="0"/>
    <x v="1"/>
    <n v="754"/>
    <n v="1235.7247819147096"/>
    <b v="0"/>
    <n v="1401"/>
    <n v="27"/>
    <n v="1236"/>
    <x v="6"/>
    <x v="1"/>
    <x v="7"/>
  </r>
  <r>
    <x v="230"/>
    <n v="4137"/>
    <n v="157.5"/>
    <x v="1"/>
    <x v="1"/>
    <n v="2655"/>
    <n v="3617.6960199197206"/>
    <b v="0"/>
    <n v="4137"/>
    <n v="158"/>
    <n v="3618"/>
    <x v="6"/>
    <x v="1"/>
    <x v="7"/>
  </r>
  <r>
    <x v="230"/>
    <n v="6256.5"/>
    <n v="391.5"/>
    <x v="2"/>
    <x v="0"/>
    <n v="1732"/>
    <n v="6196.9307386592382"/>
    <b v="0"/>
    <n v="6257"/>
    <n v="392"/>
    <n v="6197"/>
    <x v="6"/>
    <x v="1"/>
    <x v="7"/>
  </r>
  <r>
    <x v="231"/>
    <n v="1111.5"/>
    <n v="99"/>
    <x v="0"/>
    <x v="1"/>
    <n v="480"/>
    <n v="1056.6022582266548"/>
    <b v="0"/>
    <n v="1112"/>
    <n v="99"/>
    <n v="1057"/>
    <x v="0"/>
    <x v="1"/>
    <x v="7"/>
  </r>
  <r>
    <x v="231"/>
    <n v="1602"/>
    <n v="99"/>
    <x v="0"/>
    <x v="0"/>
    <n v="243"/>
    <n v="1588.4296266490537"/>
    <b v="0"/>
    <n v="1602"/>
    <n v="99"/>
    <n v="1588"/>
    <x v="0"/>
    <x v="1"/>
    <x v="7"/>
  </r>
  <r>
    <x v="231"/>
    <n v="3694.5"/>
    <n v="169.5"/>
    <x v="1"/>
    <x v="1"/>
    <n v="1005"/>
    <n v="3389.2773242506064"/>
    <b v="0"/>
    <n v="3695"/>
    <n v="170"/>
    <n v="3389"/>
    <x v="0"/>
    <x v="1"/>
    <x v="7"/>
  </r>
  <r>
    <x v="231"/>
    <n v="3711"/>
    <n v="145.5"/>
    <x v="2"/>
    <x v="0"/>
    <n v="584"/>
    <n v="3581.5643959276454"/>
    <b v="0"/>
    <n v="3711"/>
    <n v="146"/>
    <n v="3582"/>
    <x v="0"/>
    <x v="1"/>
    <x v="7"/>
  </r>
  <r>
    <x v="232"/>
    <n v="1.5"/>
    <n v="0"/>
    <x v="1"/>
    <x v="0"/>
    <n v="1"/>
    <n v="1.3601757036942839"/>
    <b v="0"/>
    <n v="2"/>
    <n v="0"/>
    <n v="1"/>
    <x v="1"/>
    <x v="1"/>
    <x v="7"/>
  </r>
  <r>
    <x v="232"/>
    <n v="520.5"/>
    <n v="33"/>
    <x v="0"/>
    <x v="1"/>
    <n v="321"/>
    <n v="479.02962758676938"/>
    <b v="0"/>
    <n v="521"/>
    <n v="33"/>
    <n v="479"/>
    <x v="1"/>
    <x v="1"/>
    <x v="7"/>
  </r>
  <r>
    <x v="232"/>
    <n v="633"/>
    <n v="33"/>
    <x v="0"/>
    <x v="0"/>
    <n v="158"/>
    <n v="597.57030545443502"/>
    <b v="0"/>
    <n v="633"/>
    <n v="33"/>
    <n v="598"/>
    <x v="1"/>
    <x v="1"/>
    <x v="7"/>
  </r>
  <r>
    <x v="232"/>
    <n v="3876"/>
    <n v="166.5"/>
    <x v="1"/>
    <x v="1"/>
    <n v="2496"/>
    <n v="3406.9911670987285"/>
    <b v="0"/>
    <n v="3876"/>
    <n v="167"/>
    <n v="3407"/>
    <x v="1"/>
    <x v="1"/>
    <x v="7"/>
  </r>
  <r>
    <x v="232"/>
    <n v="4893"/>
    <n v="13.5"/>
    <x v="2"/>
    <x v="0"/>
    <n v="824"/>
    <n v="4611.9188669248806"/>
    <b v="0"/>
    <n v="4893"/>
    <n v="14"/>
    <n v="4612"/>
    <x v="1"/>
    <x v="1"/>
    <x v="7"/>
  </r>
  <r>
    <x v="233"/>
    <n v="343.5"/>
    <n v="27"/>
    <x v="0"/>
    <x v="1"/>
    <n v="22"/>
    <n v="299.23760260201078"/>
    <b v="0"/>
    <n v="344"/>
    <n v="27"/>
    <n v="299"/>
    <x v="2"/>
    <x v="1"/>
    <x v="7"/>
  </r>
  <r>
    <x v="233"/>
    <n v="559.5"/>
    <n v="27"/>
    <x v="0"/>
    <x v="0"/>
    <n v="312"/>
    <n v="531.09779669987574"/>
    <b v="0"/>
    <n v="560"/>
    <n v="27"/>
    <n v="531"/>
    <x v="2"/>
    <x v="1"/>
    <x v="7"/>
  </r>
  <r>
    <x v="233"/>
    <n v="5214"/>
    <n v="198"/>
    <x v="2"/>
    <x v="0"/>
    <n v="1665"/>
    <n v="4760.3573936799403"/>
    <b v="0"/>
    <n v="5214"/>
    <n v="198"/>
    <n v="4760"/>
    <x v="2"/>
    <x v="1"/>
    <x v="7"/>
  </r>
  <r>
    <x v="233"/>
    <n v="5512.5"/>
    <n v="102"/>
    <x v="1"/>
    <x v="1"/>
    <n v="3494"/>
    <n v="4520.9608769763026"/>
    <b v="0"/>
    <n v="5513"/>
    <n v="102"/>
    <n v="4521"/>
    <x v="2"/>
    <x v="1"/>
    <x v="7"/>
  </r>
  <r>
    <x v="234"/>
    <n v="999"/>
    <n v="4.5"/>
    <x v="0"/>
    <x v="1"/>
    <n v="588"/>
    <n v="844.55107891337718"/>
    <b v="0"/>
    <n v="999"/>
    <n v="5"/>
    <n v="845"/>
    <x v="3"/>
    <x v="1"/>
    <x v="7"/>
  </r>
  <r>
    <x v="234"/>
    <n v="1467"/>
    <n v="4.5"/>
    <x v="0"/>
    <x v="0"/>
    <n v="580"/>
    <n v="1302.7885279213999"/>
    <b v="0"/>
    <n v="1467"/>
    <n v="5"/>
    <n v="1303"/>
    <x v="3"/>
    <x v="1"/>
    <x v="7"/>
  </r>
  <r>
    <x v="234"/>
    <n v="4516.5"/>
    <n v="91.5"/>
    <x v="1"/>
    <x v="1"/>
    <n v="1847"/>
    <n v="3966.5552238765667"/>
    <b v="0"/>
    <n v="4517"/>
    <n v="92"/>
    <n v="3967"/>
    <x v="3"/>
    <x v="1"/>
    <x v="7"/>
  </r>
  <r>
    <x v="234"/>
    <n v="4845"/>
    <n v="241.5"/>
    <x v="2"/>
    <x v="0"/>
    <n v="3106"/>
    <n v="4715.4896855525894"/>
    <b v="0"/>
    <n v="4845"/>
    <n v="242"/>
    <n v="4715"/>
    <x v="3"/>
    <x v="1"/>
    <x v="7"/>
  </r>
  <r>
    <x v="235"/>
    <n v="384"/>
    <n v="39"/>
    <x v="0"/>
    <x v="1"/>
    <n v="144"/>
    <n v="365.99453871664588"/>
    <b v="0"/>
    <n v="384"/>
    <n v="39"/>
    <n v="366"/>
    <x v="4"/>
    <x v="1"/>
    <x v="7"/>
  </r>
  <r>
    <x v="235"/>
    <n v="651"/>
    <n v="39"/>
    <x v="0"/>
    <x v="0"/>
    <n v="329"/>
    <n v="629.26394657828735"/>
    <b v="0"/>
    <n v="651"/>
    <n v="39"/>
    <n v="629"/>
    <x v="4"/>
    <x v="1"/>
    <x v="7"/>
  </r>
  <r>
    <x v="235"/>
    <n v="5682"/>
    <n v="60"/>
    <x v="1"/>
    <x v="1"/>
    <n v="254"/>
    <n v="4935.8565269135588"/>
    <b v="0"/>
    <n v="5682"/>
    <n v="60"/>
    <n v="4936"/>
    <x v="4"/>
    <x v="1"/>
    <x v="7"/>
  </r>
  <r>
    <x v="235"/>
    <n v="6357"/>
    <n v="171"/>
    <x v="2"/>
    <x v="0"/>
    <n v="2315"/>
    <n v="5988.5829513673389"/>
    <b v="0"/>
    <n v="6357"/>
    <n v="171"/>
    <n v="5989"/>
    <x v="4"/>
    <x v="1"/>
    <x v="7"/>
  </r>
  <r>
    <x v="236"/>
    <n v="3"/>
    <n v="0"/>
    <x v="1"/>
    <x v="0"/>
    <n v="1"/>
    <n v="2.7996949162635332"/>
    <b v="0"/>
    <n v="3"/>
    <n v="0"/>
    <n v="3"/>
    <x v="5"/>
    <x v="1"/>
    <x v="7"/>
  </r>
  <r>
    <x v="236"/>
    <n v="613.5"/>
    <n v="18"/>
    <x v="0"/>
    <x v="0"/>
    <n v="102"/>
    <n v="577.70204074220976"/>
    <b v="0"/>
    <n v="614"/>
    <n v="18"/>
    <n v="578"/>
    <x v="5"/>
    <x v="1"/>
    <x v="7"/>
  </r>
  <r>
    <x v="236"/>
    <n v="714"/>
    <n v="18"/>
    <x v="0"/>
    <x v="1"/>
    <n v="400"/>
    <n v="615.9346070769119"/>
    <b v="0"/>
    <n v="714"/>
    <n v="18"/>
    <n v="616"/>
    <x v="5"/>
    <x v="1"/>
    <x v="7"/>
  </r>
  <r>
    <x v="236"/>
    <n v="5991"/>
    <n v="231"/>
    <x v="1"/>
    <x v="1"/>
    <n v="3744"/>
    <n v="5005.3453861161688"/>
    <b v="1"/>
    <n v="5991"/>
    <n v="231"/>
    <n v="5005"/>
    <x v="5"/>
    <x v="0"/>
    <x v="7"/>
  </r>
  <r>
    <x v="236"/>
    <n v="6808.5"/>
    <n v="429"/>
    <x v="2"/>
    <x v="0"/>
    <n v="4359"/>
    <n v="6531.1312336327628"/>
    <b v="0"/>
    <n v="6809"/>
    <n v="429"/>
    <n v="6531"/>
    <x v="5"/>
    <x v="1"/>
    <x v="7"/>
  </r>
  <r>
    <x v="237"/>
    <n v="462"/>
    <n v="12"/>
    <x v="0"/>
    <x v="0"/>
    <n v="54"/>
    <n v="435.5796310822688"/>
    <b v="0"/>
    <n v="462"/>
    <n v="12"/>
    <n v="436"/>
    <x v="6"/>
    <x v="1"/>
    <x v="7"/>
  </r>
  <r>
    <x v="237"/>
    <n v="490.5"/>
    <n v="12"/>
    <x v="0"/>
    <x v="1"/>
    <n v="243"/>
    <n v="424.64748149868382"/>
    <b v="0"/>
    <n v="491"/>
    <n v="12"/>
    <n v="425"/>
    <x v="6"/>
    <x v="1"/>
    <x v="7"/>
  </r>
  <r>
    <x v="237"/>
    <n v="5887.5"/>
    <n v="262.5"/>
    <x v="1"/>
    <x v="1"/>
    <n v="2992"/>
    <n v="5231.1511618420818"/>
    <b v="0"/>
    <n v="5888"/>
    <n v="263"/>
    <n v="5231"/>
    <x v="6"/>
    <x v="1"/>
    <x v="7"/>
  </r>
  <r>
    <x v="237"/>
    <n v="6786"/>
    <n v="459"/>
    <x v="2"/>
    <x v="0"/>
    <n v="4480"/>
    <n v="6623.4573685849728"/>
    <b v="0"/>
    <n v="6786"/>
    <n v="459"/>
    <n v="6623"/>
    <x v="6"/>
    <x v="1"/>
    <x v="7"/>
  </r>
  <r>
    <x v="238"/>
    <n v="1.5"/>
    <n v="0"/>
    <x v="1"/>
    <x v="0"/>
    <n v="1"/>
    <n v="1.377663489399948"/>
    <b v="0"/>
    <n v="2"/>
    <n v="0"/>
    <n v="1"/>
    <x v="0"/>
    <x v="1"/>
    <x v="7"/>
  </r>
  <r>
    <x v="238"/>
    <n v="772.5"/>
    <n v="21"/>
    <x v="0"/>
    <x v="0"/>
    <n v="142"/>
    <n v="708.04815840953802"/>
    <b v="0"/>
    <n v="773"/>
    <n v="21"/>
    <n v="708"/>
    <x v="0"/>
    <x v="1"/>
    <x v="7"/>
  </r>
  <r>
    <x v="238"/>
    <n v="787.5"/>
    <n v="21"/>
    <x v="0"/>
    <x v="1"/>
    <n v="518"/>
    <n v="651.77752693741218"/>
    <b v="1"/>
    <n v="788"/>
    <n v="21"/>
    <n v="652"/>
    <x v="0"/>
    <x v="0"/>
    <x v="7"/>
  </r>
  <r>
    <x v="238"/>
    <n v="4105.5"/>
    <n v="144"/>
    <x v="1"/>
    <x v="1"/>
    <n v="2345"/>
    <n v="3633.9106616897302"/>
    <b v="0"/>
    <n v="4106"/>
    <n v="144"/>
    <n v="3634"/>
    <x v="0"/>
    <x v="1"/>
    <x v="7"/>
  </r>
  <r>
    <x v="238"/>
    <n v="6541.5"/>
    <n v="441"/>
    <x v="2"/>
    <x v="0"/>
    <n v="1776"/>
    <n v="6226.1923753522233"/>
    <b v="0"/>
    <n v="6542"/>
    <n v="441"/>
    <n v="6226"/>
    <x v="0"/>
    <x v="1"/>
    <x v="7"/>
  </r>
  <r>
    <x v="239"/>
    <n v="667.5"/>
    <n v="9"/>
    <x v="0"/>
    <x v="1"/>
    <n v="5"/>
    <n v="586.88887337401889"/>
    <b v="0"/>
    <n v="668"/>
    <n v="9"/>
    <n v="587"/>
    <x v="1"/>
    <x v="1"/>
    <x v="7"/>
  </r>
  <r>
    <x v="239"/>
    <n v="745.5"/>
    <n v="9"/>
    <x v="0"/>
    <x v="0"/>
    <n v="80"/>
    <n v="684.59948774985219"/>
    <b v="0"/>
    <n v="746"/>
    <n v="9"/>
    <n v="685"/>
    <x v="1"/>
    <x v="1"/>
    <x v="7"/>
  </r>
  <r>
    <x v="239"/>
    <n v="4368"/>
    <n v="121.5"/>
    <x v="1"/>
    <x v="1"/>
    <n v="2884"/>
    <n v="3722.0176838338275"/>
    <b v="0"/>
    <n v="4368"/>
    <n v="122"/>
    <n v="3722"/>
    <x v="1"/>
    <x v="1"/>
    <x v="7"/>
  </r>
  <r>
    <x v="239"/>
    <n v="6090"/>
    <n v="364.5"/>
    <x v="2"/>
    <x v="0"/>
    <n v="1782"/>
    <n v="5791.484698165772"/>
    <b v="0"/>
    <n v="6090"/>
    <n v="365"/>
    <n v="5791"/>
    <x v="1"/>
    <x v="1"/>
    <x v="7"/>
  </r>
  <r>
    <x v="240"/>
    <n v="1.5"/>
    <n v="0"/>
    <x v="1"/>
    <x v="0"/>
    <n v="1"/>
    <n v="1.3575769269268547"/>
    <b v="0"/>
    <n v="2"/>
    <n v="0"/>
    <n v="1"/>
    <x v="2"/>
    <x v="1"/>
    <x v="7"/>
  </r>
  <r>
    <x v="240"/>
    <n v="537"/>
    <n v="28.5"/>
    <x v="0"/>
    <x v="1"/>
    <n v="230"/>
    <n v="462.18428276173211"/>
    <b v="0"/>
    <n v="537"/>
    <n v="29"/>
    <n v="462"/>
    <x v="2"/>
    <x v="1"/>
    <x v="7"/>
  </r>
  <r>
    <x v="240"/>
    <n v="838.5"/>
    <n v="28.5"/>
    <x v="0"/>
    <x v="0"/>
    <n v="242"/>
    <n v="755.24763505647979"/>
    <b v="0"/>
    <n v="839"/>
    <n v="29"/>
    <n v="755"/>
    <x v="2"/>
    <x v="1"/>
    <x v="7"/>
  </r>
  <r>
    <x v="240"/>
    <n v="5581.5"/>
    <n v="154.5"/>
    <x v="1"/>
    <x v="1"/>
    <n v="2052"/>
    <n v="4732.3450911138825"/>
    <b v="0"/>
    <n v="5582"/>
    <n v="155"/>
    <n v="4732"/>
    <x v="2"/>
    <x v="1"/>
    <x v="7"/>
  </r>
  <r>
    <x v="240"/>
    <n v="5914.5"/>
    <n v="364.5"/>
    <x v="2"/>
    <x v="0"/>
    <n v="2434"/>
    <n v="5667.8956403530547"/>
    <b v="0"/>
    <n v="5915"/>
    <n v="365"/>
    <n v="5668"/>
    <x v="2"/>
    <x v="1"/>
    <x v="7"/>
  </r>
  <r>
    <x v="241"/>
    <n v="1.5"/>
    <n v="0"/>
    <x v="2"/>
    <x v="1"/>
    <n v="1"/>
    <n v="1.2096435037214504"/>
    <b v="1"/>
    <n v="2"/>
    <n v="0"/>
    <n v="1"/>
    <x v="3"/>
    <x v="0"/>
    <x v="7"/>
  </r>
  <r>
    <x v="241"/>
    <n v="763.5"/>
    <n v="33"/>
    <x v="0"/>
    <x v="1"/>
    <n v="444"/>
    <n v="664.90591632028361"/>
    <b v="0"/>
    <n v="764"/>
    <n v="33"/>
    <n v="665"/>
    <x v="3"/>
    <x v="1"/>
    <x v="7"/>
  </r>
  <r>
    <x v="241"/>
    <n v="1086"/>
    <n v="33"/>
    <x v="0"/>
    <x v="0"/>
    <n v="317"/>
    <n v="1014.9462120849026"/>
    <b v="0"/>
    <n v="1086"/>
    <n v="33"/>
    <n v="1015"/>
    <x v="3"/>
    <x v="1"/>
    <x v="7"/>
  </r>
  <r>
    <x v="241"/>
    <n v="5721"/>
    <n v="292.5"/>
    <x v="2"/>
    <x v="0"/>
    <n v="1338"/>
    <n v="5586.828562200235"/>
    <b v="0"/>
    <n v="5721"/>
    <n v="293"/>
    <n v="5587"/>
    <x v="3"/>
    <x v="1"/>
    <x v="7"/>
  </r>
  <r>
    <x v="241"/>
    <n v="5917.5"/>
    <n v="213"/>
    <x v="1"/>
    <x v="1"/>
    <n v="1814"/>
    <n v="5079.0461544186392"/>
    <b v="0"/>
    <n v="5918"/>
    <n v="213"/>
    <n v="5079"/>
    <x v="3"/>
    <x v="1"/>
    <x v="7"/>
  </r>
  <r>
    <x v="242"/>
    <n v="1.5"/>
    <n v="0"/>
    <x v="2"/>
    <x v="1"/>
    <n v="1"/>
    <n v="1.23149997613725"/>
    <b v="0"/>
    <n v="2"/>
    <n v="0"/>
    <n v="1"/>
    <x v="4"/>
    <x v="1"/>
    <x v="7"/>
  </r>
  <r>
    <x v="242"/>
    <n v="1033.5"/>
    <n v="45"/>
    <x v="0"/>
    <x v="0"/>
    <n v="559"/>
    <n v="972.68434877638242"/>
    <b v="0"/>
    <n v="1034"/>
    <n v="45"/>
    <n v="973"/>
    <x v="4"/>
    <x v="1"/>
    <x v="7"/>
  </r>
  <r>
    <x v="242"/>
    <n v="2257.5"/>
    <n v="45"/>
    <x v="0"/>
    <x v="1"/>
    <n v="713"/>
    <n v="2028.8730164696738"/>
    <b v="0"/>
    <n v="2258"/>
    <n v="45"/>
    <n v="2029"/>
    <x v="4"/>
    <x v="1"/>
    <x v="7"/>
  </r>
  <r>
    <x v="242"/>
    <n v="5865"/>
    <n v="87"/>
    <x v="1"/>
    <x v="1"/>
    <n v="623"/>
    <n v="5272.3074081689683"/>
    <b v="0"/>
    <n v="5865"/>
    <n v="87"/>
    <n v="5272"/>
    <x v="4"/>
    <x v="1"/>
    <x v="7"/>
  </r>
  <r>
    <x v="242"/>
    <n v="6940.5"/>
    <n v="79.5"/>
    <x v="2"/>
    <x v="0"/>
    <n v="3774"/>
    <n v="6291.7141042623134"/>
    <b v="0"/>
    <n v="6941"/>
    <n v="80"/>
    <n v="6292"/>
    <x v="4"/>
    <x v="1"/>
    <x v="7"/>
  </r>
  <r>
    <x v="243"/>
    <n v="3"/>
    <n v="0"/>
    <x v="1"/>
    <x v="0"/>
    <n v="2"/>
    <n v="2.7887513335709402"/>
    <b v="0"/>
    <n v="3"/>
    <n v="0"/>
    <n v="3"/>
    <x v="5"/>
    <x v="1"/>
    <x v="7"/>
  </r>
  <r>
    <x v="243"/>
    <n v="1471.5"/>
    <n v="79.5"/>
    <x v="0"/>
    <x v="0"/>
    <n v="878"/>
    <n v="1372.0715386578972"/>
    <b v="0"/>
    <n v="1472"/>
    <n v="80"/>
    <n v="1372"/>
    <x v="5"/>
    <x v="1"/>
    <x v="7"/>
  </r>
  <r>
    <x v="243"/>
    <n v="2311.5"/>
    <n v="79.5"/>
    <x v="0"/>
    <x v="1"/>
    <n v="841"/>
    <n v="2020.6434314491141"/>
    <b v="0"/>
    <n v="2312"/>
    <n v="80"/>
    <n v="2021"/>
    <x v="5"/>
    <x v="1"/>
    <x v="7"/>
  </r>
  <r>
    <x v="243"/>
    <n v="4387.5"/>
    <n v="36"/>
    <x v="2"/>
    <x v="0"/>
    <n v="64"/>
    <n v="3956.1529049981114"/>
    <b v="0"/>
    <n v="4388"/>
    <n v="36"/>
    <n v="3956"/>
    <x v="5"/>
    <x v="1"/>
    <x v="7"/>
  </r>
  <r>
    <x v="243"/>
    <n v="4927.5"/>
    <n v="219"/>
    <x v="1"/>
    <x v="1"/>
    <n v="3056"/>
    <n v="4536.4657298363572"/>
    <b v="0"/>
    <n v="4928"/>
    <n v="219"/>
    <n v="4536"/>
    <x v="5"/>
    <x v="1"/>
    <x v="7"/>
  </r>
  <r>
    <x v="244"/>
    <n v="1138.5"/>
    <n v="12"/>
    <x v="0"/>
    <x v="0"/>
    <n v="705"/>
    <n v="1079.1963241383917"/>
    <b v="0"/>
    <n v="1139"/>
    <n v="12"/>
    <n v="1079"/>
    <x v="6"/>
    <x v="1"/>
    <x v="8"/>
  </r>
  <r>
    <x v="244"/>
    <n v="1576.5"/>
    <n v="12"/>
    <x v="0"/>
    <x v="1"/>
    <n v="53"/>
    <n v="1349.1808168811781"/>
    <b v="0"/>
    <n v="1577"/>
    <n v="12"/>
    <n v="1349"/>
    <x v="6"/>
    <x v="1"/>
    <x v="8"/>
  </r>
  <r>
    <x v="244"/>
    <n v="4984.5"/>
    <n v="55.5"/>
    <x v="2"/>
    <x v="0"/>
    <n v="3167"/>
    <n v="4678.8701499364006"/>
    <b v="0"/>
    <n v="4985"/>
    <n v="56"/>
    <n v="4679"/>
    <x v="6"/>
    <x v="1"/>
    <x v="8"/>
  </r>
  <r>
    <x v="244"/>
    <n v="5254.5"/>
    <n v="130.5"/>
    <x v="1"/>
    <x v="1"/>
    <n v="1719"/>
    <n v="4685.8216617927001"/>
    <b v="0"/>
    <n v="5255"/>
    <n v="131"/>
    <n v="4686"/>
    <x v="6"/>
    <x v="1"/>
    <x v="8"/>
  </r>
  <r>
    <x v="245"/>
    <n v="1675.5"/>
    <n v="37.5"/>
    <x v="2"/>
    <x v="0"/>
    <n v="1095"/>
    <n v="1587.8401759720775"/>
    <b v="0"/>
    <n v="1676"/>
    <n v="38"/>
    <n v="1588"/>
    <x v="0"/>
    <x v="1"/>
    <x v="8"/>
  </r>
  <r>
    <x v="245"/>
    <n v="2127"/>
    <n v="73.5"/>
    <x v="1"/>
    <x v="1"/>
    <n v="1345"/>
    <n v="1813.6185071478205"/>
    <b v="0"/>
    <n v="2127"/>
    <n v="74"/>
    <n v="1814"/>
    <x v="0"/>
    <x v="1"/>
    <x v="8"/>
  </r>
  <r>
    <x v="245"/>
    <n v="5254.5"/>
    <n v="264"/>
    <x v="0"/>
    <x v="1"/>
    <n v="3423"/>
    <n v="4580.7778495963039"/>
    <b v="0"/>
    <n v="5255"/>
    <n v="264"/>
    <n v="4581"/>
    <x v="0"/>
    <x v="1"/>
    <x v="8"/>
  </r>
  <r>
    <x v="245"/>
    <n v="5350.5"/>
    <n v="264"/>
    <x v="0"/>
    <x v="0"/>
    <n v="689"/>
    <n v="5170.2477348355978"/>
    <b v="1"/>
    <n v="5351"/>
    <n v="264"/>
    <n v="5170"/>
    <x v="0"/>
    <x v="0"/>
    <x v="8"/>
  </r>
  <r>
    <x v="246"/>
    <n v="2643"/>
    <n v="10.5"/>
    <x v="1"/>
    <x v="1"/>
    <n v="601"/>
    <n v="2320.22978865493"/>
    <b v="0"/>
    <n v="2643"/>
    <n v="11"/>
    <n v="2320"/>
    <x v="1"/>
    <x v="1"/>
    <x v="8"/>
  </r>
  <r>
    <x v="246"/>
    <n v="2697"/>
    <n v="157.5"/>
    <x v="2"/>
    <x v="0"/>
    <n v="1432"/>
    <n v="2591.4855240636871"/>
    <b v="0"/>
    <n v="2697"/>
    <n v="158"/>
    <n v="2591"/>
    <x v="1"/>
    <x v="1"/>
    <x v="8"/>
  </r>
  <r>
    <x v="246"/>
    <n v="4071"/>
    <n v="159"/>
    <x v="0"/>
    <x v="0"/>
    <n v="1471"/>
    <n v="3884.2437086452251"/>
    <b v="0"/>
    <n v="4071"/>
    <n v="159"/>
    <n v="3884"/>
    <x v="1"/>
    <x v="1"/>
    <x v="8"/>
  </r>
  <r>
    <x v="246"/>
    <n v="4989"/>
    <n v="159"/>
    <x v="0"/>
    <x v="1"/>
    <n v="3030"/>
    <n v="4179.5897027019164"/>
    <b v="0"/>
    <n v="4989"/>
    <n v="159"/>
    <n v="4180"/>
    <x v="1"/>
    <x v="1"/>
    <x v="8"/>
  </r>
  <r>
    <x v="247"/>
    <n v="1.5"/>
    <n v="0"/>
    <x v="2"/>
    <x v="1"/>
    <n v="1"/>
    <n v="1.260843597775497"/>
    <b v="0"/>
    <n v="2"/>
    <n v="0"/>
    <n v="1"/>
    <x v="2"/>
    <x v="1"/>
    <x v="8"/>
  </r>
  <r>
    <x v="247"/>
    <n v="789"/>
    <n v="45"/>
    <x v="0"/>
    <x v="1"/>
    <n v="195"/>
    <n v="717.18277441137252"/>
    <b v="0"/>
    <n v="789"/>
    <n v="45"/>
    <n v="717"/>
    <x v="2"/>
    <x v="1"/>
    <x v="8"/>
  </r>
  <r>
    <x v="247"/>
    <n v="1306.5"/>
    <n v="45"/>
    <x v="0"/>
    <x v="0"/>
    <n v="21"/>
    <n v="1195.8523376206501"/>
    <b v="0"/>
    <n v="1307"/>
    <n v="45"/>
    <n v="1196"/>
    <x v="2"/>
    <x v="1"/>
    <x v="8"/>
  </r>
  <r>
    <x v="247"/>
    <n v="6064.5"/>
    <n v="109.5"/>
    <x v="2"/>
    <x v="0"/>
    <n v="490"/>
    <n v="5615.7677644093828"/>
    <b v="0"/>
    <n v="6065"/>
    <n v="110"/>
    <n v="5616"/>
    <x v="2"/>
    <x v="1"/>
    <x v="8"/>
  </r>
  <r>
    <x v="247"/>
    <n v="6661.5"/>
    <n v="255"/>
    <x v="1"/>
    <x v="1"/>
    <n v="1259"/>
    <n v="6082.9246295825924"/>
    <b v="0"/>
    <n v="6662"/>
    <n v="255"/>
    <n v="6083"/>
    <x v="2"/>
    <x v="1"/>
    <x v="8"/>
  </r>
  <r>
    <x v="248"/>
    <n v="1240.5"/>
    <n v="103.5"/>
    <x v="0"/>
    <x v="1"/>
    <n v="762"/>
    <n v="1164.9048018926035"/>
    <b v="0"/>
    <n v="1241"/>
    <n v="104"/>
    <n v="1165"/>
    <x v="3"/>
    <x v="1"/>
    <x v="8"/>
  </r>
  <r>
    <x v="248"/>
    <n v="1917"/>
    <n v="103.5"/>
    <x v="0"/>
    <x v="0"/>
    <n v="469"/>
    <n v="1833.3859844352273"/>
    <b v="0"/>
    <n v="1917"/>
    <n v="104"/>
    <n v="1833"/>
    <x v="3"/>
    <x v="1"/>
    <x v="8"/>
  </r>
  <r>
    <x v="248"/>
    <n v="6915"/>
    <n v="220.5"/>
    <x v="1"/>
    <x v="1"/>
    <n v="4500"/>
    <n v="6100.0470018879114"/>
    <b v="0"/>
    <n v="6915"/>
    <n v="221"/>
    <n v="6100"/>
    <x v="3"/>
    <x v="1"/>
    <x v="8"/>
  </r>
  <r>
    <x v="248"/>
    <n v="7482"/>
    <n v="10.5"/>
    <x v="2"/>
    <x v="0"/>
    <n v="3448"/>
    <n v="6684.5742089158066"/>
    <b v="0"/>
    <n v="7482"/>
    <n v="11"/>
    <n v="6685"/>
    <x v="3"/>
    <x v="1"/>
    <x v="8"/>
  </r>
  <r>
    <x v="249"/>
    <n v="834"/>
    <n v="28.5"/>
    <x v="0"/>
    <x v="0"/>
    <n v="549"/>
    <n v="794.87600559966097"/>
    <b v="0"/>
    <n v="834"/>
    <n v="29"/>
    <n v="795"/>
    <x v="4"/>
    <x v="1"/>
    <x v="8"/>
  </r>
  <r>
    <x v="249"/>
    <n v="1000.5"/>
    <n v="28.5"/>
    <x v="0"/>
    <x v="1"/>
    <n v="25"/>
    <n v="885.88388091728484"/>
    <b v="0"/>
    <n v="1001"/>
    <n v="29"/>
    <n v="886"/>
    <x v="4"/>
    <x v="1"/>
    <x v="8"/>
  </r>
  <r>
    <x v="249"/>
    <n v="6157.5"/>
    <n v="232.5"/>
    <x v="1"/>
    <x v="1"/>
    <n v="505"/>
    <n v="5359.8424558155957"/>
    <b v="0"/>
    <n v="6158"/>
    <n v="233"/>
    <n v="5360"/>
    <x v="4"/>
    <x v="1"/>
    <x v="8"/>
  </r>
  <r>
    <x v="249"/>
    <n v="6877.5"/>
    <n v="229.5"/>
    <x v="2"/>
    <x v="0"/>
    <n v="223"/>
    <n v="6487.8571154627107"/>
    <b v="0"/>
    <n v="6878"/>
    <n v="230"/>
    <n v="6488"/>
    <x v="4"/>
    <x v="1"/>
    <x v="8"/>
  </r>
  <r>
    <x v="250"/>
    <n v="973.5"/>
    <n v="67.5"/>
    <x v="0"/>
    <x v="0"/>
    <n v="368"/>
    <n v="953.97186997224651"/>
    <b v="0"/>
    <n v="974"/>
    <n v="68"/>
    <n v="954"/>
    <x v="5"/>
    <x v="1"/>
    <x v="8"/>
  </r>
  <r>
    <x v="250"/>
    <n v="1842"/>
    <n v="67.5"/>
    <x v="0"/>
    <x v="1"/>
    <n v="787"/>
    <n v="1560.7966159047905"/>
    <b v="0"/>
    <n v="1842"/>
    <n v="68"/>
    <n v="1561"/>
    <x v="5"/>
    <x v="1"/>
    <x v="8"/>
  </r>
  <r>
    <x v="250"/>
    <n v="5643"/>
    <n v="343.5"/>
    <x v="2"/>
    <x v="0"/>
    <n v="2032"/>
    <n v="5568.663731171031"/>
    <b v="0"/>
    <n v="5643"/>
    <n v="344"/>
    <n v="5569"/>
    <x v="5"/>
    <x v="1"/>
    <x v="8"/>
  </r>
  <r>
    <x v="250"/>
    <n v="6103.5"/>
    <n v="198"/>
    <x v="1"/>
    <x v="1"/>
    <n v="3450"/>
    <n v="5331.3313845908369"/>
    <b v="0"/>
    <n v="6104"/>
    <n v="198"/>
    <n v="5331"/>
    <x v="5"/>
    <x v="1"/>
    <x v="8"/>
  </r>
  <r>
    <x v="251"/>
    <n v="999"/>
    <n v="64.5"/>
    <x v="0"/>
    <x v="0"/>
    <n v="658"/>
    <n v="964.79926952012602"/>
    <b v="0"/>
    <n v="999"/>
    <n v="65"/>
    <n v="965"/>
    <x v="6"/>
    <x v="1"/>
    <x v="8"/>
  </r>
  <r>
    <x v="251"/>
    <n v="1716"/>
    <n v="64.5"/>
    <x v="0"/>
    <x v="1"/>
    <n v="206"/>
    <n v="1455.8909767236767"/>
    <b v="0"/>
    <n v="1716"/>
    <n v="65"/>
    <n v="1456"/>
    <x v="6"/>
    <x v="1"/>
    <x v="8"/>
  </r>
  <r>
    <x v="251"/>
    <n v="5794.5"/>
    <n v="10.5"/>
    <x v="1"/>
    <x v="1"/>
    <n v="1255"/>
    <n v="4795.8386318789098"/>
    <b v="0"/>
    <n v="5795"/>
    <n v="11"/>
    <n v="4796"/>
    <x v="6"/>
    <x v="1"/>
    <x v="8"/>
  </r>
  <r>
    <x v="251"/>
    <n v="5808"/>
    <n v="381"/>
    <x v="2"/>
    <x v="0"/>
    <n v="3750"/>
    <n v="5624.3607529418377"/>
    <b v="0"/>
    <n v="5808"/>
    <n v="381"/>
    <n v="5624"/>
    <x v="6"/>
    <x v="1"/>
    <x v="8"/>
  </r>
  <r>
    <x v="252"/>
    <n v="532.5"/>
    <n v="16.5"/>
    <x v="0"/>
    <x v="0"/>
    <n v="15"/>
    <n v="481.67090077542605"/>
    <b v="0"/>
    <n v="533"/>
    <n v="17"/>
    <n v="482"/>
    <x v="0"/>
    <x v="1"/>
    <x v="8"/>
  </r>
  <r>
    <x v="252"/>
    <n v="708"/>
    <n v="16.5"/>
    <x v="0"/>
    <x v="1"/>
    <n v="134"/>
    <n v="641.72426034293665"/>
    <b v="0"/>
    <n v="708"/>
    <n v="17"/>
    <n v="642"/>
    <x v="0"/>
    <x v="1"/>
    <x v="8"/>
  </r>
  <r>
    <x v="252"/>
    <n v="3724.5"/>
    <n v="181.5"/>
    <x v="1"/>
    <x v="1"/>
    <n v="231"/>
    <n v="3254.8420278772019"/>
    <b v="0"/>
    <n v="3725"/>
    <n v="182"/>
    <n v="3255"/>
    <x v="0"/>
    <x v="1"/>
    <x v="8"/>
  </r>
  <r>
    <x v="252"/>
    <n v="5233.5"/>
    <n v="81"/>
    <x v="2"/>
    <x v="0"/>
    <n v="3383"/>
    <n v="4958.2551654271565"/>
    <b v="0"/>
    <n v="5234"/>
    <n v="81"/>
    <n v="4958"/>
    <x v="0"/>
    <x v="1"/>
    <x v="8"/>
  </r>
  <r>
    <x v="253"/>
    <n v="403.5"/>
    <n v="1.5"/>
    <x v="0"/>
    <x v="0"/>
    <n v="8"/>
    <n v="379.38413361024209"/>
    <b v="0"/>
    <n v="404"/>
    <n v="2"/>
    <n v="379"/>
    <x v="1"/>
    <x v="1"/>
    <x v="8"/>
  </r>
  <r>
    <x v="253"/>
    <n v="610.5"/>
    <n v="1.5"/>
    <x v="0"/>
    <x v="1"/>
    <n v="49"/>
    <n v="514.62106191051384"/>
    <b v="0"/>
    <n v="611"/>
    <n v="2"/>
    <n v="515"/>
    <x v="1"/>
    <x v="1"/>
    <x v="8"/>
  </r>
  <r>
    <x v="253"/>
    <n v="3696"/>
    <n v="147"/>
    <x v="1"/>
    <x v="1"/>
    <n v="2180"/>
    <n v="3374.7413615006922"/>
    <b v="0"/>
    <n v="3696"/>
    <n v="147"/>
    <n v="3375"/>
    <x v="1"/>
    <x v="1"/>
    <x v="8"/>
  </r>
  <r>
    <x v="253"/>
    <n v="5364"/>
    <n v="127.5"/>
    <x v="2"/>
    <x v="0"/>
    <n v="1338"/>
    <n v="5069.1949963133493"/>
    <b v="0"/>
    <n v="5364"/>
    <n v="128"/>
    <n v="5069"/>
    <x v="1"/>
    <x v="1"/>
    <x v="8"/>
  </r>
  <r>
    <x v="254"/>
    <n v="289.5"/>
    <n v="4.5"/>
    <x v="0"/>
    <x v="1"/>
    <n v="155"/>
    <n v="251.98945177416488"/>
    <b v="0"/>
    <n v="290"/>
    <n v="5"/>
    <n v="252"/>
    <x v="2"/>
    <x v="1"/>
    <x v="8"/>
  </r>
  <r>
    <x v="254"/>
    <n v="465"/>
    <n v="4.5"/>
    <x v="0"/>
    <x v="0"/>
    <n v="62"/>
    <n v="413.47428827736388"/>
    <b v="0"/>
    <n v="465"/>
    <n v="5"/>
    <n v="413"/>
    <x v="2"/>
    <x v="1"/>
    <x v="8"/>
  </r>
  <r>
    <x v="254"/>
    <n v="5112"/>
    <n v="121.5"/>
    <x v="2"/>
    <x v="0"/>
    <n v="164"/>
    <n v="4717.080027549835"/>
    <b v="0"/>
    <n v="5112"/>
    <n v="122"/>
    <n v="4717"/>
    <x v="2"/>
    <x v="1"/>
    <x v="8"/>
  </r>
  <r>
    <x v="254"/>
    <n v="5229"/>
    <n v="15"/>
    <x v="1"/>
    <x v="1"/>
    <n v="3285"/>
    <n v="4531.59355112704"/>
    <b v="0"/>
    <n v="5229"/>
    <n v="15"/>
    <n v="4532"/>
    <x v="2"/>
    <x v="1"/>
    <x v="8"/>
  </r>
  <r>
    <x v="255"/>
    <n v="417"/>
    <n v="16.5"/>
    <x v="0"/>
    <x v="0"/>
    <n v="163"/>
    <n v="391.86605673353938"/>
    <b v="0"/>
    <n v="417"/>
    <n v="17"/>
    <n v="392"/>
    <x v="3"/>
    <x v="1"/>
    <x v="8"/>
  </r>
  <r>
    <x v="255"/>
    <n v="483"/>
    <n v="16.5"/>
    <x v="0"/>
    <x v="1"/>
    <n v="300"/>
    <n v="407.45780650867914"/>
    <b v="0"/>
    <n v="483"/>
    <n v="17"/>
    <n v="407"/>
    <x v="3"/>
    <x v="1"/>
    <x v="8"/>
  </r>
  <r>
    <x v="255"/>
    <n v="3697.5"/>
    <n v="40.5"/>
    <x v="1"/>
    <x v="1"/>
    <n v="2104"/>
    <n v="3086.2369117426792"/>
    <b v="0"/>
    <n v="3698"/>
    <n v="41"/>
    <n v="3086"/>
    <x v="3"/>
    <x v="1"/>
    <x v="8"/>
  </r>
  <r>
    <x v="255"/>
    <n v="6136.5"/>
    <n v="228"/>
    <x v="2"/>
    <x v="0"/>
    <n v="1083"/>
    <n v="5665.6697869217378"/>
    <b v="0"/>
    <n v="6137"/>
    <n v="228"/>
    <n v="5666"/>
    <x v="3"/>
    <x v="1"/>
    <x v="8"/>
  </r>
  <r>
    <x v="256"/>
    <n v="1.5"/>
    <n v="1.5"/>
    <x v="2"/>
    <x v="1"/>
    <n v="1"/>
    <n v="2.4362670020661419"/>
    <b v="0"/>
    <n v="2"/>
    <n v="2"/>
    <n v="2"/>
    <x v="4"/>
    <x v="1"/>
    <x v="8"/>
  </r>
  <r>
    <x v="256"/>
    <n v="267"/>
    <n v="19.5"/>
    <x v="0"/>
    <x v="1"/>
    <n v="78"/>
    <n v="254.12858611456861"/>
    <b v="0"/>
    <n v="267"/>
    <n v="20"/>
    <n v="254"/>
    <x v="4"/>
    <x v="1"/>
    <x v="8"/>
  </r>
  <r>
    <x v="256"/>
    <n v="391.5"/>
    <n v="19.5"/>
    <x v="0"/>
    <x v="0"/>
    <n v="46"/>
    <n v="364.74271823834641"/>
    <b v="0"/>
    <n v="392"/>
    <n v="20"/>
    <n v="365"/>
    <x v="4"/>
    <x v="1"/>
    <x v="8"/>
  </r>
  <r>
    <x v="256"/>
    <n v="6324"/>
    <n v="96"/>
    <x v="2"/>
    <x v="0"/>
    <n v="1515"/>
    <n v="6032.3840365010565"/>
    <b v="0"/>
    <n v="6324"/>
    <n v="96"/>
    <n v="6032"/>
    <x v="4"/>
    <x v="1"/>
    <x v="8"/>
  </r>
  <r>
    <x v="256"/>
    <n v="6424.5"/>
    <n v="75"/>
    <x v="1"/>
    <x v="1"/>
    <n v="4069"/>
    <n v="5648.3581046122363"/>
    <b v="0"/>
    <n v="6425"/>
    <n v="75"/>
    <n v="5648"/>
    <x v="4"/>
    <x v="1"/>
    <x v="8"/>
  </r>
  <r>
    <x v="257"/>
    <n v="1009.5"/>
    <n v="4.5"/>
    <x v="0"/>
    <x v="0"/>
    <n v="642"/>
    <n v="895.82824432233087"/>
    <b v="0"/>
    <n v="1010"/>
    <n v="5"/>
    <n v="896"/>
    <x v="5"/>
    <x v="1"/>
    <x v="8"/>
  </r>
  <r>
    <x v="257"/>
    <n v="1083"/>
    <n v="4.5"/>
    <x v="0"/>
    <x v="1"/>
    <n v="673"/>
    <n v="954.01032912388871"/>
    <b v="0"/>
    <n v="1083"/>
    <n v="5"/>
    <n v="954"/>
    <x v="5"/>
    <x v="1"/>
    <x v="8"/>
  </r>
  <r>
    <x v="257"/>
    <n v="4231.5"/>
    <n v="124.5"/>
    <x v="2"/>
    <x v="0"/>
    <n v="2740"/>
    <n v="3956.6522304951095"/>
    <b v="0"/>
    <n v="4232"/>
    <n v="125"/>
    <n v="3957"/>
    <x v="5"/>
    <x v="1"/>
    <x v="8"/>
  </r>
  <r>
    <x v="257"/>
    <n v="5364"/>
    <n v="159"/>
    <x v="1"/>
    <x v="1"/>
    <n v="229"/>
    <n v="4855.3369930403514"/>
    <b v="0"/>
    <n v="5364"/>
    <n v="159"/>
    <n v="4855"/>
    <x v="5"/>
    <x v="1"/>
    <x v="8"/>
  </r>
  <r>
    <x v="258"/>
    <n v="876"/>
    <n v="4.5"/>
    <x v="0"/>
    <x v="0"/>
    <n v="178"/>
    <n v="824.11608325121279"/>
    <b v="0"/>
    <n v="876"/>
    <n v="5"/>
    <n v="824"/>
    <x v="6"/>
    <x v="1"/>
    <x v="8"/>
  </r>
  <r>
    <x v="258"/>
    <n v="1044"/>
    <n v="4.5"/>
    <x v="0"/>
    <x v="1"/>
    <n v="654"/>
    <n v="866.61482811447354"/>
    <b v="0"/>
    <n v="1044"/>
    <n v="5"/>
    <n v="867"/>
    <x v="6"/>
    <x v="1"/>
    <x v="8"/>
  </r>
  <r>
    <x v="258"/>
    <n v="4777.5"/>
    <n v="60"/>
    <x v="2"/>
    <x v="0"/>
    <n v="990"/>
    <n v="4409.3224842879763"/>
    <b v="0"/>
    <n v="4778"/>
    <n v="60"/>
    <n v="4409"/>
    <x v="6"/>
    <x v="1"/>
    <x v="8"/>
  </r>
  <r>
    <x v="258"/>
    <n v="5044.5"/>
    <n v="54"/>
    <x v="1"/>
    <x v="1"/>
    <n v="2561"/>
    <n v="4515.2192946171472"/>
    <b v="0"/>
    <n v="5045"/>
    <n v="54"/>
    <n v="4515"/>
    <x v="6"/>
    <x v="1"/>
    <x v="8"/>
  </r>
  <r>
    <x v="259"/>
    <n v="823.5"/>
    <n v="49.5"/>
    <x v="0"/>
    <x v="1"/>
    <n v="535"/>
    <n v="752.34844556635085"/>
    <b v="0"/>
    <n v="824"/>
    <n v="50"/>
    <n v="752"/>
    <x v="0"/>
    <x v="1"/>
    <x v="8"/>
  </r>
  <r>
    <x v="259"/>
    <n v="898.5"/>
    <n v="49.5"/>
    <x v="0"/>
    <x v="0"/>
    <n v="395"/>
    <n v="865.83817092740424"/>
    <b v="0"/>
    <n v="899"/>
    <n v="50"/>
    <n v="866"/>
    <x v="0"/>
    <x v="1"/>
    <x v="8"/>
  </r>
  <r>
    <x v="259"/>
    <n v="4390.5"/>
    <n v="115.5"/>
    <x v="1"/>
    <x v="1"/>
    <n v="1807"/>
    <n v="3922.5106314703166"/>
    <b v="0"/>
    <n v="4391"/>
    <n v="116"/>
    <n v="3923"/>
    <x v="0"/>
    <x v="1"/>
    <x v="8"/>
  </r>
  <r>
    <x v="259"/>
    <n v="4996.5"/>
    <n v="304.5"/>
    <x v="2"/>
    <x v="0"/>
    <n v="3275"/>
    <n v="4744.284663131747"/>
    <b v="0"/>
    <n v="4997"/>
    <n v="305"/>
    <n v="4744"/>
    <x v="0"/>
    <x v="1"/>
    <x v="8"/>
  </r>
  <r>
    <x v="260"/>
    <n v="445.5"/>
    <n v="33"/>
    <x v="0"/>
    <x v="1"/>
    <n v="200"/>
    <n v="420.66973504732044"/>
    <b v="0"/>
    <n v="446"/>
    <n v="33"/>
    <n v="421"/>
    <x v="1"/>
    <x v="1"/>
    <x v="8"/>
  </r>
  <r>
    <x v="260"/>
    <n v="664.5"/>
    <n v="33"/>
    <x v="0"/>
    <x v="0"/>
    <n v="255"/>
    <n v="615.65418460000478"/>
    <b v="0"/>
    <n v="665"/>
    <n v="33"/>
    <n v="616"/>
    <x v="1"/>
    <x v="1"/>
    <x v="8"/>
  </r>
  <r>
    <x v="260"/>
    <n v="4480.5"/>
    <n v="202.5"/>
    <x v="2"/>
    <x v="0"/>
    <n v="2784"/>
    <n v="4316.032299912702"/>
    <b v="1"/>
    <n v="4481"/>
    <n v="203"/>
    <n v="4316"/>
    <x v="1"/>
    <x v="0"/>
    <x v="8"/>
  </r>
  <r>
    <x v="260"/>
    <n v="5154"/>
    <n v="105"/>
    <x v="1"/>
    <x v="1"/>
    <n v="3309"/>
    <n v="4613.0957776335654"/>
    <b v="0"/>
    <n v="5154"/>
    <n v="105"/>
    <n v="4613"/>
    <x v="1"/>
    <x v="1"/>
    <x v="8"/>
  </r>
  <r>
    <x v="261"/>
    <n v="589.5"/>
    <n v="28.5"/>
    <x v="0"/>
    <x v="0"/>
    <n v="126"/>
    <n v="544.04257747461179"/>
    <b v="0"/>
    <n v="590"/>
    <n v="29"/>
    <n v="544"/>
    <x v="2"/>
    <x v="1"/>
    <x v="8"/>
  </r>
  <r>
    <x v="261"/>
    <n v="1090.5"/>
    <n v="28.5"/>
    <x v="0"/>
    <x v="1"/>
    <n v="416"/>
    <n v="963.7668969690078"/>
    <b v="0"/>
    <n v="1091"/>
    <n v="29"/>
    <n v="964"/>
    <x v="2"/>
    <x v="1"/>
    <x v="8"/>
  </r>
  <r>
    <x v="261"/>
    <n v="3552"/>
    <n v="51"/>
    <x v="1"/>
    <x v="1"/>
    <n v="1562"/>
    <n v="2915.8153241400673"/>
    <b v="0"/>
    <n v="3552"/>
    <n v="51"/>
    <n v="2916"/>
    <x v="2"/>
    <x v="1"/>
    <x v="8"/>
  </r>
  <r>
    <x v="261"/>
    <n v="5269.5"/>
    <n v="273"/>
    <x v="2"/>
    <x v="0"/>
    <n v="2946"/>
    <n v="4917.3724193947246"/>
    <b v="0"/>
    <n v="5270"/>
    <n v="273"/>
    <n v="4917"/>
    <x v="2"/>
    <x v="1"/>
    <x v="8"/>
  </r>
  <r>
    <x v="262"/>
    <n v="1087.5"/>
    <n v="34.5"/>
    <x v="0"/>
    <x v="0"/>
    <n v="442"/>
    <n v="1006.062827223516"/>
    <b v="0"/>
    <n v="1088"/>
    <n v="35"/>
    <n v="1006"/>
    <x v="3"/>
    <x v="1"/>
    <x v="8"/>
  </r>
  <r>
    <x v="262"/>
    <n v="1459.5"/>
    <n v="34.5"/>
    <x v="0"/>
    <x v="1"/>
    <n v="256"/>
    <n v="1317.7357934829481"/>
    <b v="0"/>
    <n v="1460"/>
    <n v="35"/>
    <n v="1318"/>
    <x v="3"/>
    <x v="1"/>
    <x v="8"/>
  </r>
  <r>
    <x v="262"/>
    <n v="2851.5"/>
    <n v="102"/>
    <x v="1"/>
    <x v="1"/>
    <n v="1747"/>
    <n v="2401.496901675449"/>
    <b v="0"/>
    <n v="2852"/>
    <n v="102"/>
    <n v="2401"/>
    <x v="3"/>
    <x v="1"/>
    <x v="8"/>
  </r>
  <r>
    <x v="262"/>
    <n v="4267.5"/>
    <n v="156"/>
    <x v="2"/>
    <x v="0"/>
    <n v="1085"/>
    <n v="3968.0574501930896"/>
    <b v="0"/>
    <n v="4268"/>
    <n v="156"/>
    <n v="3968"/>
    <x v="3"/>
    <x v="1"/>
    <x v="8"/>
  </r>
  <r>
    <x v="263"/>
    <n v="250.5"/>
    <n v="34.5"/>
    <x v="0"/>
    <x v="1"/>
    <n v="145"/>
    <n v="231.6878298840592"/>
    <b v="0"/>
    <n v="251"/>
    <n v="35"/>
    <n v="232"/>
    <x v="4"/>
    <x v="1"/>
    <x v="8"/>
  </r>
  <r>
    <x v="263"/>
    <n v="594"/>
    <n v="34.5"/>
    <x v="0"/>
    <x v="0"/>
    <n v="334"/>
    <n v="583.71360812268108"/>
    <b v="0"/>
    <n v="594"/>
    <n v="35"/>
    <n v="584"/>
    <x v="4"/>
    <x v="1"/>
    <x v="8"/>
  </r>
  <r>
    <x v="263"/>
    <n v="4695"/>
    <n v="163.5"/>
    <x v="1"/>
    <x v="1"/>
    <n v="331"/>
    <n v="3958.2711847742489"/>
    <b v="0"/>
    <n v="4695"/>
    <n v="164"/>
    <n v="3958"/>
    <x v="4"/>
    <x v="1"/>
    <x v="8"/>
  </r>
  <r>
    <x v="263"/>
    <n v="5802"/>
    <n v="43.5"/>
    <x v="2"/>
    <x v="0"/>
    <n v="1829"/>
    <n v="5385.7476872701327"/>
    <b v="0"/>
    <n v="5802"/>
    <n v="44"/>
    <n v="5386"/>
    <x v="4"/>
    <x v="1"/>
    <x v="8"/>
  </r>
  <r>
    <x v="264"/>
    <n v="360"/>
    <n v="7.5"/>
    <x v="0"/>
    <x v="1"/>
    <n v="158"/>
    <n v="296.73281047415998"/>
    <b v="0"/>
    <n v="360"/>
    <n v="8"/>
    <n v="297"/>
    <x v="5"/>
    <x v="1"/>
    <x v="8"/>
  </r>
  <r>
    <x v="264"/>
    <n v="541.5"/>
    <n v="7.5"/>
    <x v="0"/>
    <x v="0"/>
    <n v="150"/>
    <n v="503.56801759183082"/>
    <b v="0"/>
    <n v="542"/>
    <n v="8"/>
    <n v="504"/>
    <x v="5"/>
    <x v="1"/>
    <x v="8"/>
  </r>
  <r>
    <x v="264"/>
    <n v="5256"/>
    <n v="258"/>
    <x v="1"/>
    <x v="1"/>
    <n v="2169"/>
    <n v="4435.1596225825779"/>
    <b v="1"/>
    <n v="5256"/>
    <n v="258"/>
    <n v="4435"/>
    <x v="5"/>
    <x v="0"/>
    <x v="8"/>
  </r>
  <r>
    <x v="264"/>
    <n v="5293.5"/>
    <n v="307.5"/>
    <x v="2"/>
    <x v="0"/>
    <n v="1460"/>
    <n v="4934.0428429836784"/>
    <b v="0"/>
    <n v="5294"/>
    <n v="308"/>
    <n v="4934"/>
    <x v="5"/>
    <x v="1"/>
    <x v="8"/>
  </r>
  <r>
    <x v="265"/>
    <n v="1023"/>
    <n v="4.5"/>
    <x v="0"/>
    <x v="0"/>
    <n v="243"/>
    <n v="963.40489888118145"/>
    <b v="0"/>
    <n v="1023"/>
    <n v="5"/>
    <n v="963"/>
    <x v="6"/>
    <x v="1"/>
    <x v="8"/>
  </r>
  <r>
    <x v="265"/>
    <n v="1105.5"/>
    <n v="4.5"/>
    <x v="0"/>
    <x v="1"/>
    <n v="33"/>
    <n v="952.65650651915303"/>
    <b v="0"/>
    <n v="1106"/>
    <n v="5"/>
    <n v="953"/>
    <x v="6"/>
    <x v="1"/>
    <x v="8"/>
  </r>
  <r>
    <x v="265"/>
    <n v="3723"/>
    <n v="66"/>
    <x v="1"/>
    <x v="1"/>
    <n v="1090"/>
    <n v="3123.9032356054199"/>
    <b v="0"/>
    <n v="3723"/>
    <n v="66"/>
    <n v="3124"/>
    <x v="6"/>
    <x v="1"/>
    <x v="8"/>
  </r>
  <r>
    <x v="265"/>
    <n v="5521.5"/>
    <n v="192"/>
    <x v="2"/>
    <x v="0"/>
    <n v="874"/>
    <n v="5180.8725205178707"/>
    <b v="0"/>
    <n v="5522"/>
    <n v="192"/>
    <n v="5181"/>
    <x v="6"/>
    <x v="1"/>
    <x v="8"/>
  </r>
  <r>
    <x v="266"/>
    <n v="730.5"/>
    <n v="13.5"/>
    <x v="0"/>
    <x v="1"/>
    <n v="481"/>
    <n v="618.301454630639"/>
    <b v="0"/>
    <n v="731"/>
    <n v="14"/>
    <n v="618"/>
    <x v="0"/>
    <x v="1"/>
    <x v="8"/>
  </r>
  <r>
    <x v="266"/>
    <n v="897"/>
    <n v="13.5"/>
    <x v="0"/>
    <x v="0"/>
    <n v="589"/>
    <n v="836.7988895259042"/>
    <b v="0"/>
    <n v="897"/>
    <n v="14"/>
    <n v="837"/>
    <x v="0"/>
    <x v="1"/>
    <x v="8"/>
  </r>
  <r>
    <x v="266"/>
    <n v="4362"/>
    <n v="159"/>
    <x v="1"/>
    <x v="1"/>
    <n v="130"/>
    <n v="3828.3064517220346"/>
    <b v="0"/>
    <n v="4362"/>
    <n v="159"/>
    <n v="3828"/>
    <x v="0"/>
    <x v="1"/>
    <x v="8"/>
  </r>
  <r>
    <x v="266"/>
    <n v="4590"/>
    <n v="46.5"/>
    <x v="2"/>
    <x v="0"/>
    <n v="600"/>
    <n v="4336.0600038939547"/>
    <b v="0"/>
    <n v="4590"/>
    <n v="47"/>
    <n v="4336"/>
    <x v="0"/>
    <x v="1"/>
    <x v="8"/>
  </r>
  <r>
    <x v="267"/>
    <n v="553.5"/>
    <n v="19.5"/>
    <x v="0"/>
    <x v="1"/>
    <n v="324"/>
    <n v="473.85400985053201"/>
    <b v="0"/>
    <n v="554"/>
    <n v="20"/>
    <n v="474"/>
    <x v="1"/>
    <x v="1"/>
    <x v="8"/>
  </r>
  <r>
    <x v="267"/>
    <n v="1138.5"/>
    <n v="19.5"/>
    <x v="0"/>
    <x v="0"/>
    <n v="317"/>
    <n v="1052.2161331334951"/>
    <b v="0"/>
    <n v="1139"/>
    <n v="20"/>
    <n v="1052"/>
    <x v="1"/>
    <x v="1"/>
    <x v="8"/>
  </r>
  <r>
    <x v="267"/>
    <n v="4390.5"/>
    <n v="231"/>
    <x v="2"/>
    <x v="0"/>
    <n v="747"/>
    <n v="4161.363804555278"/>
    <b v="0"/>
    <n v="4391"/>
    <n v="231"/>
    <n v="4161"/>
    <x v="1"/>
    <x v="1"/>
    <x v="8"/>
  </r>
  <r>
    <x v="267"/>
    <n v="5065.5"/>
    <n v="6"/>
    <x v="1"/>
    <x v="1"/>
    <n v="3206"/>
    <n v="4096.3053680796338"/>
    <b v="1"/>
    <n v="5066"/>
    <n v="6"/>
    <n v="4096"/>
    <x v="1"/>
    <x v="0"/>
    <x v="8"/>
  </r>
  <r>
    <x v="268"/>
    <n v="1.5"/>
    <n v="1.5"/>
    <x v="2"/>
    <x v="1"/>
    <n v="1"/>
    <n v="2.5225992392953533"/>
    <b v="0"/>
    <n v="2"/>
    <n v="2"/>
    <n v="3"/>
    <x v="2"/>
    <x v="1"/>
    <x v="8"/>
  </r>
  <r>
    <x v="268"/>
    <n v="535.5"/>
    <n v="1.5"/>
    <x v="0"/>
    <x v="1"/>
    <n v="302"/>
    <n v="455.67184448865493"/>
    <b v="0"/>
    <n v="536"/>
    <n v="2"/>
    <n v="456"/>
    <x v="2"/>
    <x v="1"/>
    <x v="8"/>
  </r>
  <r>
    <x v="268"/>
    <n v="712.5"/>
    <n v="1.5"/>
    <x v="0"/>
    <x v="0"/>
    <n v="402"/>
    <n v="647.04063440579182"/>
    <b v="0"/>
    <n v="713"/>
    <n v="2"/>
    <n v="647"/>
    <x v="2"/>
    <x v="1"/>
    <x v="8"/>
  </r>
  <r>
    <x v="268"/>
    <n v="4920"/>
    <n v="228"/>
    <x v="1"/>
    <x v="1"/>
    <n v="1171"/>
    <n v="4522.3989773401045"/>
    <b v="0"/>
    <n v="4920"/>
    <n v="228"/>
    <n v="4522"/>
    <x v="2"/>
    <x v="1"/>
    <x v="8"/>
  </r>
  <r>
    <x v="268"/>
    <n v="6204"/>
    <n v="91.5"/>
    <x v="2"/>
    <x v="0"/>
    <n v="1176"/>
    <n v="5844.6238180305154"/>
    <b v="0"/>
    <n v="6204"/>
    <n v="92"/>
    <n v="5845"/>
    <x v="2"/>
    <x v="1"/>
    <x v="8"/>
  </r>
  <r>
    <x v="269"/>
    <n v="1132.5"/>
    <n v="9"/>
    <x v="0"/>
    <x v="1"/>
    <n v="703"/>
    <n v="942.33326873143471"/>
    <b v="0"/>
    <n v="1133"/>
    <n v="9"/>
    <n v="942"/>
    <x v="3"/>
    <x v="1"/>
    <x v="8"/>
  </r>
  <r>
    <x v="269"/>
    <n v="1492.5"/>
    <n v="9"/>
    <x v="0"/>
    <x v="0"/>
    <n v="282"/>
    <n v="1382.3346231662106"/>
    <b v="0"/>
    <n v="1493"/>
    <n v="9"/>
    <n v="1382"/>
    <x v="3"/>
    <x v="1"/>
    <x v="8"/>
  </r>
  <r>
    <x v="269"/>
    <n v="4750.5"/>
    <n v="42"/>
    <x v="2"/>
    <x v="0"/>
    <n v="2439"/>
    <n v="4445.1737815251772"/>
    <b v="0"/>
    <n v="4751"/>
    <n v="42"/>
    <n v="4445"/>
    <x v="3"/>
    <x v="1"/>
    <x v="8"/>
  </r>
  <r>
    <x v="269"/>
    <n v="5196"/>
    <n v="241.5"/>
    <x v="1"/>
    <x v="1"/>
    <n v="1256"/>
    <n v="4694.0916989438192"/>
    <b v="1"/>
    <n v="5196"/>
    <n v="242"/>
    <n v="4694"/>
    <x v="3"/>
    <x v="0"/>
    <x v="8"/>
  </r>
  <r>
    <x v="270"/>
    <n v="870"/>
    <n v="9"/>
    <x v="0"/>
    <x v="1"/>
    <n v="95"/>
    <n v="724.63662835059563"/>
    <b v="0"/>
    <n v="870"/>
    <n v="9"/>
    <n v="725"/>
    <x v="4"/>
    <x v="1"/>
    <x v="8"/>
  </r>
  <r>
    <x v="270"/>
    <n v="958.5"/>
    <n v="9"/>
    <x v="0"/>
    <x v="0"/>
    <n v="124"/>
    <n v="859.7630421193038"/>
    <b v="0"/>
    <n v="959"/>
    <n v="9"/>
    <n v="860"/>
    <x v="4"/>
    <x v="1"/>
    <x v="8"/>
  </r>
  <r>
    <x v="270"/>
    <n v="5220"/>
    <n v="285"/>
    <x v="2"/>
    <x v="0"/>
    <n v="15"/>
    <n v="4933.5505448105787"/>
    <b v="0"/>
    <n v="5220"/>
    <n v="285"/>
    <n v="4934"/>
    <x v="4"/>
    <x v="1"/>
    <x v="8"/>
  </r>
  <r>
    <x v="270"/>
    <n v="5589"/>
    <n v="201"/>
    <x v="1"/>
    <x v="1"/>
    <n v="2640"/>
    <n v="4795.6472633725944"/>
    <b v="0"/>
    <n v="5589"/>
    <n v="201"/>
    <n v="4796"/>
    <x v="4"/>
    <x v="1"/>
    <x v="8"/>
  </r>
  <r>
    <x v="271"/>
    <n v="3"/>
    <n v="0"/>
    <x v="1"/>
    <x v="0"/>
    <n v="2"/>
    <n v="2.6411168487095549"/>
    <b v="0"/>
    <n v="3"/>
    <n v="0"/>
    <n v="3"/>
    <x v="5"/>
    <x v="1"/>
    <x v="8"/>
  </r>
  <r>
    <x v="271"/>
    <n v="936"/>
    <n v="52.5"/>
    <x v="0"/>
    <x v="0"/>
    <n v="606"/>
    <n v="874.05537448921893"/>
    <b v="0"/>
    <n v="936"/>
    <n v="53"/>
    <n v="874"/>
    <x v="5"/>
    <x v="1"/>
    <x v="8"/>
  </r>
  <r>
    <x v="271"/>
    <n v="1843.5"/>
    <n v="52.5"/>
    <x v="0"/>
    <x v="1"/>
    <n v="995"/>
    <n v="1569.0282386378942"/>
    <b v="0"/>
    <n v="1844"/>
    <n v="53"/>
    <n v="1569"/>
    <x v="5"/>
    <x v="1"/>
    <x v="8"/>
  </r>
  <r>
    <x v="271"/>
    <n v="5146.5"/>
    <n v="118.5"/>
    <x v="1"/>
    <x v="1"/>
    <n v="28"/>
    <n v="4559.8657665335868"/>
    <b v="0"/>
    <n v="5147"/>
    <n v="119"/>
    <n v="4560"/>
    <x v="5"/>
    <x v="1"/>
    <x v="8"/>
  </r>
  <r>
    <x v="271"/>
    <n v="6565.5"/>
    <n v="426"/>
    <x v="2"/>
    <x v="0"/>
    <n v="1855"/>
    <n v="6249.1196985896213"/>
    <b v="0"/>
    <n v="6566"/>
    <n v="426"/>
    <n v="6249"/>
    <x v="5"/>
    <x v="1"/>
    <x v="8"/>
  </r>
  <r>
    <x v="272"/>
    <n v="1048.5"/>
    <n v="1.5"/>
    <x v="0"/>
    <x v="0"/>
    <n v="271"/>
    <n v="968.47947092171103"/>
    <b v="0"/>
    <n v="1049"/>
    <n v="2"/>
    <n v="968"/>
    <x v="6"/>
    <x v="1"/>
    <x v="8"/>
  </r>
  <r>
    <x v="272"/>
    <n v="1981.5"/>
    <n v="1.5"/>
    <x v="0"/>
    <x v="1"/>
    <n v="368"/>
    <n v="1595.872854263431"/>
    <b v="0"/>
    <n v="1982"/>
    <n v="2"/>
    <n v="1596"/>
    <x v="6"/>
    <x v="1"/>
    <x v="8"/>
  </r>
  <r>
    <x v="272"/>
    <n v="5922"/>
    <n v="201"/>
    <x v="1"/>
    <x v="1"/>
    <n v="575"/>
    <n v="5384.5779573362643"/>
    <b v="0"/>
    <n v="5922"/>
    <n v="201"/>
    <n v="5385"/>
    <x v="6"/>
    <x v="1"/>
    <x v="8"/>
  </r>
  <r>
    <x v="272"/>
    <n v="6222"/>
    <n v="88.5"/>
    <x v="2"/>
    <x v="0"/>
    <n v="1425"/>
    <n v="5634.7667084568475"/>
    <b v="0"/>
    <n v="6222"/>
    <n v="89"/>
    <n v="5635"/>
    <x v="6"/>
    <x v="1"/>
    <x v="8"/>
  </r>
  <r>
    <x v="273"/>
    <n v="1125"/>
    <n v="93"/>
    <x v="0"/>
    <x v="1"/>
    <n v="318"/>
    <n v="1028.6326339135246"/>
    <b v="0"/>
    <n v="1125"/>
    <n v="93"/>
    <n v="1029"/>
    <x v="0"/>
    <x v="1"/>
    <x v="8"/>
  </r>
  <r>
    <x v="273"/>
    <n v="1336.5"/>
    <n v="93"/>
    <x v="0"/>
    <x v="0"/>
    <n v="552"/>
    <n v="1331.7128537807439"/>
    <b v="0"/>
    <n v="1337"/>
    <n v="93"/>
    <n v="1332"/>
    <x v="0"/>
    <x v="1"/>
    <x v="8"/>
  </r>
  <r>
    <x v="273"/>
    <n v="5020.5"/>
    <n v="93"/>
    <x v="1"/>
    <x v="1"/>
    <n v="1177"/>
    <n v="4238.3304997946452"/>
    <b v="0"/>
    <n v="5021"/>
    <n v="93"/>
    <n v="4238"/>
    <x v="0"/>
    <x v="1"/>
    <x v="8"/>
  </r>
  <r>
    <x v="273"/>
    <n v="5517"/>
    <n v="78"/>
    <x v="2"/>
    <x v="0"/>
    <n v="1490"/>
    <n v="5130.552810560559"/>
    <b v="0"/>
    <n v="5517"/>
    <n v="78"/>
    <n v="5131"/>
    <x v="0"/>
    <x v="1"/>
    <x v="8"/>
  </r>
  <r>
    <x v="274"/>
    <n v="1213.5"/>
    <n v="3"/>
    <x v="0"/>
    <x v="1"/>
    <n v="630"/>
    <n v="1029.3388574376575"/>
    <b v="0"/>
    <n v="1214"/>
    <n v="3"/>
    <n v="1029"/>
    <x v="1"/>
    <x v="1"/>
    <x v="9"/>
  </r>
  <r>
    <x v="274"/>
    <n v="1278"/>
    <n v="3"/>
    <x v="0"/>
    <x v="0"/>
    <n v="383"/>
    <n v="1166.2082535259838"/>
    <b v="0"/>
    <n v="1278"/>
    <n v="3"/>
    <n v="1166"/>
    <x v="1"/>
    <x v="1"/>
    <x v="9"/>
  </r>
  <r>
    <x v="274"/>
    <n v="4966.5"/>
    <n v="106.5"/>
    <x v="1"/>
    <x v="1"/>
    <n v="3021"/>
    <n v="4375.0842438395302"/>
    <b v="0"/>
    <n v="4967"/>
    <n v="107"/>
    <n v="4375"/>
    <x v="1"/>
    <x v="1"/>
    <x v="9"/>
  </r>
  <r>
    <x v="274"/>
    <n v="5485.5"/>
    <n v="75"/>
    <x v="2"/>
    <x v="0"/>
    <n v="3567"/>
    <n v="5053.6121865855757"/>
    <b v="0"/>
    <n v="5486"/>
    <n v="75"/>
    <n v="5054"/>
    <x v="1"/>
    <x v="1"/>
    <x v="9"/>
  </r>
  <r>
    <x v="275"/>
    <n v="715.5"/>
    <n v="42"/>
    <x v="0"/>
    <x v="1"/>
    <n v="79"/>
    <n v="635.64162228932366"/>
    <b v="0"/>
    <n v="716"/>
    <n v="42"/>
    <n v="636"/>
    <x v="2"/>
    <x v="1"/>
    <x v="9"/>
  </r>
  <r>
    <x v="275"/>
    <n v="1542"/>
    <n v="42"/>
    <x v="0"/>
    <x v="0"/>
    <n v="797"/>
    <n v="1481.3858456687442"/>
    <b v="0"/>
    <n v="1542"/>
    <n v="42"/>
    <n v="1481"/>
    <x v="2"/>
    <x v="1"/>
    <x v="9"/>
  </r>
  <r>
    <x v="275"/>
    <n v="4299"/>
    <n v="135"/>
    <x v="1"/>
    <x v="1"/>
    <n v="125"/>
    <n v="3581.7376871908205"/>
    <b v="1"/>
    <n v="4299"/>
    <n v="135"/>
    <n v="3582"/>
    <x v="2"/>
    <x v="0"/>
    <x v="9"/>
  </r>
  <r>
    <x v="275"/>
    <n v="5304"/>
    <n v="123"/>
    <x v="2"/>
    <x v="0"/>
    <n v="1626"/>
    <n v="5027.503215992434"/>
    <b v="0"/>
    <n v="5304"/>
    <n v="123"/>
    <n v="5028"/>
    <x v="2"/>
    <x v="1"/>
    <x v="9"/>
  </r>
  <r>
    <x v="276"/>
    <n v="895.5"/>
    <n v="1.5"/>
    <x v="0"/>
    <x v="1"/>
    <n v="443"/>
    <n v="793.81256623092258"/>
    <b v="0"/>
    <n v="896"/>
    <n v="2"/>
    <n v="794"/>
    <x v="3"/>
    <x v="1"/>
    <x v="9"/>
  </r>
  <r>
    <x v="276"/>
    <n v="1263"/>
    <n v="1.5"/>
    <x v="0"/>
    <x v="0"/>
    <n v="789"/>
    <n v="1132.0887443557478"/>
    <b v="0"/>
    <n v="1263"/>
    <n v="2"/>
    <n v="1132"/>
    <x v="3"/>
    <x v="1"/>
    <x v="9"/>
  </r>
  <r>
    <x v="276"/>
    <n v="4476"/>
    <n v="37.5"/>
    <x v="1"/>
    <x v="1"/>
    <n v="957"/>
    <n v="3942.208289721249"/>
    <b v="0"/>
    <n v="4476"/>
    <n v="38"/>
    <n v="3942"/>
    <x v="3"/>
    <x v="1"/>
    <x v="9"/>
  </r>
  <r>
    <x v="276"/>
    <n v="5251.5"/>
    <n v="127.5"/>
    <x v="2"/>
    <x v="0"/>
    <n v="1448"/>
    <n v="4868.5108795471278"/>
    <b v="0"/>
    <n v="5252"/>
    <n v="128"/>
    <n v="4869"/>
    <x v="3"/>
    <x v="1"/>
    <x v="9"/>
  </r>
  <r>
    <x v="277"/>
    <n v="1167"/>
    <n v="58.5"/>
    <x v="0"/>
    <x v="1"/>
    <n v="546"/>
    <n v="981.23141179914558"/>
    <b v="0"/>
    <n v="1167"/>
    <n v="59"/>
    <n v="981"/>
    <x v="4"/>
    <x v="1"/>
    <x v="9"/>
  </r>
  <r>
    <x v="277"/>
    <n v="1704"/>
    <n v="58.5"/>
    <x v="0"/>
    <x v="0"/>
    <n v="395"/>
    <n v="1554.9774725241259"/>
    <b v="0"/>
    <n v="1704"/>
    <n v="59"/>
    <n v="1555"/>
    <x v="4"/>
    <x v="1"/>
    <x v="9"/>
  </r>
  <r>
    <x v="277"/>
    <n v="4848"/>
    <n v="115.5"/>
    <x v="2"/>
    <x v="0"/>
    <n v="83"/>
    <n v="4499.3199025232771"/>
    <b v="0"/>
    <n v="4848"/>
    <n v="116"/>
    <n v="4499"/>
    <x v="4"/>
    <x v="1"/>
    <x v="9"/>
  </r>
  <r>
    <x v="277"/>
    <n v="5238"/>
    <n v="144"/>
    <x v="1"/>
    <x v="1"/>
    <n v="3108"/>
    <n v="4753.3262639507439"/>
    <b v="0"/>
    <n v="5238"/>
    <n v="144"/>
    <n v="4753"/>
    <x v="4"/>
    <x v="1"/>
    <x v="9"/>
  </r>
  <r>
    <x v="278"/>
    <n v="1.5"/>
    <n v="0"/>
    <x v="2"/>
    <x v="1"/>
    <n v="1"/>
    <n v="1.3195673537289854"/>
    <b v="0"/>
    <n v="2"/>
    <n v="0"/>
    <n v="1"/>
    <x v="5"/>
    <x v="1"/>
    <x v="9"/>
  </r>
  <r>
    <x v="278"/>
    <n v="1468.5"/>
    <n v="78"/>
    <x v="0"/>
    <x v="1"/>
    <n v="948"/>
    <n v="1356.3912142194631"/>
    <b v="0"/>
    <n v="1469"/>
    <n v="78"/>
    <n v="1356"/>
    <x v="5"/>
    <x v="1"/>
    <x v="9"/>
  </r>
  <r>
    <x v="278"/>
    <n v="1476"/>
    <n v="78"/>
    <x v="0"/>
    <x v="0"/>
    <n v="913"/>
    <n v="1370.3202302852603"/>
    <b v="0"/>
    <n v="1476"/>
    <n v="78"/>
    <n v="1370"/>
    <x v="5"/>
    <x v="1"/>
    <x v="9"/>
  </r>
  <r>
    <x v="278"/>
    <n v="4860"/>
    <n v="99"/>
    <x v="1"/>
    <x v="1"/>
    <n v="3201"/>
    <n v="4190.504002090438"/>
    <b v="0"/>
    <n v="4860"/>
    <n v="99"/>
    <n v="4191"/>
    <x v="5"/>
    <x v="1"/>
    <x v="9"/>
  </r>
  <r>
    <x v="278"/>
    <n v="5497.5"/>
    <n v="355.5"/>
    <x v="2"/>
    <x v="0"/>
    <n v="1433"/>
    <n v="5492.5916325441713"/>
    <b v="0"/>
    <n v="5498"/>
    <n v="356"/>
    <n v="5493"/>
    <x v="5"/>
    <x v="1"/>
    <x v="9"/>
  </r>
  <r>
    <x v="279"/>
    <n v="1.5"/>
    <n v="0"/>
    <x v="2"/>
    <x v="1"/>
    <n v="1"/>
    <n v="1.2720730337389186"/>
    <b v="0"/>
    <n v="2"/>
    <n v="0"/>
    <n v="1"/>
    <x v="6"/>
    <x v="1"/>
    <x v="9"/>
  </r>
  <r>
    <x v="279"/>
    <n v="1467"/>
    <n v="4.5"/>
    <x v="0"/>
    <x v="0"/>
    <n v="449"/>
    <n v="1360.3203873092234"/>
    <b v="0"/>
    <n v="1467"/>
    <n v="5"/>
    <n v="1360"/>
    <x v="6"/>
    <x v="1"/>
    <x v="9"/>
  </r>
  <r>
    <x v="279"/>
    <n v="2358"/>
    <n v="4.5"/>
    <x v="0"/>
    <x v="1"/>
    <n v="351"/>
    <n v="2001.1483208432405"/>
    <b v="0"/>
    <n v="2358"/>
    <n v="5"/>
    <n v="2001"/>
    <x v="6"/>
    <x v="1"/>
    <x v="9"/>
  </r>
  <r>
    <x v="279"/>
    <n v="4279.5"/>
    <n v="7.5"/>
    <x v="1"/>
    <x v="1"/>
    <n v="2400"/>
    <n v="3604.5244963348528"/>
    <b v="0"/>
    <n v="4280"/>
    <n v="8"/>
    <n v="3605"/>
    <x v="6"/>
    <x v="1"/>
    <x v="9"/>
  </r>
  <r>
    <x v="279"/>
    <n v="5301"/>
    <n v="247.5"/>
    <x v="2"/>
    <x v="0"/>
    <n v="249"/>
    <n v="4954.0278851876847"/>
    <b v="0"/>
    <n v="5301"/>
    <n v="248"/>
    <n v="4954"/>
    <x v="6"/>
    <x v="1"/>
    <x v="9"/>
  </r>
  <r>
    <x v="280"/>
    <n v="1177.5"/>
    <n v="87"/>
    <x v="0"/>
    <x v="1"/>
    <n v="417"/>
    <n v="1014.2716733745361"/>
    <b v="0"/>
    <n v="1178"/>
    <n v="87"/>
    <n v="1014"/>
    <x v="0"/>
    <x v="1"/>
    <x v="9"/>
  </r>
  <r>
    <x v="280"/>
    <n v="1290"/>
    <n v="87"/>
    <x v="0"/>
    <x v="0"/>
    <n v="199"/>
    <n v="1277.3138153767645"/>
    <b v="0"/>
    <n v="1290"/>
    <n v="87"/>
    <n v="1277"/>
    <x v="0"/>
    <x v="1"/>
    <x v="9"/>
  </r>
  <r>
    <x v="280"/>
    <n v="4659"/>
    <n v="87"/>
    <x v="1"/>
    <x v="1"/>
    <n v="2525"/>
    <n v="3890.4373924231563"/>
    <b v="0"/>
    <n v="4659"/>
    <n v="87"/>
    <n v="3890"/>
    <x v="0"/>
    <x v="1"/>
    <x v="9"/>
  </r>
  <r>
    <x v="280"/>
    <n v="5235"/>
    <n v="243"/>
    <x v="2"/>
    <x v="0"/>
    <n v="3321"/>
    <n v="4791.6659891664231"/>
    <b v="0"/>
    <n v="5235"/>
    <n v="243"/>
    <n v="4792"/>
    <x v="0"/>
    <x v="1"/>
    <x v="9"/>
  </r>
  <r>
    <x v="281"/>
    <n v="1.5"/>
    <n v="0"/>
    <x v="2"/>
    <x v="1"/>
    <n v="1"/>
    <n v="1.2021540371216566"/>
    <b v="1"/>
    <n v="2"/>
    <n v="0"/>
    <n v="1"/>
    <x v="1"/>
    <x v="0"/>
    <x v="9"/>
  </r>
  <r>
    <x v="281"/>
    <n v="801"/>
    <n v="34.5"/>
    <x v="0"/>
    <x v="0"/>
    <n v="153"/>
    <n v="766.68275067927448"/>
    <b v="0"/>
    <n v="801"/>
    <n v="35"/>
    <n v="767"/>
    <x v="1"/>
    <x v="1"/>
    <x v="9"/>
  </r>
  <r>
    <x v="281"/>
    <n v="1153.5"/>
    <n v="34.5"/>
    <x v="0"/>
    <x v="1"/>
    <n v="138"/>
    <n v="1000.3405261531203"/>
    <b v="0"/>
    <n v="1154"/>
    <n v="35"/>
    <n v="1000"/>
    <x v="1"/>
    <x v="1"/>
    <x v="9"/>
  </r>
  <r>
    <x v="281"/>
    <n v="4335"/>
    <n v="36"/>
    <x v="1"/>
    <x v="1"/>
    <n v="2861"/>
    <n v="3885.0044558643235"/>
    <b v="0"/>
    <n v="4335"/>
    <n v="36"/>
    <n v="3885"/>
    <x v="1"/>
    <x v="1"/>
    <x v="9"/>
  </r>
  <r>
    <x v="281"/>
    <n v="4389"/>
    <n v="258"/>
    <x v="2"/>
    <x v="0"/>
    <n v="2731"/>
    <n v="4181.5868772929489"/>
    <b v="0"/>
    <n v="4389"/>
    <n v="258"/>
    <n v="4182"/>
    <x v="1"/>
    <x v="1"/>
    <x v="9"/>
  </r>
  <r>
    <x v="282"/>
    <n v="646.5"/>
    <n v="24"/>
    <x v="0"/>
    <x v="0"/>
    <n v="395"/>
    <n v="620.93241452484187"/>
    <b v="0"/>
    <n v="647"/>
    <n v="24"/>
    <n v="621"/>
    <x v="2"/>
    <x v="1"/>
    <x v="9"/>
  </r>
  <r>
    <x v="282"/>
    <n v="700.5"/>
    <n v="24"/>
    <x v="0"/>
    <x v="1"/>
    <n v="279"/>
    <n v="590.48959808151449"/>
    <b v="0"/>
    <n v="701"/>
    <n v="24"/>
    <n v="590"/>
    <x v="2"/>
    <x v="1"/>
    <x v="9"/>
  </r>
  <r>
    <x v="282"/>
    <n v="4182"/>
    <n v="168"/>
    <x v="1"/>
    <x v="1"/>
    <n v="2018"/>
    <n v="3722.5051347139974"/>
    <b v="0"/>
    <n v="4182"/>
    <n v="168"/>
    <n v="3723"/>
    <x v="2"/>
    <x v="1"/>
    <x v="9"/>
  </r>
  <r>
    <x v="282"/>
    <n v="5923.5"/>
    <n v="66"/>
    <x v="2"/>
    <x v="0"/>
    <n v="3060"/>
    <n v="5556.5883747074713"/>
    <b v="0"/>
    <n v="5924"/>
    <n v="66"/>
    <n v="5557"/>
    <x v="2"/>
    <x v="1"/>
    <x v="9"/>
  </r>
  <r>
    <x v="283"/>
    <n v="465"/>
    <n v="30"/>
    <x v="0"/>
    <x v="1"/>
    <n v="106"/>
    <n v="412.97690241879644"/>
    <b v="0"/>
    <n v="465"/>
    <n v="30"/>
    <n v="413"/>
    <x v="3"/>
    <x v="1"/>
    <x v="9"/>
  </r>
  <r>
    <x v="283"/>
    <n v="708"/>
    <n v="30"/>
    <x v="0"/>
    <x v="0"/>
    <n v="331"/>
    <n v="643.17682907381902"/>
    <b v="0"/>
    <n v="708"/>
    <n v="30"/>
    <n v="643"/>
    <x v="3"/>
    <x v="1"/>
    <x v="9"/>
  </r>
  <r>
    <x v="283"/>
    <n v="3888"/>
    <n v="165"/>
    <x v="1"/>
    <x v="1"/>
    <n v="2008"/>
    <n v="3466.2057039803581"/>
    <b v="0"/>
    <n v="3888"/>
    <n v="165"/>
    <n v="3466"/>
    <x v="3"/>
    <x v="1"/>
    <x v="9"/>
  </r>
  <r>
    <x v="283"/>
    <n v="5631"/>
    <n v="379.5"/>
    <x v="2"/>
    <x v="0"/>
    <n v="763"/>
    <n v="5558.195445935663"/>
    <b v="0"/>
    <n v="5631"/>
    <n v="380"/>
    <n v="5558"/>
    <x v="3"/>
    <x v="1"/>
    <x v="9"/>
  </r>
  <r>
    <x v="284"/>
    <n v="1.5"/>
    <n v="0"/>
    <x v="2"/>
    <x v="1"/>
    <n v="1"/>
    <n v="1.3184252503006513"/>
    <b v="0"/>
    <n v="2"/>
    <n v="0"/>
    <n v="1"/>
    <x v="4"/>
    <x v="1"/>
    <x v="9"/>
  </r>
  <r>
    <x v="284"/>
    <n v="477"/>
    <n v="42"/>
    <x v="0"/>
    <x v="1"/>
    <n v="300"/>
    <n v="415.3185145361432"/>
    <b v="1"/>
    <n v="477"/>
    <n v="42"/>
    <n v="415"/>
    <x v="4"/>
    <x v="0"/>
    <x v="9"/>
  </r>
  <r>
    <x v="284"/>
    <n v="873"/>
    <n v="42"/>
    <x v="0"/>
    <x v="0"/>
    <n v="496"/>
    <n v="799.77839256000266"/>
    <b v="1"/>
    <n v="873"/>
    <n v="42"/>
    <n v="800"/>
    <x v="4"/>
    <x v="0"/>
    <x v="9"/>
  </r>
  <r>
    <x v="284"/>
    <n v="5392.5"/>
    <n v="223.5"/>
    <x v="1"/>
    <x v="1"/>
    <n v="960"/>
    <n v="4667.5614471730187"/>
    <b v="0"/>
    <n v="5393"/>
    <n v="224"/>
    <n v="4668"/>
    <x v="4"/>
    <x v="1"/>
    <x v="9"/>
  </r>
  <r>
    <x v="284"/>
    <n v="6153"/>
    <n v="55.5"/>
    <x v="2"/>
    <x v="0"/>
    <n v="3480"/>
    <n v="5449.1263107818695"/>
    <b v="0"/>
    <n v="6153"/>
    <n v="56"/>
    <n v="5449"/>
    <x v="4"/>
    <x v="1"/>
    <x v="9"/>
  </r>
  <r>
    <x v="285"/>
    <n v="1.5"/>
    <n v="0"/>
    <x v="2"/>
    <x v="1"/>
    <n v="1"/>
    <n v="1.3037194847361255"/>
    <b v="0"/>
    <n v="2"/>
    <n v="0"/>
    <n v="1"/>
    <x v="5"/>
    <x v="1"/>
    <x v="9"/>
  </r>
  <r>
    <x v="285"/>
    <n v="1864.5"/>
    <n v="105"/>
    <x v="0"/>
    <x v="0"/>
    <n v="216"/>
    <n v="1850.7779722855175"/>
    <b v="0"/>
    <n v="1865"/>
    <n v="105"/>
    <n v="1851"/>
    <x v="5"/>
    <x v="1"/>
    <x v="9"/>
  </r>
  <r>
    <x v="285"/>
    <n v="2106"/>
    <n v="105"/>
    <x v="0"/>
    <x v="1"/>
    <n v="924"/>
    <n v="1952.2182550412281"/>
    <b v="0"/>
    <n v="2106"/>
    <n v="105"/>
    <n v="1952"/>
    <x v="5"/>
    <x v="1"/>
    <x v="9"/>
  </r>
  <r>
    <x v="285"/>
    <n v="2346"/>
    <n v="82.5"/>
    <x v="1"/>
    <x v="1"/>
    <n v="1034"/>
    <n v="2137.8420707743035"/>
    <b v="0"/>
    <n v="2346"/>
    <n v="83"/>
    <n v="2138"/>
    <x v="5"/>
    <x v="1"/>
    <x v="9"/>
  </r>
  <r>
    <x v="285"/>
    <n v="5721"/>
    <n v="84"/>
    <x v="2"/>
    <x v="0"/>
    <n v="2185"/>
    <n v="5122.8381158144548"/>
    <b v="0"/>
    <n v="5721"/>
    <n v="84"/>
    <n v="5123"/>
    <x v="5"/>
    <x v="1"/>
    <x v="9"/>
  </r>
  <r>
    <x v="286"/>
    <n v="1.5"/>
    <n v="0"/>
    <x v="2"/>
    <x v="1"/>
    <n v="1"/>
    <n v="1.2991714679370434"/>
    <b v="0"/>
    <n v="2"/>
    <n v="0"/>
    <n v="1"/>
    <x v="6"/>
    <x v="1"/>
    <x v="9"/>
  </r>
  <r>
    <x v="286"/>
    <n v="1065"/>
    <n v="73.5"/>
    <x v="0"/>
    <x v="0"/>
    <n v="464"/>
    <n v="1018.3309329347732"/>
    <b v="0"/>
    <n v="1065"/>
    <n v="74"/>
    <n v="1018"/>
    <x v="6"/>
    <x v="1"/>
    <x v="9"/>
  </r>
  <r>
    <x v="286"/>
    <n v="1177.5"/>
    <n v="73.5"/>
    <x v="0"/>
    <x v="1"/>
    <n v="673"/>
    <n v="1008.3812697386005"/>
    <b v="0"/>
    <n v="1178"/>
    <n v="74"/>
    <n v="1008"/>
    <x v="6"/>
    <x v="1"/>
    <x v="9"/>
  </r>
  <r>
    <x v="286"/>
    <n v="4369.5"/>
    <n v="87"/>
    <x v="1"/>
    <x v="1"/>
    <n v="410"/>
    <n v="3674.6242004462933"/>
    <b v="0"/>
    <n v="4370"/>
    <n v="87"/>
    <n v="3675"/>
    <x v="6"/>
    <x v="1"/>
    <x v="9"/>
  </r>
  <r>
    <x v="286"/>
    <n v="6888"/>
    <n v="183"/>
    <x v="2"/>
    <x v="0"/>
    <n v="4411"/>
    <n v="6415.438902380597"/>
    <b v="0"/>
    <n v="6888"/>
    <n v="183"/>
    <n v="6415"/>
    <x v="6"/>
    <x v="1"/>
    <x v="9"/>
  </r>
  <r>
    <x v="287"/>
    <n v="1.5"/>
    <n v="0"/>
    <x v="1"/>
    <x v="0"/>
    <n v="1"/>
    <n v="1.38549912428844"/>
    <b v="0"/>
    <n v="2"/>
    <n v="0"/>
    <n v="1"/>
    <x v="0"/>
    <x v="1"/>
    <x v="9"/>
  </r>
  <r>
    <x v="287"/>
    <n v="570"/>
    <n v="39"/>
    <x v="0"/>
    <x v="0"/>
    <n v="209"/>
    <n v="566.59669863055944"/>
    <b v="0"/>
    <n v="570"/>
    <n v="39"/>
    <n v="567"/>
    <x v="0"/>
    <x v="1"/>
    <x v="9"/>
  </r>
  <r>
    <x v="287"/>
    <n v="711"/>
    <n v="39"/>
    <x v="0"/>
    <x v="1"/>
    <n v="347"/>
    <n v="656.34444536612466"/>
    <b v="0"/>
    <n v="711"/>
    <n v="39"/>
    <n v="656"/>
    <x v="0"/>
    <x v="1"/>
    <x v="9"/>
  </r>
  <r>
    <x v="287"/>
    <n v="5139"/>
    <n v="169.5"/>
    <x v="1"/>
    <x v="1"/>
    <n v="1977"/>
    <n v="4407.1535470596855"/>
    <b v="0"/>
    <n v="5139"/>
    <n v="170"/>
    <n v="4407"/>
    <x v="0"/>
    <x v="1"/>
    <x v="9"/>
  </r>
  <r>
    <x v="287"/>
    <n v="6151.5"/>
    <n v="171"/>
    <x v="2"/>
    <x v="0"/>
    <n v="36"/>
    <n v="5632.1605006238806"/>
    <b v="0"/>
    <n v="6152"/>
    <n v="171"/>
    <n v="5632"/>
    <x v="0"/>
    <x v="1"/>
    <x v="9"/>
  </r>
  <r>
    <x v="288"/>
    <n v="1.5"/>
    <n v="0"/>
    <x v="2"/>
    <x v="1"/>
    <n v="1"/>
    <n v="1.3217352136858096"/>
    <b v="0"/>
    <n v="2"/>
    <n v="0"/>
    <n v="1"/>
    <x v="1"/>
    <x v="1"/>
    <x v="9"/>
  </r>
  <r>
    <x v="288"/>
    <n v="537"/>
    <n v="18"/>
    <x v="0"/>
    <x v="0"/>
    <n v="209"/>
    <n v="507.73433791840893"/>
    <b v="0"/>
    <n v="537"/>
    <n v="18"/>
    <n v="508"/>
    <x v="1"/>
    <x v="1"/>
    <x v="9"/>
  </r>
  <r>
    <x v="288"/>
    <n v="670.5"/>
    <n v="18"/>
    <x v="0"/>
    <x v="1"/>
    <n v="38"/>
    <n v="574.77130063792947"/>
    <b v="0"/>
    <n v="671"/>
    <n v="18"/>
    <n v="575"/>
    <x v="1"/>
    <x v="1"/>
    <x v="9"/>
  </r>
  <r>
    <x v="288"/>
    <n v="4335"/>
    <n v="46.5"/>
    <x v="1"/>
    <x v="1"/>
    <n v="2800"/>
    <n v="3525.4296991728115"/>
    <b v="0"/>
    <n v="4335"/>
    <n v="47"/>
    <n v="3525"/>
    <x v="1"/>
    <x v="1"/>
    <x v="9"/>
  </r>
  <r>
    <x v="288"/>
    <n v="4942.5"/>
    <n v="130.5"/>
    <x v="2"/>
    <x v="0"/>
    <n v="383"/>
    <n v="4562.512434173349"/>
    <b v="0"/>
    <n v="4943"/>
    <n v="131"/>
    <n v="4563"/>
    <x v="1"/>
    <x v="1"/>
    <x v="9"/>
  </r>
  <r>
    <x v="289"/>
    <n v="498"/>
    <n v="60"/>
    <x v="0"/>
    <x v="1"/>
    <n v="200"/>
    <n v="467.42447378055243"/>
    <b v="0"/>
    <n v="498"/>
    <n v="60"/>
    <n v="467"/>
    <x v="2"/>
    <x v="1"/>
    <x v="9"/>
  </r>
  <r>
    <x v="289"/>
    <n v="901.5"/>
    <n v="60"/>
    <x v="0"/>
    <x v="0"/>
    <n v="488"/>
    <n v="884.39591686579979"/>
    <b v="0"/>
    <n v="902"/>
    <n v="60"/>
    <n v="884"/>
    <x v="2"/>
    <x v="1"/>
    <x v="9"/>
  </r>
  <r>
    <x v="289"/>
    <n v="3958.5"/>
    <n v="39"/>
    <x v="1"/>
    <x v="1"/>
    <n v="2496"/>
    <n v="3225.9496439879658"/>
    <b v="0"/>
    <n v="3959"/>
    <n v="39"/>
    <n v="3226"/>
    <x v="2"/>
    <x v="1"/>
    <x v="9"/>
  </r>
  <r>
    <x v="289"/>
    <n v="4764"/>
    <n v="253.5"/>
    <x v="2"/>
    <x v="0"/>
    <n v="3090"/>
    <n v="4461.0281974531026"/>
    <b v="0"/>
    <n v="4764"/>
    <n v="254"/>
    <n v="4461"/>
    <x v="2"/>
    <x v="1"/>
    <x v="9"/>
  </r>
  <r>
    <x v="290"/>
    <n v="3"/>
    <n v="1.5"/>
    <x v="2"/>
    <x v="1"/>
    <n v="1"/>
    <n v="3.8671270113247878"/>
    <b v="0"/>
    <n v="3"/>
    <n v="2"/>
    <n v="4"/>
    <x v="3"/>
    <x v="1"/>
    <x v="9"/>
  </r>
  <r>
    <x v="290"/>
    <n v="372"/>
    <n v="31.5"/>
    <x v="0"/>
    <x v="1"/>
    <n v="247"/>
    <n v="335.89115107726911"/>
    <b v="0"/>
    <n v="372"/>
    <n v="32"/>
    <n v="336"/>
    <x v="3"/>
    <x v="1"/>
    <x v="9"/>
  </r>
  <r>
    <x v="290"/>
    <n v="561"/>
    <n v="31.5"/>
    <x v="0"/>
    <x v="0"/>
    <n v="16"/>
    <n v="527.66305536213167"/>
    <b v="0"/>
    <n v="561"/>
    <n v="32"/>
    <n v="528"/>
    <x v="3"/>
    <x v="1"/>
    <x v="9"/>
  </r>
  <r>
    <x v="290"/>
    <n v="4737"/>
    <n v="64.5"/>
    <x v="1"/>
    <x v="1"/>
    <n v="1104"/>
    <n v="4020.3125574232686"/>
    <b v="0"/>
    <n v="4737"/>
    <n v="65"/>
    <n v="4020"/>
    <x v="3"/>
    <x v="1"/>
    <x v="9"/>
  </r>
  <r>
    <x v="290"/>
    <n v="6238.5"/>
    <n v="292.5"/>
    <x v="2"/>
    <x v="0"/>
    <n v="3863"/>
    <n v="6013.3859246459424"/>
    <b v="0"/>
    <n v="6239"/>
    <n v="293"/>
    <n v="6013"/>
    <x v="3"/>
    <x v="1"/>
    <x v="9"/>
  </r>
  <r>
    <x v="291"/>
    <n v="433.5"/>
    <n v="7.5"/>
    <x v="0"/>
    <x v="0"/>
    <n v="19"/>
    <n v="390.23770719238087"/>
    <b v="0"/>
    <n v="434"/>
    <n v="8"/>
    <n v="390"/>
    <x v="4"/>
    <x v="1"/>
    <x v="9"/>
  </r>
  <r>
    <x v="291"/>
    <n v="439.5"/>
    <n v="7.5"/>
    <x v="0"/>
    <x v="1"/>
    <n v="46"/>
    <n v="364.87633222418094"/>
    <b v="0"/>
    <n v="440"/>
    <n v="8"/>
    <n v="365"/>
    <x v="4"/>
    <x v="1"/>
    <x v="9"/>
  </r>
  <r>
    <x v="291"/>
    <n v="4879.5"/>
    <n v="217.5"/>
    <x v="1"/>
    <x v="1"/>
    <n v="2771"/>
    <n v="4242.8688046786347"/>
    <b v="0"/>
    <n v="4880"/>
    <n v="218"/>
    <n v="4243"/>
    <x v="4"/>
    <x v="1"/>
    <x v="9"/>
  </r>
  <r>
    <x v="291"/>
    <n v="6925.5"/>
    <n v="214.5"/>
    <x v="2"/>
    <x v="0"/>
    <n v="1369"/>
    <n v="6661.0866817843225"/>
    <b v="0"/>
    <n v="6926"/>
    <n v="215"/>
    <n v="6661"/>
    <x v="4"/>
    <x v="1"/>
    <x v="9"/>
  </r>
  <r>
    <x v="292"/>
    <n v="1396.5"/>
    <n v="70.5"/>
    <x v="0"/>
    <x v="0"/>
    <n v="142"/>
    <n v="1367.7365305090175"/>
    <b v="0"/>
    <n v="1397"/>
    <n v="71"/>
    <n v="1368"/>
    <x v="5"/>
    <x v="1"/>
    <x v="9"/>
  </r>
  <r>
    <x v="292"/>
    <n v="2107.5"/>
    <n v="70.5"/>
    <x v="0"/>
    <x v="1"/>
    <n v="1007"/>
    <n v="1768.9167391425069"/>
    <b v="0"/>
    <n v="2108"/>
    <n v="71"/>
    <n v="1769"/>
    <x v="5"/>
    <x v="1"/>
    <x v="9"/>
  </r>
  <r>
    <x v="292"/>
    <n v="3379.5"/>
    <n v="66"/>
    <x v="1"/>
    <x v="1"/>
    <n v="114"/>
    <n v="2783.7546802406841"/>
    <b v="0"/>
    <n v="3380"/>
    <n v="66"/>
    <n v="2784"/>
    <x v="5"/>
    <x v="1"/>
    <x v="9"/>
  </r>
  <r>
    <x v="292"/>
    <n v="6135"/>
    <n v="1.5"/>
    <x v="2"/>
    <x v="0"/>
    <n v="2913"/>
    <n v="5677.3407015077155"/>
    <b v="0"/>
    <n v="6135"/>
    <n v="2"/>
    <n v="5677"/>
    <x v="5"/>
    <x v="1"/>
    <x v="9"/>
  </r>
  <r>
    <x v="293"/>
    <n v="883.5"/>
    <n v="36"/>
    <x v="0"/>
    <x v="0"/>
    <n v="322"/>
    <n v="821.70477119273232"/>
    <b v="0"/>
    <n v="884"/>
    <n v="36"/>
    <n v="822"/>
    <x v="6"/>
    <x v="1"/>
    <x v="9"/>
  </r>
  <r>
    <x v="293"/>
    <n v="1795.5"/>
    <n v="36"/>
    <x v="0"/>
    <x v="1"/>
    <n v="354"/>
    <n v="1559.4874328256267"/>
    <b v="0"/>
    <n v="1796"/>
    <n v="36"/>
    <n v="1559"/>
    <x v="6"/>
    <x v="1"/>
    <x v="9"/>
  </r>
  <r>
    <x v="293"/>
    <n v="4563"/>
    <n v="208.5"/>
    <x v="1"/>
    <x v="1"/>
    <n v="1618"/>
    <n v="4081.8720552665973"/>
    <b v="0"/>
    <n v="4563"/>
    <n v="209"/>
    <n v="4082"/>
    <x v="6"/>
    <x v="1"/>
    <x v="9"/>
  </r>
  <r>
    <x v="293"/>
    <n v="6811.5"/>
    <n v="373.5"/>
    <x v="2"/>
    <x v="0"/>
    <n v="877"/>
    <n v="6731.2497962415564"/>
    <b v="0"/>
    <n v="6812"/>
    <n v="374"/>
    <n v="6731"/>
    <x v="6"/>
    <x v="1"/>
    <x v="9"/>
  </r>
  <r>
    <x v="294"/>
    <n v="847.5"/>
    <n v="15"/>
    <x v="0"/>
    <x v="0"/>
    <n v="387"/>
    <n v="782.5802503212268"/>
    <b v="0"/>
    <n v="848"/>
    <n v="15"/>
    <n v="783"/>
    <x v="0"/>
    <x v="1"/>
    <x v="9"/>
  </r>
  <r>
    <x v="294"/>
    <n v="1161"/>
    <n v="15"/>
    <x v="0"/>
    <x v="1"/>
    <n v="530"/>
    <n v="988.17565871605257"/>
    <b v="0"/>
    <n v="1161"/>
    <n v="15"/>
    <n v="988"/>
    <x v="0"/>
    <x v="1"/>
    <x v="9"/>
  </r>
  <r>
    <x v="294"/>
    <n v="4306.5"/>
    <n v="33"/>
    <x v="1"/>
    <x v="1"/>
    <n v="1528"/>
    <n v="3743.5346911275901"/>
    <b v="0"/>
    <n v="4307"/>
    <n v="33"/>
    <n v="3744"/>
    <x v="0"/>
    <x v="1"/>
    <x v="9"/>
  </r>
  <r>
    <x v="294"/>
    <n v="4884"/>
    <n v="105"/>
    <x v="2"/>
    <x v="0"/>
    <n v="3056"/>
    <n v="4434.8567048479508"/>
    <b v="0"/>
    <n v="4884"/>
    <n v="105"/>
    <n v="4435"/>
    <x v="0"/>
    <x v="1"/>
    <x v="9"/>
  </r>
  <r>
    <x v="295"/>
    <n v="666"/>
    <n v="4.5"/>
    <x v="0"/>
    <x v="0"/>
    <n v="272"/>
    <n v="625.01785002251563"/>
    <b v="0"/>
    <n v="666"/>
    <n v="5"/>
    <n v="625"/>
    <x v="1"/>
    <x v="1"/>
    <x v="9"/>
  </r>
  <r>
    <x v="295"/>
    <n v="1006.5"/>
    <n v="4.5"/>
    <x v="0"/>
    <x v="1"/>
    <n v="202"/>
    <n v="829.48776759231441"/>
    <b v="0"/>
    <n v="1007"/>
    <n v="5"/>
    <n v="829"/>
    <x v="1"/>
    <x v="1"/>
    <x v="9"/>
  </r>
  <r>
    <x v="295"/>
    <n v="4110"/>
    <n v="112.5"/>
    <x v="1"/>
    <x v="1"/>
    <n v="2311"/>
    <n v="3442.0008202955237"/>
    <b v="0"/>
    <n v="4110"/>
    <n v="113"/>
    <n v="3442"/>
    <x v="1"/>
    <x v="1"/>
    <x v="9"/>
  </r>
  <r>
    <x v="295"/>
    <n v="5674.5"/>
    <n v="256.5"/>
    <x v="2"/>
    <x v="0"/>
    <n v="1907"/>
    <n v="5295.5928414608716"/>
    <b v="1"/>
    <n v="5675"/>
    <n v="257"/>
    <n v="5296"/>
    <x v="1"/>
    <x v="0"/>
    <x v="9"/>
  </r>
  <r>
    <x v="296"/>
    <n v="532.5"/>
    <n v="1.5"/>
    <x v="0"/>
    <x v="1"/>
    <n v="227"/>
    <n v="468.86874431709964"/>
    <b v="0"/>
    <n v="533"/>
    <n v="2"/>
    <n v="469"/>
    <x v="2"/>
    <x v="1"/>
    <x v="9"/>
  </r>
  <r>
    <x v="296"/>
    <n v="630"/>
    <n v="1.5"/>
    <x v="0"/>
    <x v="0"/>
    <n v="306"/>
    <n v="555.99766806809885"/>
    <b v="0"/>
    <n v="630"/>
    <n v="2"/>
    <n v="556"/>
    <x v="2"/>
    <x v="1"/>
    <x v="9"/>
  </r>
  <r>
    <x v="296"/>
    <n v="3607.5"/>
    <n v="153"/>
    <x v="1"/>
    <x v="1"/>
    <n v="1689"/>
    <n v="3025.3818109524732"/>
    <b v="0"/>
    <n v="3608"/>
    <n v="153"/>
    <n v="3025"/>
    <x v="2"/>
    <x v="1"/>
    <x v="9"/>
  </r>
  <r>
    <x v="296"/>
    <n v="5584.5"/>
    <n v="325.5"/>
    <x v="2"/>
    <x v="0"/>
    <n v="93"/>
    <n v="5175.6931296547136"/>
    <b v="0"/>
    <n v="5585"/>
    <n v="326"/>
    <n v="5176"/>
    <x v="2"/>
    <x v="1"/>
    <x v="9"/>
  </r>
  <r>
    <x v="297"/>
    <n v="474"/>
    <n v="7.5"/>
    <x v="0"/>
    <x v="0"/>
    <n v="123"/>
    <n v="420.91966764688317"/>
    <b v="0"/>
    <n v="474"/>
    <n v="8"/>
    <n v="421"/>
    <x v="3"/>
    <x v="1"/>
    <x v="9"/>
  </r>
  <r>
    <x v="297"/>
    <n v="819"/>
    <n v="7.5"/>
    <x v="0"/>
    <x v="1"/>
    <n v="39"/>
    <n v="706.34659768336542"/>
    <b v="0"/>
    <n v="819"/>
    <n v="8"/>
    <n v="706"/>
    <x v="3"/>
    <x v="1"/>
    <x v="9"/>
  </r>
  <r>
    <x v="297"/>
    <n v="2956.5"/>
    <n v="15"/>
    <x v="1"/>
    <x v="1"/>
    <n v="1024"/>
    <n v="2421.5536837289051"/>
    <b v="0"/>
    <n v="2957"/>
    <n v="15"/>
    <n v="2422"/>
    <x v="3"/>
    <x v="1"/>
    <x v="9"/>
  </r>
  <r>
    <x v="297"/>
    <n v="4813.5"/>
    <n v="112.5"/>
    <x v="2"/>
    <x v="0"/>
    <n v="1515"/>
    <n v="4390.7695301948906"/>
    <b v="0"/>
    <n v="4814"/>
    <n v="113"/>
    <n v="4391"/>
    <x v="3"/>
    <x v="1"/>
    <x v="9"/>
  </r>
  <r>
    <x v="298"/>
    <n v="390"/>
    <n v="18"/>
    <x v="0"/>
    <x v="1"/>
    <n v="214"/>
    <n v="339.35450334279744"/>
    <b v="0"/>
    <n v="390"/>
    <n v="18"/>
    <n v="339"/>
    <x v="4"/>
    <x v="1"/>
    <x v="9"/>
  </r>
  <r>
    <x v="298"/>
    <n v="555"/>
    <n v="18"/>
    <x v="0"/>
    <x v="0"/>
    <n v="352"/>
    <n v="535.28393989141"/>
    <b v="0"/>
    <n v="555"/>
    <n v="18"/>
    <n v="535"/>
    <x v="4"/>
    <x v="1"/>
    <x v="9"/>
  </r>
  <r>
    <x v="298"/>
    <n v="4666.5"/>
    <n v="111"/>
    <x v="1"/>
    <x v="1"/>
    <n v="1339"/>
    <n v="4026.7738095445825"/>
    <b v="0"/>
    <n v="4667"/>
    <n v="111"/>
    <n v="4027"/>
    <x v="4"/>
    <x v="1"/>
    <x v="9"/>
  </r>
  <r>
    <x v="298"/>
    <n v="5166"/>
    <n v="285"/>
    <x v="2"/>
    <x v="0"/>
    <n v="2639"/>
    <n v="5097.1877174805086"/>
    <b v="0"/>
    <n v="5166"/>
    <n v="285"/>
    <n v="5097"/>
    <x v="4"/>
    <x v="1"/>
    <x v="9"/>
  </r>
  <r>
    <x v="299"/>
    <n v="691.5"/>
    <n v="18"/>
    <x v="0"/>
    <x v="0"/>
    <n v="69"/>
    <n v="665.2387480616926"/>
    <b v="0"/>
    <n v="692"/>
    <n v="18"/>
    <n v="665"/>
    <x v="5"/>
    <x v="1"/>
    <x v="9"/>
  </r>
  <r>
    <x v="299"/>
    <n v="1012.5"/>
    <n v="18"/>
    <x v="0"/>
    <x v="1"/>
    <n v="597"/>
    <n v="856.31266772316212"/>
    <b v="0"/>
    <n v="1013"/>
    <n v="18"/>
    <n v="856"/>
    <x v="5"/>
    <x v="1"/>
    <x v="9"/>
  </r>
  <r>
    <x v="299"/>
    <n v="4243.5"/>
    <n v="105"/>
    <x v="1"/>
    <x v="1"/>
    <n v="1739"/>
    <n v="3767.7500143622478"/>
    <b v="0"/>
    <n v="4244"/>
    <n v="105"/>
    <n v="3768"/>
    <x v="5"/>
    <x v="1"/>
    <x v="9"/>
  </r>
  <r>
    <x v="299"/>
    <n v="7003.5"/>
    <n v="126"/>
    <x v="2"/>
    <x v="0"/>
    <n v="3456"/>
    <n v="6327.5821770091197"/>
    <b v="0"/>
    <n v="7004"/>
    <n v="126"/>
    <n v="6328"/>
    <x v="5"/>
    <x v="1"/>
    <x v="9"/>
  </r>
  <r>
    <x v="300"/>
    <n v="1638"/>
    <n v="85.5"/>
    <x v="0"/>
    <x v="1"/>
    <n v="689"/>
    <n v="1505.0719625817164"/>
    <b v="0"/>
    <n v="1638"/>
    <n v="86"/>
    <n v="1505"/>
    <x v="6"/>
    <x v="1"/>
    <x v="9"/>
  </r>
  <r>
    <x v="300"/>
    <n v="1750.5"/>
    <n v="85.5"/>
    <x v="0"/>
    <x v="0"/>
    <n v="707"/>
    <n v="1627.6431291641336"/>
    <b v="0"/>
    <n v="1751"/>
    <n v="86"/>
    <n v="1628"/>
    <x v="6"/>
    <x v="1"/>
    <x v="9"/>
  </r>
  <r>
    <x v="300"/>
    <n v="6219"/>
    <n v="130.5"/>
    <x v="1"/>
    <x v="1"/>
    <n v="1228"/>
    <n v="5286.9057279691851"/>
    <b v="0"/>
    <n v="6219"/>
    <n v="131"/>
    <n v="5287"/>
    <x v="6"/>
    <x v="1"/>
    <x v="9"/>
  </r>
  <r>
    <x v="300"/>
    <n v="6549"/>
    <n v="66"/>
    <x v="2"/>
    <x v="0"/>
    <n v="3605"/>
    <n v="6211.1564099859543"/>
    <b v="0"/>
    <n v="6549"/>
    <n v="66"/>
    <n v="6211"/>
    <x v="6"/>
    <x v="1"/>
    <x v="9"/>
  </r>
  <r>
    <x v="301"/>
    <n v="642"/>
    <n v="36"/>
    <x v="0"/>
    <x v="0"/>
    <n v="356"/>
    <n v="605.99416563715522"/>
    <b v="0"/>
    <n v="642"/>
    <n v="36"/>
    <n v="606"/>
    <x v="0"/>
    <x v="1"/>
    <x v="9"/>
  </r>
  <r>
    <x v="301"/>
    <n v="967.5"/>
    <n v="36"/>
    <x v="0"/>
    <x v="1"/>
    <n v="258"/>
    <n v="857.51019056904943"/>
    <b v="0"/>
    <n v="968"/>
    <n v="36"/>
    <n v="858"/>
    <x v="0"/>
    <x v="1"/>
    <x v="9"/>
  </r>
  <r>
    <x v="301"/>
    <n v="3414"/>
    <n v="118.5"/>
    <x v="1"/>
    <x v="1"/>
    <n v="603"/>
    <n v="3141.6100153717034"/>
    <b v="0"/>
    <n v="3414"/>
    <n v="119"/>
    <n v="3142"/>
    <x v="0"/>
    <x v="1"/>
    <x v="9"/>
  </r>
  <r>
    <x v="301"/>
    <n v="4933.5"/>
    <n v="289.5"/>
    <x v="2"/>
    <x v="0"/>
    <n v="2200"/>
    <n v="4676.0683625552811"/>
    <b v="0"/>
    <n v="4934"/>
    <n v="290"/>
    <n v="4676"/>
    <x v="0"/>
    <x v="1"/>
    <x v="9"/>
  </r>
  <r>
    <x v="302"/>
    <n v="675"/>
    <n v="10.5"/>
    <x v="0"/>
    <x v="0"/>
    <n v="170"/>
    <n v="641.12359716936396"/>
    <b v="0"/>
    <n v="675"/>
    <n v="11"/>
    <n v="641"/>
    <x v="1"/>
    <x v="1"/>
    <x v="9"/>
  </r>
  <r>
    <x v="302"/>
    <n v="1092"/>
    <n v="10.5"/>
    <x v="0"/>
    <x v="1"/>
    <n v="378"/>
    <n v="960.70599479260216"/>
    <b v="0"/>
    <n v="1092"/>
    <n v="11"/>
    <n v="961"/>
    <x v="1"/>
    <x v="1"/>
    <x v="9"/>
  </r>
  <r>
    <x v="302"/>
    <n v="3388.5"/>
    <n v="51"/>
    <x v="1"/>
    <x v="1"/>
    <n v="1425"/>
    <n v="2832.8580756147985"/>
    <b v="0"/>
    <n v="3389"/>
    <n v="51"/>
    <n v="2833"/>
    <x v="1"/>
    <x v="1"/>
    <x v="9"/>
  </r>
  <r>
    <x v="302"/>
    <n v="5829"/>
    <n v="69"/>
    <x v="2"/>
    <x v="0"/>
    <n v="974"/>
    <n v="5421.4640241194329"/>
    <b v="0"/>
    <n v="5829"/>
    <n v="69"/>
    <n v="5421"/>
    <x v="1"/>
    <x v="1"/>
    <x v="9"/>
  </r>
  <r>
    <x v="303"/>
    <n v="822"/>
    <n v="52.5"/>
    <x v="0"/>
    <x v="1"/>
    <n v="354"/>
    <n v="777.95716868788816"/>
    <b v="0"/>
    <n v="822"/>
    <n v="53"/>
    <n v="778"/>
    <x v="2"/>
    <x v="1"/>
    <x v="9"/>
  </r>
  <r>
    <x v="303"/>
    <n v="1078.5"/>
    <n v="52.5"/>
    <x v="0"/>
    <x v="0"/>
    <n v="558"/>
    <n v="986.63224394812187"/>
    <b v="0"/>
    <n v="1079"/>
    <n v="53"/>
    <n v="987"/>
    <x v="2"/>
    <x v="1"/>
    <x v="9"/>
  </r>
  <r>
    <x v="303"/>
    <n v="4288.5"/>
    <n v="174"/>
    <x v="1"/>
    <x v="1"/>
    <n v="2305"/>
    <n v="3834.0375776756064"/>
    <b v="0"/>
    <n v="4289"/>
    <n v="174"/>
    <n v="3834"/>
    <x v="2"/>
    <x v="1"/>
    <x v="9"/>
  </r>
  <r>
    <x v="303"/>
    <n v="6141"/>
    <n v="226.5"/>
    <x v="2"/>
    <x v="0"/>
    <n v="4034"/>
    <n v="5942.3867271654835"/>
    <b v="0"/>
    <n v="6141"/>
    <n v="227"/>
    <n v="5942"/>
    <x v="2"/>
    <x v="1"/>
    <x v="9"/>
  </r>
  <r>
    <x v="304"/>
    <n v="1320"/>
    <n v="175.5"/>
    <x v="0"/>
    <x v="1"/>
    <n v="77"/>
    <n v="1264.6959777052898"/>
    <b v="0"/>
    <n v="1320"/>
    <n v="176"/>
    <n v="1265"/>
    <x v="3"/>
    <x v="1"/>
    <x v="9"/>
  </r>
  <r>
    <x v="304"/>
    <n v="3574.5"/>
    <n v="175.5"/>
    <x v="0"/>
    <x v="0"/>
    <n v="2106"/>
    <n v="3296.0277357950999"/>
    <b v="0"/>
    <n v="3575"/>
    <n v="176"/>
    <n v="3296"/>
    <x v="3"/>
    <x v="1"/>
    <x v="9"/>
  </r>
  <r>
    <x v="304"/>
    <n v="3867"/>
    <n v="12"/>
    <x v="1"/>
    <x v="1"/>
    <n v="2049"/>
    <n v="3374.5041967064826"/>
    <b v="0"/>
    <n v="3867"/>
    <n v="12"/>
    <n v="3375"/>
    <x v="3"/>
    <x v="1"/>
    <x v="9"/>
  </r>
  <r>
    <x v="304"/>
    <n v="6642"/>
    <n v="129"/>
    <x v="2"/>
    <x v="0"/>
    <n v="992"/>
    <n v="6159.3447252032483"/>
    <b v="0"/>
    <n v="6642"/>
    <n v="129"/>
    <n v="6159"/>
    <x v="3"/>
    <x v="1"/>
    <x v="9"/>
  </r>
  <r>
    <x v="305"/>
    <n v="1315.5"/>
    <n v="130.5"/>
    <x v="0"/>
    <x v="1"/>
    <n v="467"/>
    <n v="1186.9054380552791"/>
    <b v="0"/>
    <n v="1316"/>
    <n v="131"/>
    <n v="1187"/>
    <x v="4"/>
    <x v="1"/>
    <x v="10"/>
  </r>
  <r>
    <x v="305"/>
    <n v="2542.5"/>
    <n v="130.5"/>
    <x v="0"/>
    <x v="0"/>
    <n v="952"/>
    <n v="2457.2567758743189"/>
    <b v="0"/>
    <n v="2543"/>
    <n v="131"/>
    <n v="2457"/>
    <x v="4"/>
    <x v="1"/>
    <x v="10"/>
  </r>
  <r>
    <x v="305"/>
    <n v="5923.5"/>
    <n v="172.5"/>
    <x v="1"/>
    <x v="1"/>
    <n v="394"/>
    <n v="4935.3918253813272"/>
    <b v="0"/>
    <n v="5924"/>
    <n v="173"/>
    <n v="4935"/>
    <x v="4"/>
    <x v="1"/>
    <x v="10"/>
  </r>
  <r>
    <x v="305"/>
    <n v="10029"/>
    <n v="505.5"/>
    <x v="2"/>
    <x v="0"/>
    <n v="5865"/>
    <n v="9169.8137010220435"/>
    <b v="1"/>
    <n v="10029"/>
    <n v="506"/>
    <n v="9170"/>
    <x v="4"/>
    <x v="0"/>
    <x v="10"/>
  </r>
  <r>
    <x v="306"/>
    <n v="1476"/>
    <n v="79.5"/>
    <x v="0"/>
    <x v="1"/>
    <n v="653"/>
    <n v="1261.5761189533123"/>
    <b v="0"/>
    <n v="1476"/>
    <n v="80"/>
    <n v="1262"/>
    <x v="5"/>
    <x v="1"/>
    <x v="10"/>
  </r>
  <r>
    <x v="306"/>
    <n v="1617"/>
    <n v="79.5"/>
    <x v="0"/>
    <x v="0"/>
    <n v="684"/>
    <n v="1490.6173860286642"/>
    <b v="0"/>
    <n v="1617"/>
    <n v="80"/>
    <n v="1491"/>
    <x v="5"/>
    <x v="1"/>
    <x v="10"/>
  </r>
  <r>
    <x v="306"/>
    <n v="4402.5"/>
    <n v="34.5"/>
    <x v="1"/>
    <x v="1"/>
    <n v="299"/>
    <n v="3672.2151512904584"/>
    <b v="0"/>
    <n v="4403"/>
    <n v="35"/>
    <n v="3672"/>
    <x v="5"/>
    <x v="1"/>
    <x v="10"/>
  </r>
  <r>
    <x v="306"/>
    <n v="7890"/>
    <n v="255"/>
    <x v="2"/>
    <x v="0"/>
    <n v="4134"/>
    <n v="7218.497230657732"/>
    <b v="0"/>
    <n v="7890"/>
    <n v="255"/>
    <n v="7218"/>
    <x v="5"/>
    <x v="1"/>
    <x v="10"/>
  </r>
  <r>
    <x v="307"/>
    <n v="2736"/>
    <n v="139.5"/>
    <x v="0"/>
    <x v="0"/>
    <n v="1670"/>
    <n v="2682.5023138948332"/>
    <b v="0"/>
    <n v="2736"/>
    <n v="140"/>
    <n v="2683"/>
    <x v="6"/>
    <x v="1"/>
    <x v="10"/>
  </r>
  <r>
    <x v="307"/>
    <n v="3003"/>
    <n v="139.5"/>
    <x v="0"/>
    <x v="1"/>
    <n v="1532"/>
    <n v="2699.5746413095808"/>
    <b v="0"/>
    <n v="3003"/>
    <n v="140"/>
    <n v="2700"/>
    <x v="6"/>
    <x v="1"/>
    <x v="10"/>
  </r>
  <r>
    <x v="307"/>
    <n v="3981"/>
    <n v="3"/>
    <x v="1"/>
    <x v="1"/>
    <n v="1969"/>
    <n v="3357.1190528805346"/>
    <b v="0"/>
    <n v="3981"/>
    <n v="3"/>
    <n v="3357"/>
    <x v="6"/>
    <x v="1"/>
    <x v="10"/>
  </r>
  <r>
    <x v="307"/>
    <n v="6834"/>
    <n v="15"/>
    <x v="2"/>
    <x v="0"/>
    <n v="3045"/>
    <n v="6005.3639183886007"/>
    <b v="0"/>
    <n v="6834"/>
    <n v="15"/>
    <n v="6005"/>
    <x v="6"/>
    <x v="1"/>
    <x v="10"/>
  </r>
  <r>
    <x v="308"/>
    <n v="811.5"/>
    <n v="4.5"/>
    <x v="0"/>
    <x v="1"/>
    <n v="456"/>
    <n v="683.86757873059094"/>
    <b v="0"/>
    <n v="812"/>
    <n v="5"/>
    <n v="684"/>
    <x v="0"/>
    <x v="1"/>
    <x v="10"/>
  </r>
  <r>
    <x v="308"/>
    <n v="1089"/>
    <n v="4.5"/>
    <x v="0"/>
    <x v="0"/>
    <n v="77"/>
    <n v="958.99056697018818"/>
    <b v="0"/>
    <n v="1089"/>
    <n v="5"/>
    <n v="959"/>
    <x v="0"/>
    <x v="1"/>
    <x v="10"/>
  </r>
  <r>
    <x v="308"/>
    <n v="4359"/>
    <n v="175.5"/>
    <x v="1"/>
    <x v="1"/>
    <n v="1395"/>
    <n v="3686.4964427859195"/>
    <b v="0"/>
    <n v="4359"/>
    <n v="176"/>
    <n v="3686"/>
    <x v="0"/>
    <x v="1"/>
    <x v="10"/>
  </r>
  <r>
    <x v="308"/>
    <n v="6220.5"/>
    <n v="286.5"/>
    <x v="2"/>
    <x v="0"/>
    <n v="2015"/>
    <n v="6009.9366589821184"/>
    <b v="0"/>
    <n v="6221"/>
    <n v="287"/>
    <n v="6010"/>
    <x v="0"/>
    <x v="1"/>
    <x v="10"/>
  </r>
  <r>
    <x v="309"/>
    <n v="1468.5"/>
    <n v="85.5"/>
    <x v="0"/>
    <x v="1"/>
    <n v="307"/>
    <n v="1315.9164978546896"/>
    <b v="0"/>
    <n v="1469"/>
    <n v="86"/>
    <n v="1316"/>
    <x v="1"/>
    <x v="1"/>
    <x v="10"/>
  </r>
  <r>
    <x v="309"/>
    <n v="1536"/>
    <n v="85.5"/>
    <x v="0"/>
    <x v="0"/>
    <n v="903"/>
    <n v="1484.9046170669633"/>
    <b v="0"/>
    <n v="1536"/>
    <n v="86"/>
    <n v="1485"/>
    <x v="1"/>
    <x v="1"/>
    <x v="10"/>
  </r>
  <r>
    <x v="309"/>
    <n v="3322.5"/>
    <n v="81"/>
    <x v="1"/>
    <x v="1"/>
    <n v="2162"/>
    <n v="2781.0516226107129"/>
    <b v="0"/>
    <n v="3323"/>
    <n v="81"/>
    <n v="2781"/>
    <x v="1"/>
    <x v="1"/>
    <x v="10"/>
  </r>
  <r>
    <x v="309"/>
    <n v="5403"/>
    <n v="43.5"/>
    <x v="2"/>
    <x v="0"/>
    <n v="139"/>
    <n v="5104.3424951427396"/>
    <b v="0"/>
    <n v="5403"/>
    <n v="44"/>
    <n v="5104"/>
    <x v="1"/>
    <x v="1"/>
    <x v="10"/>
  </r>
  <r>
    <x v="310"/>
    <n v="868.5"/>
    <n v="33"/>
    <x v="0"/>
    <x v="1"/>
    <n v="282"/>
    <n v="724.32064290377764"/>
    <b v="1"/>
    <n v="869"/>
    <n v="33"/>
    <n v="724"/>
    <x v="2"/>
    <x v="0"/>
    <x v="10"/>
  </r>
  <r>
    <x v="310"/>
    <n v="1053"/>
    <n v="33"/>
    <x v="0"/>
    <x v="0"/>
    <n v="531"/>
    <n v="974.36001836540424"/>
    <b v="0"/>
    <n v="1053"/>
    <n v="33"/>
    <n v="974"/>
    <x v="2"/>
    <x v="1"/>
    <x v="10"/>
  </r>
  <r>
    <x v="310"/>
    <n v="4965"/>
    <n v="127.5"/>
    <x v="1"/>
    <x v="1"/>
    <n v="933"/>
    <n v="4151.3047917107524"/>
    <b v="0"/>
    <n v="4965"/>
    <n v="128"/>
    <n v="4151"/>
    <x v="2"/>
    <x v="1"/>
    <x v="10"/>
  </r>
  <r>
    <x v="310"/>
    <n v="5784"/>
    <n v="99"/>
    <x v="2"/>
    <x v="0"/>
    <n v="1838"/>
    <n v="5351.4086185158967"/>
    <b v="0"/>
    <n v="5784"/>
    <n v="99"/>
    <n v="5351"/>
    <x v="2"/>
    <x v="1"/>
    <x v="10"/>
  </r>
  <r>
    <x v="311"/>
    <n v="1777.5"/>
    <n v="100.5"/>
    <x v="0"/>
    <x v="0"/>
    <n v="1057"/>
    <n v="1640.2005768845706"/>
    <b v="1"/>
    <n v="1778"/>
    <n v="101"/>
    <n v="1640"/>
    <x v="3"/>
    <x v="0"/>
    <x v="10"/>
  </r>
  <r>
    <x v="311"/>
    <n v="1869"/>
    <n v="100.5"/>
    <x v="0"/>
    <x v="1"/>
    <n v="1222"/>
    <n v="1600.4697193960612"/>
    <b v="0"/>
    <n v="1869"/>
    <n v="101"/>
    <n v="1600"/>
    <x v="3"/>
    <x v="1"/>
    <x v="10"/>
  </r>
  <r>
    <x v="311"/>
    <n v="5182.5"/>
    <n v="121.5"/>
    <x v="1"/>
    <x v="1"/>
    <n v="2365"/>
    <n v="4565.2294414950202"/>
    <b v="0"/>
    <n v="5183"/>
    <n v="122"/>
    <n v="4565"/>
    <x v="3"/>
    <x v="1"/>
    <x v="10"/>
  </r>
  <r>
    <x v="311"/>
    <n v="6873"/>
    <n v="70.5"/>
    <x v="2"/>
    <x v="0"/>
    <n v="1998"/>
    <n v="6175.2026855832592"/>
    <b v="0"/>
    <n v="6873"/>
    <n v="71"/>
    <n v="6175"/>
    <x v="3"/>
    <x v="1"/>
    <x v="10"/>
  </r>
  <r>
    <x v="312"/>
    <n v="582"/>
    <n v="34.5"/>
    <x v="0"/>
    <x v="1"/>
    <n v="290"/>
    <n v="539.85391817819459"/>
    <b v="0"/>
    <n v="582"/>
    <n v="35"/>
    <n v="540"/>
    <x v="4"/>
    <x v="1"/>
    <x v="10"/>
  </r>
  <r>
    <x v="312"/>
    <n v="1021.5"/>
    <n v="34.5"/>
    <x v="0"/>
    <x v="0"/>
    <n v="108"/>
    <n v="924.61444560302289"/>
    <b v="0"/>
    <n v="1022"/>
    <n v="35"/>
    <n v="925"/>
    <x v="4"/>
    <x v="1"/>
    <x v="10"/>
  </r>
  <r>
    <x v="312"/>
    <n v="7512"/>
    <n v="1.5"/>
    <x v="2"/>
    <x v="0"/>
    <n v="4251"/>
    <n v="6778.3132551860581"/>
    <b v="0"/>
    <n v="7512"/>
    <n v="2"/>
    <n v="6778"/>
    <x v="4"/>
    <x v="1"/>
    <x v="10"/>
  </r>
  <r>
    <x v="312"/>
    <n v="7842"/>
    <n v="264"/>
    <x v="1"/>
    <x v="1"/>
    <n v="1836"/>
    <n v="6546.1928448372255"/>
    <b v="1"/>
    <n v="7842"/>
    <n v="264"/>
    <n v="6546"/>
    <x v="4"/>
    <x v="0"/>
    <x v="10"/>
  </r>
  <r>
    <x v="313"/>
    <n v="1404"/>
    <n v="60"/>
    <x v="0"/>
    <x v="1"/>
    <n v="654"/>
    <n v="1284.2146930305059"/>
    <b v="0"/>
    <n v="1404"/>
    <n v="60"/>
    <n v="1284"/>
    <x v="5"/>
    <x v="1"/>
    <x v="10"/>
  </r>
  <r>
    <x v="313"/>
    <n v="1485"/>
    <n v="60"/>
    <x v="0"/>
    <x v="0"/>
    <n v="749"/>
    <n v="1377.4647954001111"/>
    <b v="0"/>
    <n v="1485"/>
    <n v="60"/>
    <n v="1377"/>
    <x v="5"/>
    <x v="1"/>
    <x v="10"/>
  </r>
  <r>
    <x v="313"/>
    <n v="6130.5"/>
    <n v="165"/>
    <x v="1"/>
    <x v="1"/>
    <n v="2043"/>
    <n v="5151.696743562974"/>
    <b v="0"/>
    <n v="6131"/>
    <n v="165"/>
    <n v="5152"/>
    <x v="5"/>
    <x v="1"/>
    <x v="10"/>
  </r>
  <r>
    <x v="313"/>
    <n v="6490.5"/>
    <n v="406.5"/>
    <x v="2"/>
    <x v="0"/>
    <n v="3107"/>
    <n v="6468.1685236055091"/>
    <b v="0"/>
    <n v="6491"/>
    <n v="407"/>
    <n v="6468"/>
    <x v="5"/>
    <x v="1"/>
    <x v="10"/>
  </r>
  <r>
    <x v="314"/>
    <n v="3"/>
    <n v="0"/>
    <x v="2"/>
    <x v="1"/>
    <n v="2"/>
    <n v="2.4662323500112322"/>
    <b v="0"/>
    <n v="3"/>
    <n v="0"/>
    <n v="2"/>
    <x v="6"/>
    <x v="1"/>
    <x v="10"/>
  </r>
  <r>
    <x v="314"/>
    <n v="1305"/>
    <n v="87"/>
    <x v="0"/>
    <x v="0"/>
    <n v="271"/>
    <n v="1300.5049402434622"/>
    <b v="0"/>
    <n v="1305"/>
    <n v="87"/>
    <n v="1301"/>
    <x v="6"/>
    <x v="1"/>
    <x v="10"/>
  </r>
  <r>
    <x v="314"/>
    <n v="1839"/>
    <n v="87"/>
    <x v="0"/>
    <x v="1"/>
    <n v="1067"/>
    <n v="1638.9207437093901"/>
    <b v="0"/>
    <n v="1839"/>
    <n v="87"/>
    <n v="1639"/>
    <x v="6"/>
    <x v="1"/>
    <x v="10"/>
  </r>
  <r>
    <x v="314"/>
    <n v="3493.5"/>
    <n v="91.5"/>
    <x v="1"/>
    <x v="1"/>
    <n v="1454"/>
    <n v="3086.2242892970248"/>
    <b v="0"/>
    <n v="3494"/>
    <n v="92"/>
    <n v="3086"/>
    <x v="6"/>
    <x v="1"/>
    <x v="10"/>
  </r>
  <r>
    <x v="314"/>
    <n v="6055.5"/>
    <n v="234"/>
    <x v="2"/>
    <x v="0"/>
    <n v="1890"/>
    <n v="5736.1263602878817"/>
    <b v="0"/>
    <n v="6056"/>
    <n v="234"/>
    <n v="5736"/>
    <x v="6"/>
    <x v="1"/>
    <x v="10"/>
  </r>
  <r>
    <x v="315"/>
    <n v="741"/>
    <n v="4.5"/>
    <x v="0"/>
    <x v="1"/>
    <n v="138"/>
    <n v="632.49273232306678"/>
    <b v="0"/>
    <n v="741"/>
    <n v="5"/>
    <n v="632"/>
    <x v="0"/>
    <x v="1"/>
    <x v="10"/>
  </r>
  <r>
    <x v="315"/>
    <n v="835.5"/>
    <n v="4.5"/>
    <x v="0"/>
    <x v="0"/>
    <n v="160"/>
    <n v="755.45995979129088"/>
    <b v="0"/>
    <n v="836"/>
    <n v="5"/>
    <n v="755"/>
    <x v="0"/>
    <x v="1"/>
    <x v="10"/>
  </r>
  <r>
    <x v="315"/>
    <n v="5674.5"/>
    <n v="106.5"/>
    <x v="1"/>
    <x v="1"/>
    <n v="2411"/>
    <n v="4642.5982133366888"/>
    <b v="1"/>
    <n v="5675"/>
    <n v="107"/>
    <n v="4643"/>
    <x v="0"/>
    <x v="0"/>
    <x v="10"/>
  </r>
  <r>
    <x v="315"/>
    <n v="6090"/>
    <n v="357"/>
    <x v="2"/>
    <x v="0"/>
    <n v="730"/>
    <n v="5982.6276259947517"/>
    <b v="0"/>
    <n v="6090"/>
    <n v="357"/>
    <n v="5983"/>
    <x v="0"/>
    <x v="1"/>
    <x v="10"/>
  </r>
  <r>
    <x v="316"/>
    <n v="255"/>
    <n v="34.5"/>
    <x v="0"/>
    <x v="1"/>
    <n v="56"/>
    <n v="240.45689185421267"/>
    <b v="0"/>
    <n v="255"/>
    <n v="35"/>
    <n v="240"/>
    <x v="1"/>
    <x v="1"/>
    <x v="10"/>
  </r>
  <r>
    <x v="316"/>
    <n v="558"/>
    <n v="34.5"/>
    <x v="0"/>
    <x v="0"/>
    <n v="318"/>
    <n v="553.15423191573882"/>
    <b v="0"/>
    <n v="558"/>
    <n v="35"/>
    <n v="553"/>
    <x v="1"/>
    <x v="1"/>
    <x v="10"/>
  </r>
  <r>
    <x v="316"/>
    <n v="5493"/>
    <n v="148.5"/>
    <x v="1"/>
    <x v="1"/>
    <n v="479"/>
    <n v="4804.3376780951521"/>
    <b v="0"/>
    <n v="5493"/>
    <n v="149"/>
    <n v="4804"/>
    <x v="1"/>
    <x v="1"/>
    <x v="10"/>
  </r>
  <r>
    <x v="316"/>
    <n v="5622"/>
    <n v="54"/>
    <x v="2"/>
    <x v="0"/>
    <n v="3487"/>
    <n v="5331.6074424071803"/>
    <b v="0"/>
    <n v="5622"/>
    <n v="54"/>
    <n v="5332"/>
    <x v="1"/>
    <x v="1"/>
    <x v="10"/>
  </r>
  <r>
    <x v="317"/>
    <n v="549"/>
    <n v="48"/>
    <x v="0"/>
    <x v="1"/>
    <n v="259"/>
    <n v="503.29832879247419"/>
    <b v="0"/>
    <n v="549"/>
    <n v="48"/>
    <n v="503"/>
    <x v="2"/>
    <x v="1"/>
    <x v="10"/>
  </r>
  <r>
    <x v="317"/>
    <n v="789"/>
    <n v="48"/>
    <x v="0"/>
    <x v="0"/>
    <n v="473"/>
    <n v="732.03733853655194"/>
    <b v="0"/>
    <n v="789"/>
    <n v="48"/>
    <n v="732"/>
    <x v="2"/>
    <x v="1"/>
    <x v="10"/>
  </r>
  <r>
    <x v="317"/>
    <n v="3723"/>
    <n v="160.5"/>
    <x v="1"/>
    <x v="1"/>
    <n v="316"/>
    <n v="3203.1539617250669"/>
    <b v="0"/>
    <n v="3723"/>
    <n v="161"/>
    <n v="3203"/>
    <x v="2"/>
    <x v="1"/>
    <x v="10"/>
  </r>
  <r>
    <x v="317"/>
    <n v="5667"/>
    <n v="208.5"/>
    <x v="2"/>
    <x v="0"/>
    <n v="552"/>
    <n v="5372.8700607186511"/>
    <b v="0"/>
    <n v="5667"/>
    <n v="209"/>
    <n v="5373"/>
    <x v="2"/>
    <x v="1"/>
    <x v="10"/>
  </r>
  <r>
    <x v="318"/>
    <n v="673.5"/>
    <n v="81"/>
    <x v="0"/>
    <x v="1"/>
    <n v="1"/>
    <n v="661.83689131857136"/>
    <b v="0"/>
    <n v="674"/>
    <n v="81"/>
    <n v="662"/>
    <x v="3"/>
    <x v="1"/>
    <x v="10"/>
  </r>
  <r>
    <x v="318"/>
    <n v="1162.5"/>
    <n v="81"/>
    <x v="0"/>
    <x v="0"/>
    <n v="492"/>
    <n v="1139.5402760402865"/>
    <b v="0"/>
    <n v="1163"/>
    <n v="81"/>
    <n v="1140"/>
    <x v="3"/>
    <x v="1"/>
    <x v="10"/>
  </r>
  <r>
    <x v="318"/>
    <n v="4615.5"/>
    <n v="214.5"/>
    <x v="1"/>
    <x v="1"/>
    <n v="2712"/>
    <n v="4235.7996702541859"/>
    <b v="0"/>
    <n v="4616"/>
    <n v="215"/>
    <n v="4236"/>
    <x v="3"/>
    <x v="1"/>
    <x v="10"/>
  </r>
  <r>
    <x v="318"/>
    <n v="6043.5"/>
    <n v="189"/>
    <x v="2"/>
    <x v="0"/>
    <n v="3011"/>
    <n v="5538.5775029689976"/>
    <b v="0"/>
    <n v="6044"/>
    <n v="189"/>
    <n v="5539"/>
    <x v="3"/>
    <x v="1"/>
    <x v="10"/>
  </r>
  <r>
    <x v="319"/>
    <n v="813"/>
    <n v="37.5"/>
    <x v="0"/>
    <x v="1"/>
    <n v="540"/>
    <n v="698.97266256787634"/>
    <b v="0"/>
    <n v="813"/>
    <n v="38"/>
    <n v="699"/>
    <x v="4"/>
    <x v="1"/>
    <x v="10"/>
  </r>
  <r>
    <x v="319"/>
    <n v="1186.5"/>
    <n v="37.5"/>
    <x v="0"/>
    <x v="0"/>
    <n v="556"/>
    <n v="1093.0874530924755"/>
    <b v="0"/>
    <n v="1187"/>
    <n v="38"/>
    <n v="1093"/>
    <x v="4"/>
    <x v="1"/>
    <x v="10"/>
  </r>
  <r>
    <x v="319"/>
    <n v="4578"/>
    <n v="177"/>
    <x v="1"/>
    <x v="1"/>
    <n v="1406"/>
    <n v="4208.1844503203993"/>
    <b v="0"/>
    <n v="4578"/>
    <n v="177"/>
    <n v="4208"/>
    <x v="4"/>
    <x v="1"/>
    <x v="10"/>
  </r>
  <r>
    <x v="319"/>
    <n v="5931"/>
    <n v="93"/>
    <x v="2"/>
    <x v="0"/>
    <n v="807"/>
    <n v="5629.2030403517074"/>
    <b v="0"/>
    <n v="5931"/>
    <n v="93"/>
    <n v="5629"/>
    <x v="4"/>
    <x v="1"/>
    <x v="10"/>
  </r>
  <r>
    <x v="320"/>
    <n v="1.5"/>
    <n v="0"/>
    <x v="2"/>
    <x v="1"/>
    <n v="1"/>
    <n v="1.3265765225907122"/>
    <b v="0"/>
    <n v="2"/>
    <n v="0"/>
    <n v="1"/>
    <x v="5"/>
    <x v="1"/>
    <x v="10"/>
  </r>
  <r>
    <x v="320"/>
    <n v="1627.5"/>
    <n v="36"/>
    <x v="0"/>
    <x v="1"/>
    <n v="236"/>
    <n v="1386.4384097030215"/>
    <b v="0"/>
    <n v="1628"/>
    <n v="36"/>
    <n v="1386"/>
    <x v="5"/>
    <x v="1"/>
    <x v="10"/>
  </r>
  <r>
    <x v="320"/>
    <n v="3655.5"/>
    <n v="36"/>
    <x v="0"/>
    <x v="0"/>
    <n v="2193"/>
    <n v="3389.8120158301381"/>
    <b v="0"/>
    <n v="3656"/>
    <n v="36"/>
    <n v="3390"/>
    <x v="5"/>
    <x v="1"/>
    <x v="10"/>
  </r>
  <r>
    <x v="320"/>
    <n v="6130.5"/>
    <n v="141"/>
    <x v="2"/>
    <x v="0"/>
    <n v="1681"/>
    <n v="5740.0307831615664"/>
    <b v="0"/>
    <n v="6131"/>
    <n v="141"/>
    <n v="5740"/>
    <x v="5"/>
    <x v="1"/>
    <x v="10"/>
  </r>
  <r>
    <x v="320"/>
    <n v="6847.5"/>
    <n v="150"/>
    <x v="1"/>
    <x v="1"/>
    <n v="4398"/>
    <n v="5666.5218121805347"/>
    <b v="0"/>
    <n v="6848"/>
    <n v="150"/>
    <n v="5667"/>
    <x v="5"/>
    <x v="1"/>
    <x v="10"/>
  </r>
  <r>
    <x v="321"/>
    <n v="3"/>
    <n v="0"/>
    <x v="2"/>
    <x v="1"/>
    <n v="2"/>
    <n v="2.5333350530059167"/>
    <b v="0"/>
    <n v="3"/>
    <n v="0"/>
    <n v="3"/>
    <x v="6"/>
    <x v="1"/>
    <x v="10"/>
  </r>
  <r>
    <x v="321"/>
    <n v="2038.5"/>
    <n v="123"/>
    <x v="0"/>
    <x v="0"/>
    <n v="996"/>
    <n v="2000.9621373150526"/>
    <b v="0"/>
    <n v="2039"/>
    <n v="123"/>
    <n v="2001"/>
    <x v="6"/>
    <x v="1"/>
    <x v="10"/>
  </r>
  <r>
    <x v="321"/>
    <n v="2253"/>
    <n v="123"/>
    <x v="0"/>
    <x v="1"/>
    <n v="455"/>
    <n v="1956.3124991133559"/>
    <b v="0"/>
    <n v="2253"/>
    <n v="123"/>
    <n v="1956"/>
    <x v="6"/>
    <x v="1"/>
    <x v="10"/>
  </r>
  <r>
    <x v="321"/>
    <n v="4809"/>
    <n v="202.5"/>
    <x v="1"/>
    <x v="1"/>
    <n v="1776"/>
    <n v="4025.7227859534819"/>
    <b v="1"/>
    <n v="4809"/>
    <n v="203"/>
    <n v="4026"/>
    <x v="6"/>
    <x v="0"/>
    <x v="10"/>
  </r>
  <r>
    <x v="321"/>
    <n v="5637"/>
    <n v="88.5"/>
    <x v="2"/>
    <x v="0"/>
    <n v="2383"/>
    <n v="5243.8423631943388"/>
    <b v="0"/>
    <n v="5637"/>
    <n v="89"/>
    <n v="5244"/>
    <x v="6"/>
    <x v="1"/>
    <x v="10"/>
  </r>
  <r>
    <x v="322"/>
    <n v="3"/>
    <n v="0"/>
    <x v="2"/>
    <x v="1"/>
    <n v="2"/>
    <n v="2.4412604495316241"/>
    <b v="0"/>
    <n v="3"/>
    <n v="0"/>
    <n v="2"/>
    <x v="0"/>
    <x v="1"/>
    <x v="10"/>
  </r>
  <r>
    <x v="322"/>
    <n v="1347"/>
    <n v="76.5"/>
    <x v="0"/>
    <x v="0"/>
    <n v="133"/>
    <n v="1281.979938398787"/>
    <b v="0"/>
    <n v="1347"/>
    <n v="77"/>
    <n v="1282"/>
    <x v="0"/>
    <x v="1"/>
    <x v="10"/>
  </r>
  <r>
    <x v="322"/>
    <n v="1585.5"/>
    <n v="76.5"/>
    <x v="0"/>
    <x v="1"/>
    <n v="228"/>
    <n v="1459.0019480614258"/>
    <b v="0"/>
    <n v="1586"/>
    <n v="77"/>
    <n v="1459"/>
    <x v="0"/>
    <x v="1"/>
    <x v="10"/>
  </r>
  <r>
    <x v="322"/>
    <n v="4131"/>
    <n v="112.5"/>
    <x v="1"/>
    <x v="1"/>
    <n v="539"/>
    <n v="3773.9902251466074"/>
    <b v="0"/>
    <n v="4131"/>
    <n v="113"/>
    <n v="3774"/>
    <x v="0"/>
    <x v="1"/>
    <x v="10"/>
  </r>
  <r>
    <x v="322"/>
    <n v="6006"/>
    <n v="177"/>
    <x v="2"/>
    <x v="0"/>
    <n v="3834"/>
    <n v="5634.0772001949399"/>
    <b v="0"/>
    <n v="6006"/>
    <n v="177"/>
    <n v="5634"/>
    <x v="0"/>
    <x v="1"/>
    <x v="10"/>
  </r>
  <r>
    <x v="323"/>
    <n v="999"/>
    <n v="51"/>
    <x v="0"/>
    <x v="1"/>
    <n v="40"/>
    <n v="859.17456722764803"/>
    <b v="0"/>
    <n v="999"/>
    <n v="51"/>
    <n v="859"/>
    <x v="1"/>
    <x v="1"/>
    <x v="10"/>
  </r>
  <r>
    <x v="323"/>
    <n v="1150.5"/>
    <n v="51"/>
    <x v="0"/>
    <x v="0"/>
    <n v="602"/>
    <n v="1098.9660708756933"/>
    <b v="0"/>
    <n v="1151"/>
    <n v="51"/>
    <n v="1099"/>
    <x v="1"/>
    <x v="1"/>
    <x v="10"/>
  </r>
  <r>
    <x v="323"/>
    <n v="4672.5"/>
    <n v="96"/>
    <x v="1"/>
    <x v="1"/>
    <n v="2790"/>
    <n v="3816.6556885586151"/>
    <b v="1"/>
    <n v="4673"/>
    <n v="96"/>
    <n v="3817"/>
    <x v="1"/>
    <x v="0"/>
    <x v="10"/>
  </r>
  <r>
    <x v="323"/>
    <n v="5316"/>
    <n v="282"/>
    <x v="2"/>
    <x v="0"/>
    <n v="1281"/>
    <n v="5249.4405189107765"/>
    <b v="0"/>
    <n v="5316"/>
    <n v="282"/>
    <n v="5249"/>
    <x v="1"/>
    <x v="1"/>
    <x v="10"/>
  </r>
  <r>
    <x v="324"/>
    <n v="1.5"/>
    <n v="0"/>
    <x v="2"/>
    <x v="1"/>
    <n v="1"/>
    <n v="1.2141090642423451"/>
    <b v="0"/>
    <n v="2"/>
    <n v="0"/>
    <n v="1"/>
    <x v="2"/>
    <x v="1"/>
    <x v="10"/>
  </r>
  <r>
    <x v="324"/>
    <n v="1150.5"/>
    <n v="79.5"/>
    <x v="0"/>
    <x v="1"/>
    <n v="280"/>
    <n v="1011.5302971115636"/>
    <b v="0"/>
    <n v="1151"/>
    <n v="80"/>
    <n v="1012"/>
    <x v="2"/>
    <x v="1"/>
    <x v="10"/>
  </r>
  <r>
    <x v="324"/>
    <n v="1308"/>
    <n v="79.5"/>
    <x v="0"/>
    <x v="0"/>
    <n v="754"/>
    <n v="1249.5677073126142"/>
    <b v="0"/>
    <n v="1308"/>
    <n v="80"/>
    <n v="1250"/>
    <x v="2"/>
    <x v="1"/>
    <x v="10"/>
  </r>
  <r>
    <x v="324"/>
    <n v="4171.5"/>
    <n v="4.5"/>
    <x v="1"/>
    <x v="1"/>
    <n v="1145"/>
    <n v="3524.017228429228"/>
    <b v="0"/>
    <n v="4172"/>
    <n v="5"/>
    <n v="3524"/>
    <x v="2"/>
    <x v="1"/>
    <x v="10"/>
  </r>
  <r>
    <x v="324"/>
    <n v="5469"/>
    <n v="324"/>
    <x v="2"/>
    <x v="0"/>
    <n v="3079"/>
    <n v="5194.2467936981075"/>
    <b v="0"/>
    <n v="5469"/>
    <n v="324"/>
    <n v="5194"/>
    <x v="2"/>
    <x v="1"/>
    <x v="10"/>
  </r>
  <r>
    <x v="325"/>
    <n v="1.5"/>
    <n v="0"/>
    <x v="2"/>
    <x v="1"/>
    <n v="1"/>
    <n v="1.261931732767263"/>
    <b v="0"/>
    <n v="2"/>
    <n v="0"/>
    <n v="1"/>
    <x v="3"/>
    <x v="1"/>
    <x v="10"/>
  </r>
  <r>
    <x v="325"/>
    <n v="1680"/>
    <n v="108"/>
    <x v="0"/>
    <x v="1"/>
    <n v="63"/>
    <n v="1465.9942935910144"/>
    <b v="0"/>
    <n v="1680"/>
    <n v="108"/>
    <n v="1466"/>
    <x v="3"/>
    <x v="1"/>
    <x v="10"/>
  </r>
  <r>
    <x v="325"/>
    <n v="1924.5"/>
    <n v="108"/>
    <x v="0"/>
    <x v="0"/>
    <n v="858"/>
    <n v="1824.8002488522025"/>
    <b v="0"/>
    <n v="1925"/>
    <n v="108"/>
    <n v="1825"/>
    <x v="3"/>
    <x v="1"/>
    <x v="10"/>
  </r>
  <r>
    <x v="325"/>
    <n v="4782"/>
    <n v="37.5"/>
    <x v="1"/>
    <x v="1"/>
    <n v="2833"/>
    <n v="4037.5709743627012"/>
    <b v="0"/>
    <n v="4782"/>
    <n v="38"/>
    <n v="4038"/>
    <x v="3"/>
    <x v="1"/>
    <x v="10"/>
  </r>
  <r>
    <x v="325"/>
    <n v="6604.5"/>
    <n v="66"/>
    <x v="2"/>
    <x v="0"/>
    <n v="3866"/>
    <n v="5888.3866807781824"/>
    <b v="0"/>
    <n v="6605"/>
    <n v="66"/>
    <n v="5888"/>
    <x v="3"/>
    <x v="1"/>
    <x v="10"/>
  </r>
  <r>
    <x v="326"/>
    <n v="1.5"/>
    <n v="0"/>
    <x v="2"/>
    <x v="1"/>
    <n v="1"/>
    <n v="1.2421850951055107"/>
    <b v="0"/>
    <n v="2"/>
    <n v="0"/>
    <n v="1"/>
    <x v="4"/>
    <x v="1"/>
    <x v="10"/>
  </r>
  <r>
    <x v="326"/>
    <n v="1843.5"/>
    <n v="51"/>
    <x v="0"/>
    <x v="1"/>
    <n v="1002"/>
    <n v="1618.2450835770862"/>
    <b v="0"/>
    <n v="1844"/>
    <n v="51"/>
    <n v="1618"/>
    <x v="4"/>
    <x v="1"/>
    <x v="10"/>
  </r>
  <r>
    <x v="326"/>
    <n v="1944"/>
    <n v="51"/>
    <x v="0"/>
    <x v="0"/>
    <n v="893"/>
    <n v="1860.915182754695"/>
    <b v="0"/>
    <n v="1944"/>
    <n v="51"/>
    <n v="1861"/>
    <x v="4"/>
    <x v="1"/>
    <x v="10"/>
  </r>
  <r>
    <x v="326"/>
    <n v="5398.5"/>
    <n v="31.5"/>
    <x v="1"/>
    <x v="1"/>
    <n v="41"/>
    <n v="4379.1871065143887"/>
    <b v="0"/>
    <n v="5399"/>
    <n v="32"/>
    <n v="4379"/>
    <x v="4"/>
    <x v="1"/>
    <x v="10"/>
  </r>
  <r>
    <x v="326"/>
    <n v="7246.5"/>
    <n v="252"/>
    <x v="2"/>
    <x v="0"/>
    <n v="4826"/>
    <n v="6813.9362574915031"/>
    <b v="0"/>
    <n v="7247"/>
    <n v="252"/>
    <n v="6814"/>
    <x v="4"/>
    <x v="1"/>
    <x v="10"/>
  </r>
  <r>
    <x v="327"/>
    <n v="1692"/>
    <n v="91.5"/>
    <x v="0"/>
    <x v="0"/>
    <n v="346"/>
    <n v="1552.0361726009755"/>
    <b v="1"/>
    <n v="1692"/>
    <n v="92"/>
    <n v="1552"/>
    <x v="5"/>
    <x v="0"/>
    <x v="10"/>
  </r>
  <r>
    <x v="327"/>
    <n v="1845"/>
    <n v="91.5"/>
    <x v="0"/>
    <x v="1"/>
    <n v="125"/>
    <n v="1556.615439140952"/>
    <b v="0"/>
    <n v="1845"/>
    <n v="92"/>
    <n v="1557"/>
    <x v="5"/>
    <x v="1"/>
    <x v="10"/>
  </r>
  <r>
    <x v="327"/>
    <n v="7320"/>
    <n v="45"/>
    <x v="1"/>
    <x v="1"/>
    <n v="2134"/>
    <n v="6311.4870705816693"/>
    <b v="0"/>
    <n v="7320"/>
    <n v="45"/>
    <n v="6311"/>
    <x v="5"/>
    <x v="1"/>
    <x v="10"/>
  </r>
  <r>
    <x v="327"/>
    <n v="7371"/>
    <n v="186"/>
    <x v="2"/>
    <x v="0"/>
    <n v="623"/>
    <n v="6951.6344037855579"/>
    <b v="0"/>
    <n v="7371"/>
    <n v="186"/>
    <n v="6952"/>
    <x v="5"/>
    <x v="1"/>
    <x v="10"/>
  </r>
  <r>
    <x v="328"/>
    <n v="1750.5"/>
    <n v="49.5"/>
    <x v="0"/>
    <x v="1"/>
    <n v="971"/>
    <n v="1591.3642618871945"/>
    <b v="0"/>
    <n v="1751"/>
    <n v="50"/>
    <n v="1591"/>
    <x v="6"/>
    <x v="1"/>
    <x v="10"/>
  </r>
  <r>
    <x v="328"/>
    <n v="1756.5"/>
    <n v="49.5"/>
    <x v="0"/>
    <x v="0"/>
    <n v="116"/>
    <n v="1573.225089053775"/>
    <b v="1"/>
    <n v="1757"/>
    <n v="50"/>
    <n v="1573"/>
    <x v="6"/>
    <x v="0"/>
    <x v="10"/>
  </r>
  <r>
    <x v="328"/>
    <n v="5343"/>
    <n v="327"/>
    <x v="2"/>
    <x v="0"/>
    <n v="753"/>
    <n v="5066.6749845619124"/>
    <b v="0"/>
    <n v="5343"/>
    <n v="327"/>
    <n v="5067"/>
    <x v="6"/>
    <x v="1"/>
    <x v="10"/>
  </r>
  <r>
    <x v="328"/>
    <n v="6261"/>
    <n v="15"/>
    <x v="1"/>
    <x v="1"/>
    <n v="2879"/>
    <n v="5482.7326659119008"/>
    <b v="0"/>
    <n v="6261"/>
    <n v="15"/>
    <n v="5483"/>
    <x v="6"/>
    <x v="1"/>
    <x v="10"/>
  </r>
  <r>
    <x v="329"/>
    <n v="994.5"/>
    <n v="75"/>
    <x v="0"/>
    <x v="1"/>
    <n v="379"/>
    <n v="885.99251784466833"/>
    <b v="0"/>
    <n v="995"/>
    <n v="75"/>
    <n v="886"/>
    <x v="0"/>
    <x v="1"/>
    <x v="10"/>
  </r>
  <r>
    <x v="329"/>
    <n v="1177.5"/>
    <n v="75"/>
    <x v="0"/>
    <x v="0"/>
    <n v="677"/>
    <n v="1140.1696855431553"/>
    <b v="0"/>
    <n v="1178"/>
    <n v="75"/>
    <n v="1140"/>
    <x v="0"/>
    <x v="1"/>
    <x v="10"/>
  </r>
  <r>
    <x v="329"/>
    <n v="5473.5"/>
    <n v="289.5"/>
    <x v="2"/>
    <x v="0"/>
    <n v="3222"/>
    <n v="5153.1235795928651"/>
    <b v="0"/>
    <n v="5474"/>
    <n v="290"/>
    <n v="5153"/>
    <x v="0"/>
    <x v="1"/>
    <x v="10"/>
  </r>
  <r>
    <x v="329"/>
    <n v="5722.5"/>
    <n v="216"/>
    <x v="1"/>
    <x v="1"/>
    <n v="3145"/>
    <n v="4853.2025240608527"/>
    <b v="0"/>
    <n v="5723"/>
    <n v="216"/>
    <n v="4853"/>
    <x v="0"/>
    <x v="1"/>
    <x v="10"/>
  </r>
  <r>
    <x v="330"/>
    <n v="1.5"/>
    <n v="1.5"/>
    <x v="1"/>
    <x v="0"/>
    <n v="1"/>
    <n v="2.6119651503888872"/>
    <b v="1"/>
    <n v="2"/>
    <n v="2"/>
    <n v="3"/>
    <x v="1"/>
    <x v="0"/>
    <x v="10"/>
  </r>
  <r>
    <x v="330"/>
    <n v="862.5"/>
    <n v="25.5"/>
    <x v="0"/>
    <x v="1"/>
    <n v="367"/>
    <n v="778.0604161777029"/>
    <b v="0"/>
    <n v="863"/>
    <n v="26"/>
    <n v="778"/>
    <x v="1"/>
    <x v="1"/>
    <x v="10"/>
  </r>
  <r>
    <x v="330"/>
    <n v="990"/>
    <n v="25.5"/>
    <x v="0"/>
    <x v="0"/>
    <n v="394"/>
    <n v="921.12918721584151"/>
    <b v="0"/>
    <n v="990"/>
    <n v="26"/>
    <n v="921"/>
    <x v="1"/>
    <x v="1"/>
    <x v="10"/>
  </r>
  <r>
    <x v="330"/>
    <n v="5527.5"/>
    <n v="63"/>
    <x v="1"/>
    <x v="1"/>
    <n v="2688"/>
    <n v="4573.6735709166578"/>
    <b v="0"/>
    <n v="5528"/>
    <n v="63"/>
    <n v="4574"/>
    <x v="1"/>
    <x v="1"/>
    <x v="10"/>
  </r>
  <r>
    <x v="330"/>
    <n v="6196.5"/>
    <n v="397.5"/>
    <x v="2"/>
    <x v="0"/>
    <n v="863"/>
    <n v="6015.7491210297458"/>
    <b v="0"/>
    <n v="6197"/>
    <n v="398"/>
    <n v="6016"/>
    <x v="1"/>
    <x v="1"/>
    <x v="10"/>
  </r>
  <r>
    <x v="331"/>
    <n v="1347"/>
    <n v="88.5"/>
    <x v="0"/>
    <x v="0"/>
    <n v="113"/>
    <n v="1257.9452785489682"/>
    <b v="0"/>
    <n v="1347"/>
    <n v="89"/>
    <n v="1258"/>
    <x v="2"/>
    <x v="1"/>
    <x v="10"/>
  </r>
  <r>
    <x v="331"/>
    <n v="1470"/>
    <n v="88.5"/>
    <x v="0"/>
    <x v="1"/>
    <n v="776"/>
    <n v="1294.9524770787057"/>
    <b v="0"/>
    <n v="1470"/>
    <n v="89"/>
    <n v="1295"/>
    <x v="2"/>
    <x v="1"/>
    <x v="10"/>
  </r>
  <r>
    <x v="331"/>
    <n v="4270.5"/>
    <n v="46.5"/>
    <x v="1"/>
    <x v="1"/>
    <n v="2305"/>
    <n v="3794.8945043899421"/>
    <b v="0"/>
    <n v="4271"/>
    <n v="47"/>
    <n v="3795"/>
    <x v="2"/>
    <x v="1"/>
    <x v="10"/>
  </r>
  <r>
    <x v="331"/>
    <n v="6561"/>
    <n v="202.5"/>
    <x v="2"/>
    <x v="0"/>
    <n v="4004"/>
    <n v="5905.1575787100428"/>
    <b v="0"/>
    <n v="6561"/>
    <n v="203"/>
    <n v="5905"/>
    <x v="2"/>
    <x v="1"/>
    <x v="10"/>
  </r>
  <r>
    <x v="332"/>
    <n v="1290"/>
    <n v="37.5"/>
    <x v="0"/>
    <x v="1"/>
    <n v="706"/>
    <n v="1065.2386010922116"/>
    <b v="0"/>
    <n v="1290"/>
    <n v="38"/>
    <n v="1065"/>
    <x v="3"/>
    <x v="1"/>
    <x v="10"/>
  </r>
  <r>
    <x v="332"/>
    <n v="1641"/>
    <n v="37.5"/>
    <x v="0"/>
    <x v="0"/>
    <n v="450"/>
    <n v="1462.4775255155621"/>
    <b v="1"/>
    <n v="1641"/>
    <n v="38"/>
    <n v="1462"/>
    <x v="3"/>
    <x v="0"/>
    <x v="10"/>
  </r>
  <r>
    <x v="332"/>
    <n v="4597.5"/>
    <n v="192"/>
    <x v="1"/>
    <x v="1"/>
    <n v="1428"/>
    <n v="3901.1127073868247"/>
    <b v="0"/>
    <n v="4598"/>
    <n v="192"/>
    <n v="3901"/>
    <x v="3"/>
    <x v="1"/>
    <x v="10"/>
  </r>
  <r>
    <x v="332"/>
    <n v="5674.5"/>
    <n v="358.5"/>
    <x v="2"/>
    <x v="0"/>
    <n v="2791"/>
    <n v="5363.2821581742364"/>
    <b v="0"/>
    <n v="5675"/>
    <n v="359"/>
    <n v="5363"/>
    <x v="3"/>
    <x v="1"/>
    <x v="10"/>
  </r>
  <r>
    <x v="333"/>
    <n v="502.5"/>
    <n v="4.5"/>
    <x v="0"/>
    <x v="1"/>
    <n v="246"/>
    <n v="408.38873949321697"/>
    <b v="0"/>
    <n v="503"/>
    <n v="5"/>
    <n v="408"/>
    <x v="4"/>
    <x v="1"/>
    <x v="10"/>
  </r>
  <r>
    <x v="333"/>
    <n v="598.5"/>
    <n v="4.5"/>
    <x v="0"/>
    <x v="0"/>
    <n v="382"/>
    <n v="552.8493697766346"/>
    <b v="0"/>
    <n v="599"/>
    <n v="5"/>
    <n v="553"/>
    <x v="4"/>
    <x v="1"/>
    <x v="10"/>
  </r>
  <r>
    <x v="333"/>
    <n v="3537"/>
    <n v="175.5"/>
    <x v="1"/>
    <x v="1"/>
    <n v="1754"/>
    <n v="3067.1109038473819"/>
    <b v="0"/>
    <n v="3537"/>
    <n v="176"/>
    <n v="3067"/>
    <x v="4"/>
    <x v="1"/>
    <x v="10"/>
  </r>
  <r>
    <x v="333"/>
    <n v="4519.5"/>
    <n v="178.5"/>
    <x v="2"/>
    <x v="0"/>
    <n v="1129"/>
    <n v="4168.3052206037273"/>
    <b v="0"/>
    <n v="4520"/>
    <n v="179"/>
    <n v="4168"/>
    <x v="4"/>
    <x v="1"/>
    <x v="10"/>
  </r>
  <r>
    <x v="334"/>
    <n v="721.5"/>
    <n v="64.5"/>
    <x v="0"/>
    <x v="1"/>
    <n v="391"/>
    <n v="666.728545228489"/>
    <b v="0"/>
    <n v="722"/>
    <n v="65"/>
    <n v="667"/>
    <x v="5"/>
    <x v="1"/>
    <x v="10"/>
  </r>
  <r>
    <x v="334"/>
    <n v="1158"/>
    <n v="64.5"/>
    <x v="0"/>
    <x v="0"/>
    <n v="181"/>
    <n v="1146.8569498729669"/>
    <b v="0"/>
    <n v="1158"/>
    <n v="65"/>
    <n v="1147"/>
    <x v="5"/>
    <x v="1"/>
    <x v="10"/>
  </r>
  <r>
    <x v="334"/>
    <n v="4581"/>
    <n v="156"/>
    <x v="1"/>
    <x v="1"/>
    <n v="2922"/>
    <n v="4168.8583137508231"/>
    <b v="0"/>
    <n v="4581"/>
    <n v="156"/>
    <n v="4169"/>
    <x v="5"/>
    <x v="1"/>
    <x v="10"/>
  </r>
  <r>
    <x v="334"/>
    <n v="5601"/>
    <n v="292.5"/>
    <x v="2"/>
    <x v="0"/>
    <n v="742"/>
    <n v="5155.9571703954462"/>
    <b v="0"/>
    <n v="5601"/>
    <n v="293"/>
    <n v="5156"/>
    <x v="5"/>
    <x v="1"/>
    <x v="10"/>
  </r>
  <r>
    <x v="335"/>
    <n v="1.5"/>
    <n v="0"/>
    <x v="2"/>
    <x v="1"/>
    <n v="1"/>
    <n v="1.227485897187627"/>
    <b v="0"/>
    <n v="2"/>
    <n v="0"/>
    <n v="1"/>
    <x v="6"/>
    <x v="1"/>
    <x v="11"/>
  </r>
  <r>
    <x v="335"/>
    <n v="1830"/>
    <n v="118.5"/>
    <x v="0"/>
    <x v="1"/>
    <n v="922"/>
    <n v="1560.4005496674399"/>
    <b v="1"/>
    <n v="1830"/>
    <n v="119"/>
    <n v="1560"/>
    <x v="6"/>
    <x v="0"/>
    <x v="11"/>
  </r>
  <r>
    <x v="335"/>
    <n v="2353.5"/>
    <n v="118.5"/>
    <x v="0"/>
    <x v="0"/>
    <n v="262"/>
    <n v="2200.3771733791486"/>
    <b v="0"/>
    <n v="2354"/>
    <n v="119"/>
    <n v="2200"/>
    <x v="6"/>
    <x v="1"/>
    <x v="11"/>
  </r>
  <r>
    <x v="335"/>
    <n v="4765.5"/>
    <n v="186"/>
    <x v="1"/>
    <x v="1"/>
    <n v="2459"/>
    <n v="4289.0101437476642"/>
    <b v="0"/>
    <n v="4766"/>
    <n v="186"/>
    <n v="4289"/>
    <x v="6"/>
    <x v="1"/>
    <x v="11"/>
  </r>
  <r>
    <x v="335"/>
    <n v="6453"/>
    <n v="303"/>
    <x v="2"/>
    <x v="0"/>
    <n v="2655"/>
    <n v="6307.8263370850436"/>
    <b v="0"/>
    <n v="6453"/>
    <n v="303"/>
    <n v="6308"/>
    <x v="6"/>
    <x v="1"/>
    <x v="11"/>
  </r>
  <r>
    <x v="336"/>
    <n v="1.5"/>
    <n v="0"/>
    <x v="2"/>
    <x v="1"/>
    <n v="1"/>
    <n v="1.2996968068846846"/>
    <b v="0"/>
    <n v="2"/>
    <n v="0"/>
    <n v="1"/>
    <x v="0"/>
    <x v="1"/>
    <x v="11"/>
  </r>
  <r>
    <x v="336"/>
    <n v="1002"/>
    <n v="51"/>
    <x v="0"/>
    <x v="0"/>
    <n v="249"/>
    <n v="982.8569078711763"/>
    <b v="0"/>
    <n v="1002"/>
    <n v="51"/>
    <n v="983"/>
    <x v="0"/>
    <x v="1"/>
    <x v="11"/>
  </r>
  <r>
    <x v="336"/>
    <n v="1359"/>
    <n v="51"/>
    <x v="0"/>
    <x v="1"/>
    <n v="301"/>
    <n v="1228.0793598295309"/>
    <b v="0"/>
    <n v="1359"/>
    <n v="51"/>
    <n v="1228"/>
    <x v="0"/>
    <x v="1"/>
    <x v="11"/>
  </r>
  <r>
    <x v="336"/>
    <n v="6055.5"/>
    <n v="25.5"/>
    <x v="1"/>
    <x v="1"/>
    <n v="2678"/>
    <n v="5366.630319446318"/>
    <b v="0"/>
    <n v="6056"/>
    <n v="26"/>
    <n v="5367"/>
    <x v="0"/>
    <x v="1"/>
    <x v="11"/>
  </r>
  <r>
    <x v="336"/>
    <n v="8082"/>
    <n v="127.5"/>
    <x v="2"/>
    <x v="0"/>
    <n v="3791"/>
    <n v="7503.8071153622532"/>
    <b v="0"/>
    <n v="8082"/>
    <n v="128"/>
    <n v="7504"/>
    <x v="0"/>
    <x v="1"/>
    <x v="11"/>
  </r>
  <r>
    <x v="337"/>
    <n v="975"/>
    <n v="54"/>
    <x v="0"/>
    <x v="0"/>
    <n v="532"/>
    <n v="950.69552822696915"/>
    <b v="0"/>
    <n v="975"/>
    <n v="54"/>
    <n v="951"/>
    <x v="1"/>
    <x v="1"/>
    <x v="11"/>
  </r>
  <r>
    <x v="337"/>
    <n v="1333.5"/>
    <n v="54"/>
    <x v="0"/>
    <x v="1"/>
    <n v="165"/>
    <n v="1110.8079152711896"/>
    <b v="1"/>
    <n v="1334"/>
    <n v="54"/>
    <n v="1111"/>
    <x v="1"/>
    <x v="0"/>
    <x v="11"/>
  </r>
  <r>
    <x v="337"/>
    <n v="3915"/>
    <n v="136.5"/>
    <x v="1"/>
    <x v="1"/>
    <n v="2100"/>
    <n v="3422.8116605963637"/>
    <b v="0"/>
    <n v="3915"/>
    <n v="137"/>
    <n v="3423"/>
    <x v="1"/>
    <x v="1"/>
    <x v="11"/>
  </r>
  <r>
    <x v="337"/>
    <n v="6927"/>
    <n v="409.5"/>
    <x v="2"/>
    <x v="0"/>
    <n v="3648"/>
    <n v="6627.5372426905669"/>
    <b v="0"/>
    <n v="6927"/>
    <n v="410"/>
    <n v="6628"/>
    <x v="1"/>
    <x v="1"/>
    <x v="11"/>
  </r>
  <r>
    <x v="338"/>
    <n v="1383"/>
    <n v="36"/>
    <x v="0"/>
    <x v="0"/>
    <n v="181"/>
    <n v="1256.0697602882601"/>
    <b v="0"/>
    <n v="1383"/>
    <n v="36"/>
    <n v="1256"/>
    <x v="2"/>
    <x v="1"/>
    <x v="11"/>
  </r>
  <r>
    <x v="338"/>
    <n v="2293.5"/>
    <n v="36"/>
    <x v="0"/>
    <x v="1"/>
    <n v="1311"/>
    <n v="2068.0822733187856"/>
    <b v="0"/>
    <n v="2294"/>
    <n v="36"/>
    <n v="2068"/>
    <x v="2"/>
    <x v="1"/>
    <x v="11"/>
  </r>
  <r>
    <x v="338"/>
    <n v="4459.5"/>
    <n v="61.5"/>
    <x v="1"/>
    <x v="1"/>
    <n v="2692"/>
    <n v="3663.4204838247033"/>
    <b v="0"/>
    <n v="4460"/>
    <n v="62"/>
    <n v="3663"/>
    <x v="2"/>
    <x v="1"/>
    <x v="11"/>
  </r>
  <r>
    <x v="338"/>
    <n v="6711"/>
    <n v="186"/>
    <x v="2"/>
    <x v="0"/>
    <n v="4102"/>
    <n v="6368.5396891449254"/>
    <b v="0"/>
    <n v="6711"/>
    <n v="186"/>
    <n v="6369"/>
    <x v="2"/>
    <x v="1"/>
    <x v="11"/>
  </r>
  <r>
    <x v="339"/>
    <n v="2062.5"/>
    <n v="123"/>
    <x v="0"/>
    <x v="0"/>
    <n v="1286"/>
    <n v="2007.3785704147954"/>
    <b v="0"/>
    <n v="2063"/>
    <n v="123"/>
    <n v="2007"/>
    <x v="3"/>
    <x v="1"/>
    <x v="11"/>
  </r>
  <r>
    <x v="339"/>
    <n v="2311.5"/>
    <n v="123"/>
    <x v="0"/>
    <x v="1"/>
    <n v="1235"/>
    <n v="1992.3596555616957"/>
    <b v="0"/>
    <n v="2312"/>
    <n v="123"/>
    <n v="1992"/>
    <x v="3"/>
    <x v="1"/>
    <x v="11"/>
  </r>
  <r>
    <x v="339"/>
    <n v="5049"/>
    <n v="73.5"/>
    <x v="1"/>
    <x v="1"/>
    <n v="995"/>
    <n v="4477.8501017889121"/>
    <b v="0"/>
    <n v="5049"/>
    <n v="74"/>
    <n v="4478"/>
    <x v="3"/>
    <x v="1"/>
    <x v="11"/>
  </r>
  <r>
    <x v="339"/>
    <n v="6621"/>
    <n v="342"/>
    <x v="2"/>
    <x v="0"/>
    <n v="377"/>
    <n v="6456.4467734341306"/>
    <b v="1"/>
    <n v="6621"/>
    <n v="342"/>
    <n v="6456"/>
    <x v="3"/>
    <x v="0"/>
    <x v="11"/>
  </r>
  <r>
    <x v="340"/>
    <n v="1.5"/>
    <n v="0"/>
    <x v="2"/>
    <x v="1"/>
    <n v="1"/>
    <n v="1.2885300326542533"/>
    <b v="0"/>
    <n v="2"/>
    <n v="0"/>
    <n v="1"/>
    <x v="4"/>
    <x v="1"/>
    <x v="11"/>
  </r>
  <r>
    <x v="340"/>
    <n v="1695"/>
    <n v="115.5"/>
    <x v="0"/>
    <x v="1"/>
    <n v="778"/>
    <n v="1476.2257675240044"/>
    <b v="0"/>
    <n v="1695"/>
    <n v="116"/>
    <n v="1476"/>
    <x v="4"/>
    <x v="1"/>
    <x v="11"/>
  </r>
  <r>
    <x v="340"/>
    <n v="2137.5"/>
    <n v="115.5"/>
    <x v="0"/>
    <x v="0"/>
    <n v="1212"/>
    <n v="2034.8440885893738"/>
    <b v="0"/>
    <n v="2138"/>
    <n v="116"/>
    <n v="2035"/>
    <x v="4"/>
    <x v="1"/>
    <x v="11"/>
  </r>
  <r>
    <x v="340"/>
    <n v="5293.5"/>
    <n v="121.5"/>
    <x v="1"/>
    <x v="1"/>
    <n v="1183"/>
    <n v="4818.3520444591759"/>
    <b v="0"/>
    <n v="5294"/>
    <n v="122"/>
    <n v="4818"/>
    <x v="4"/>
    <x v="1"/>
    <x v="11"/>
  </r>
  <r>
    <x v="340"/>
    <n v="6441"/>
    <n v="348"/>
    <x v="2"/>
    <x v="0"/>
    <n v="361"/>
    <n v="6377.7227063591035"/>
    <b v="0"/>
    <n v="6441"/>
    <n v="348"/>
    <n v="6378"/>
    <x v="4"/>
    <x v="1"/>
    <x v="11"/>
  </r>
  <r>
    <x v="341"/>
    <n v="1789.5"/>
    <n v="105"/>
    <x v="0"/>
    <x v="0"/>
    <n v="721"/>
    <n v="1773.8457293112351"/>
    <b v="0"/>
    <n v="1790"/>
    <n v="105"/>
    <n v="1774"/>
    <x v="5"/>
    <x v="1"/>
    <x v="11"/>
  </r>
  <r>
    <x v="341"/>
    <n v="2226"/>
    <n v="105"/>
    <x v="0"/>
    <x v="1"/>
    <n v="921"/>
    <n v="2033.5985670254693"/>
    <b v="0"/>
    <n v="2226"/>
    <n v="105"/>
    <n v="2034"/>
    <x v="5"/>
    <x v="1"/>
    <x v="11"/>
  </r>
  <r>
    <x v="341"/>
    <n v="5356.5"/>
    <n v="55.5"/>
    <x v="1"/>
    <x v="1"/>
    <n v="2837"/>
    <n v="4611.2926631916653"/>
    <b v="0"/>
    <n v="5357"/>
    <n v="56"/>
    <n v="4611"/>
    <x v="5"/>
    <x v="1"/>
    <x v="11"/>
  </r>
  <r>
    <x v="341"/>
    <n v="7545"/>
    <n v="514.5"/>
    <x v="2"/>
    <x v="0"/>
    <n v="3048"/>
    <n v="7235.6325649251012"/>
    <b v="1"/>
    <n v="7545"/>
    <n v="515"/>
    <n v="7236"/>
    <x v="5"/>
    <x v="0"/>
    <x v="11"/>
  </r>
  <r>
    <x v="342"/>
    <n v="1549.5"/>
    <n v="9"/>
    <x v="0"/>
    <x v="1"/>
    <n v="254"/>
    <n v="1303.4223784937494"/>
    <b v="0"/>
    <n v="1550"/>
    <n v="9"/>
    <n v="1303"/>
    <x v="6"/>
    <x v="1"/>
    <x v="11"/>
  </r>
  <r>
    <x v="342"/>
    <n v="1927.5"/>
    <n v="9"/>
    <x v="0"/>
    <x v="0"/>
    <n v="223"/>
    <n v="1809.0363259395624"/>
    <b v="0"/>
    <n v="1928"/>
    <n v="9"/>
    <n v="1809"/>
    <x v="6"/>
    <x v="1"/>
    <x v="11"/>
  </r>
  <r>
    <x v="342"/>
    <n v="5478"/>
    <n v="123"/>
    <x v="1"/>
    <x v="1"/>
    <n v="3475"/>
    <n v="4535.5823781563968"/>
    <b v="0"/>
    <n v="5478"/>
    <n v="123"/>
    <n v="4536"/>
    <x v="6"/>
    <x v="1"/>
    <x v="11"/>
  </r>
  <r>
    <x v="342"/>
    <n v="6762"/>
    <n v="232.5"/>
    <x v="2"/>
    <x v="0"/>
    <n v="2650"/>
    <n v="6546.4175580189813"/>
    <b v="0"/>
    <n v="6762"/>
    <n v="233"/>
    <n v="6546"/>
    <x v="6"/>
    <x v="1"/>
    <x v="11"/>
  </r>
  <r>
    <x v="343"/>
    <n v="1342.5"/>
    <n v="45"/>
    <x v="0"/>
    <x v="1"/>
    <n v="502"/>
    <n v="1118.1680094172125"/>
    <b v="0"/>
    <n v="1343"/>
    <n v="45"/>
    <n v="1118"/>
    <x v="0"/>
    <x v="1"/>
    <x v="11"/>
  </r>
  <r>
    <x v="343"/>
    <n v="1410"/>
    <n v="45"/>
    <x v="0"/>
    <x v="0"/>
    <n v="305"/>
    <n v="1290.0929114099824"/>
    <b v="0"/>
    <n v="1410"/>
    <n v="45"/>
    <n v="1290"/>
    <x v="0"/>
    <x v="1"/>
    <x v="11"/>
  </r>
  <r>
    <x v="343"/>
    <n v="4221"/>
    <n v="78"/>
    <x v="1"/>
    <x v="1"/>
    <n v="2751"/>
    <n v="3674.5651636128418"/>
    <b v="0"/>
    <n v="4221"/>
    <n v="78"/>
    <n v="3675"/>
    <x v="0"/>
    <x v="1"/>
    <x v="11"/>
  </r>
  <r>
    <x v="343"/>
    <n v="5061"/>
    <n v="147"/>
    <x v="2"/>
    <x v="0"/>
    <n v="1307"/>
    <n v="4800.4729195680529"/>
    <b v="0"/>
    <n v="5061"/>
    <n v="147"/>
    <n v="4800"/>
    <x v="0"/>
    <x v="1"/>
    <x v="11"/>
  </r>
  <r>
    <x v="344"/>
    <n v="904.5"/>
    <n v="55.5"/>
    <x v="0"/>
    <x v="1"/>
    <n v="518"/>
    <n v="792.45711175333736"/>
    <b v="0"/>
    <n v="905"/>
    <n v="56"/>
    <n v="792"/>
    <x v="1"/>
    <x v="1"/>
    <x v="11"/>
  </r>
  <r>
    <x v="344"/>
    <n v="919.5"/>
    <n v="55.5"/>
    <x v="0"/>
    <x v="0"/>
    <n v="468"/>
    <n v="872.54786692280697"/>
    <b v="0"/>
    <n v="920"/>
    <n v="56"/>
    <n v="873"/>
    <x v="1"/>
    <x v="1"/>
    <x v="11"/>
  </r>
  <r>
    <x v="344"/>
    <n v="4393.5"/>
    <n v="283.5"/>
    <x v="2"/>
    <x v="0"/>
    <n v="1131"/>
    <n v="4211.78302728978"/>
    <b v="0"/>
    <n v="4394"/>
    <n v="284"/>
    <n v="4212"/>
    <x v="1"/>
    <x v="1"/>
    <x v="11"/>
  </r>
  <r>
    <x v="344"/>
    <n v="4986"/>
    <n v="180"/>
    <x v="1"/>
    <x v="1"/>
    <n v="2022"/>
    <n v="4145.8629944282357"/>
    <b v="1"/>
    <n v="4986"/>
    <n v="180"/>
    <n v="4146"/>
    <x v="1"/>
    <x v="0"/>
    <x v="11"/>
  </r>
  <r>
    <x v="345"/>
    <n v="1275"/>
    <n v="84"/>
    <x v="0"/>
    <x v="0"/>
    <n v="41"/>
    <n v="1218.9595277489557"/>
    <b v="0"/>
    <n v="1275"/>
    <n v="84"/>
    <n v="1219"/>
    <x v="2"/>
    <x v="1"/>
    <x v="11"/>
  </r>
  <r>
    <x v="345"/>
    <n v="1797"/>
    <n v="84"/>
    <x v="0"/>
    <x v="1"/>
    <n v="805"/>
    <n v="1629.5916782627385"/>
    <b v="0"/>
    <n v="1797"/>
    <n v="84"/>
    <n v="1630"/>
    <x v="2"/>
    <x v="1"/>
    <x v="11"/>
  </r>
  <r>
    <x v="345"/>
    <n v="3283.5"/>
    <n v="147"/>
    <x v="1"/>
    <x v="1"/>
    <n v="1982"/>
    <n v="2804.2005178866866"/>
    <b v="0"/>
    <n v="3284"/>
    <n v="147"/>
    <n v="2804"/>
    <x v="2"/>
    <x v="1"/>
    <x v="11"/>
  </r>
  <r>
    <x v="345"/>
    <n v="5002.5"/>
    <n v="346.5"/>
    <x v="2"/>
    <x v="0"/>
    <n v="2931"/>
    <n v="4871.7808635135643"/>
    <b v="0"/>
    <n v="5003"/>
    <n v="347"/>
    <n v="4872"/>
    <x v="2"/>
    <x v="1"/>
    <x v="11"/>
  </r>
  <r>
    <x v="346"/>
    <n v="1209"/>
    <n v="36"/>
    <x v="0"/>
    <x v="1"/>
    <n v="572"/>
    <n v="1032.6001785619153"/>
    <b v="0"/>
    <n v="1209"/>
    <n v="36"/>
    <n v="1033"/>
    <x v="3"/>
    <x v="1"/>
    <x v="11"/>
  </r>
  <r>
    <x v="346"/>
    <n v="1314"/>
    <n v="36"/>
    <x v="0"/>
    <x v="0"/>
    <n v="626"/>
    <n v="1208.2115382076129"/>
    <b v="0"/>
    <n v="1314"/>
    <n v="36"/>
    <n v="1208"/>
    <x v="3"/>
    <x v="1"/>
    <x v="11"/>
  </r>
  <r>
    <x v="346"/>
    <n v="4318.5"/>
    <n v="100.5"/>
    <x v="1"/>
    <x v="1"/>
    <n v="1543"/>
    <n v="3700.455692218165"/>
    <b v="0"/>
    <n v="4319"/>
    <n v="101"/>
    <n v="3700"/>
    <x v="3"/>
    <x v="1"/>
    <x v="11"/>
  </r>
  <r>
    <x v="346"/>
    <n v="5826"/>
    <n v="264"/>
    <x v="2"/>
    <x v="0"/>
    <n v="1029"/>
    <n v="5447.6627327914166"/>
    <b v="0"/>
    <n v="5826"/>
    <n v="264"/>
    <n v="5448"/>
    <x v="3"/>
    <x v="1"/>
    <x v="11"/>
  </r>
  <r>
    <x v="347"/>
    <n v="1.5"/>
    <n v="0"/>
    <x v="2"/>
    <x v="1"/>
    <n v="1"/>
    <n v="1.215158022829752"/>
    <b v="0"/>
    <n v="2"/>
    <n v="0"/>
    <n v="1"/>
    <x v="4"/>
    <x v="1"/>
    <x v="11"/>
  </r>
  <r>
    <x v="347"/>
    <n v="855"/>
    <n v="79.5"/>
    <x v="0"/>
    <x v="1"/>
    <n v="138"/>
    <n v="786.16080944467171"/>
    <b v="0"/>
    <n v="855"/>
    <n v="80"/>
    <n v="786"/>
    <x v="4"/>
    <x v="1"/>
    <x v="11"/>
  </r>
  <r>
    <x v="347"/>
    <n v="1281"/>
    <n v="79.5"/>
    <x v="0"/>
    <x v="0"/>
    <n v="527"/>
    <n v="1242.3704677299227"/>
    <b v="0"/>
    <n v="1281"/>
    <n v="80"/>
    <n v="1242"/>
    <x v="4"/>
    <x v="1"/>
    <x v="11"/>
  </r>
  <r>
    <x v="347"/>
    <n v="5400"/>
    <n v="66"/>
    <x v="1"/>
    <x v="1"/>
    <n v="3424"/>
    <n v="4764.7904262733246"/>
    <b v="0"/>
    <n v="5400"/>
    <n v="66"/>
    <n v="4765"/>
    <x v="4"/>
    <x v="1"/>
    <x v="11"/>
  </r>
  <r>
    <x v="347"/>
    <n v="6577.5"/>
    <n v="316.5"/>
    <x v="2"/>
    <x v="0"/>
    <n v="3422"/>
    <n v="6474.0610784832788"/>
    <b v="0"/>
    <n v="6578"/>
    <n v="317"/>
    <n v="6474"/>
    <x v="4"/>
    <x v="1"/>
    <x v="11"/>
  </r>
  <r>
    <x v="348"/>
    <n v="942"/>
    <n v="60"/>
    <x v="0"/>
    <x v="1"/>
    <n v="87"/>
    <n v="834.07784472861954"/>
    <b v="0"/>
    <n v="942"/>
    <n v="60"/>
    <n v="834"/>
    <x v="5"/>
    <x v="1"/>
    <x v="11"/>
  </r>
  <r>
    <x v="348"/>
    <n v="1651.5"/>
    <n v="60"/>
    <x v="0"/>
    <x v="0"/>
    <n v="1082"/>
    <n v="1519.0586180306364"/>
    <b v="0"/>
    <n v="1652"/>
    <n v="60"/>
    <n v="1519"/>
    <x v="5"/>
    <x v="1"/>
    <x v="11"/>
  </r>
  <r>
    <x v="348"/>
    <n v="5551.5"/>
    <n v="117"/>
    <x v="1"/>
    <x v="1"/>
    <n v="1768"/>
    <n v="4537.1372634151676"/>
    <b v="0"/>
    <n v="5552"/>
    <n v="117"/>
    <n v="4537"/>
    <x v="5"/>
    <x v="1"/>
    <x v="11"/>
  </r>
  <r>
    <x v="348"/>
    <n v="7551"/>
    <n v="375"/>
    <x v="2"/>
    <x v="0"/>
    <n v="1322"/>
    <n v="7301.7686932854167"/>
    <b v="0"/>
    <n v="7551"/>
    <n v="375"/>
    <n v="7302"/>
    <x v="5"/>
    <x v="1"/>
    <x v="11"/>
  </r>
  <r>
    <x v="349"/>
    <n v="1267.5"/>
    <n v="3"/>
    <x v="0"/>
    <x v="0"/>
    <n v="453"/>
    <n v="1121.1809363792825"/>
    <b v="0"/>
    <n v="1268"/>
    <n v="3"/>
    <n v="1121"/>
    <x v="6"/>
    <x v="1"/>
    <x v="11"/>
  </r>
  <r>
    <x v="349"/>
    <n v="1300.5"/>
    <n v="3"/>
    <x v="0"/>
    <x v="1"/>
    <n v="857"/>
    <n v="1059.8054598533683"/>
    <b v="0"/>
    <n v="1301"/>
    <n v="3"/>
    <n v="1060"/>
    <x v="6"/>
    <x v="1"/>
    <x v="11"/>
  </r>
  <r>
    <x v="349"/>
    <n v="5242.5"/>
    <n v="31.5"/>
    <x v="1"/>
    <x v="1"/>
    <n v="2834"/>
    <n v="4575.9258357072113"/>
    <b v="0"/>
    <n v="5243"/>
    <n v="32"/>
    <n v="4576"/>
    <x v="6"/>
    <x v="1"/>
    <x v="11"/>
  </r>
  <r>
    <x v="349"/>
    <n v="7510.5"/>
    <n v="516"/>
    <x v="2"/>
    <x v="0"/>
    <n v="341"/>
    <n v="7372.7227882252855"/>
    <b v="1"/>
    <n v="7511"/>
    <n v="516"/>
    <n v="7373"/>
    <x v="6"/>
    <x v="0"/>
    <x v="11"/>
  </r>
  <r>
    <x v="350"/>
    <n v="1681.5"/>
    <n v="94.5"/>
    <x v="0"/>
    <x v="0"/>
    <n v="542"/>
    <n v="1597.2868278333065"/>
    <b v="0"/>
    <n v="1682"/>
    <n v="95"/>
    <n v="1597"/>
    <x v="0"/>
    <x v="1"/>
    <x v="11"/>
  </r>
  <r>
    <x v="350"/>
    <n v="2214"/>
    <n v="94.5"/>
    <x v="0"/>
    <x v="1"/>
    <n v="119"/>
    <n v="1891.2454055207747"/>
    <b v="0"/>
    <n v="2214"/>
    <n v="95"/>
    <n v="1891"/>
    <x v="0"/>
    <x v="1"/>
    <x v="11"/>
  </r>
  <r>
    <x v="350"/>
    <n v="3091.5"/>
    <n v="94.5"/>
    <x v="1"/>
    <x v="1"/>
    <n v="1244"/>
    <n v="2783.6655227080892"/>
    <b v="0"/>
    <n v="3092"/>
    <n v="95"/>
    <n v="2784"/>
    <x v="0"/>
    <x v="1"/>
    <x v="11"/>
  </r>
  <r>
    <x v="350"/>
    <n v="5049"/>
    <n v="136.5"/>
    <x v="2"/>
    <x v="0"/>
    <n v="591"/>
    <n v="4715.8770306932101"/>
    <b v="0"/>
    <n v="5049"/>
    <n v="137"/>
    <n v="4716"/>
    <x v="0"/>
    <x v="1"/>
    <x v="11"/>
  </r>
  <r>
    <x v="351"/>
    <n v="759"/>
    <n v="21"/>
    <x v="0"/>
    <x v="1"/>
    <n v="74"/>
    <n v="656.46281286120131"/>
    <b v="0"/>
    <n v="759"/>
    <n v="21"/>
    <n v="656"/>
    <x v="1"/>
    <x v="1"/>
    <x v="11"/>
  </r>
  <r>
    <x v="351"/>
    <n v="960"/>
    <n v="21"/>
    <x v="0"/>
    <x v="0"/>
    <n v="330"/>
    <n v="862.48500676026993"/>
    <b v="0"/>
    <n v="960"/>
    <n v="21"/>
    <n v="862"/>
    <x v="1"/>
    <x v="1"/>
    <x v="11"/>
  </r>
  <r>
    <x v="351"/>
    <n v="2208"/>
    <n v="87"/>
    <x v="1"/>
    <x v="1"/>
    <n v="1223"/>
    <n v="1918.4059871539412"/>
    <b v="0"/>
    <n v="2208"/>
    <n v="87"/>
    <n v="1918"/>
    <x v="1"/>
    <x v="1"/>
    <x v="11"/>
  </r>
  <r>
    <x v="351"/>
    <n v="4051.5"/>
    <n v="273"/>
    <x v="2"/>
    <x v="0"/>
    <n v="355"/>
    <n v="3769.9418662994985"/>
    <b v="0"/>
    <n v="4052"/>
    <n v="273"/>
    <n v="3770"/>
    <x v="1"/>
    <x v="1"/>
    <x v="11"/>
  </r>
  <r>
    <x v="352"/>
    <n v="1737"/>
    <n v="16.5"/>
    <x v="0"/>
    <x v="1"/>
    <n v="932"/>
    <n v="1442.3532636627442"/>
    <b v="0"/>
    <n v="1737"/>
    <n v="17"/>
    <n v="1442"/>
    <x v="2"/>
    <x v="1"/>
    <x v="11"/>
  </r>
  <r>
    <x v="352"/>
    <n v="1770"/>
    <n v="16.5"/>
    <x v="0"/>
    <x v="0"/>
    <n v="760"/>
    <n v="1650.6789355513572"/>
    <b v="0"/>
    <n v="1770"/>
    <n v="17"/>
    <n v="1651"/>
    <x v="2"/>
    <x v="1"/>
    <x v="11"/>
  </r>
  <r>
    <x v="352"/>
    <n v="2994"/>
    <n v="45"/>
    <x v="1"/>
    <x v="1"/>
    <n v="1782"/>
    <n v="2626.9752771930544"/>
    <b v="0"/>
    <n v="2994"/>
    <n v="45"/>
    <n v="2627"/>
    <x v="2"/>
    <x v="1"/>
    <x v="11"/>
  </r>
  <r>
    <x v="352"/>
    <n v="3151.5"/>
    <n v="138"/>
    <x v="2"/>
    <x v="0"/>
    <n v="1310"/>
    <n v="2891.6710375821367"/>
    <b v="0"/>
    <n v="3152"/>
    <n v="138"/>
    <n v="2892"/>
    <x v="2"/>
    <x v="1"/>
    <x v="11"/>
  </r>
  <r>
    <x v="353"/>
    <n v="1525.5"/>
    <n v="96"/>
    <x v="0"/>
    <x v="0"/>
    <n v="631"/>
    <n v="1501.7852843719288"/>
    <b v="0"/>
    <n v="1526"/>
    <n v="96"/>
    <n v="1502"/>
    <x v="3"/>
    <x v="1"/>
    <x v="11"/>
  </r>
  <r>
    <x v="353"/>
    <n v="1575"/>
    <n v="96"/>
    <x v="0"/>
    <x v="1"/>
    <n v="682"/>
    <n v="1446.6658349917434"/>
    <b v="0"/>
    <n v="1575"/>
    <n v="96"/>
    <n v="1447"/>
    <x v="3"/>
    <x v="1"/>
    <x v="11"/>
  </r>
  <r>
    <x v="353"/>
    <n v="3406.5"/>
    <n v="15"/>
    <x v="1"/>
    <x v="1"/>
    <n v="2010"/>
    <n v="3023.8316120415934"/>
    <b v="0"/>
    <n v="3407"/>
    <n v="15"/>
    <n v="3024"/>
    <x v="3"/>
    <x v="1"/>
    <x v="11"/>
  </r>
  <r>
    <x v="353"/>
    <n v="4246.5"/>
    <n v="18"/>
    <x v="2"/>
    <x v="0"/>
    <n v="1256"/>
    <n v="3837.0264532584001"/>
    <b v="0"/>
    <n v="4247"/>
    <n v="18"/>
    <n v="3837"/>
    <x v="3"/>
    <x v="1"/>
    <x v="11"/>
  </r>
  <r>
    <x v="354"/>
    <n v="1260"/>
    <n v="48"/>
    <x v="0"/>
    <x v="1"/>
    <n v="695"/>
    <n v="1068.255123511158"/>
    <b v="0"/>
    <n v="1260"/>
    <n v="48"/>
    <n v="1068"/>
    <x v="4"/>
    <x v="1"/>
    <x v="11"/>
  </r>
  <r>
    <x v="354"/>
    <n v="1596"/>
    <n v="48"/>
    <x v="0"/>
    <x v="0"/>
    <n v="964"/>
    <n v="1533.5656183670724"/>
    <b v="0"/>
    <n v="1596"/>
    <n v="48"/>
    <n v="1534"/>
    <x v="4"/>
    <x v="1"/>
    <x v="11"/>
  </r>
  <r>
    <x v="354"/>
    <n v="4542"/>
    <n v="118.5"/>
    <x v="1"/>
    <x v="1"/>
    <n v="2678"/>
    <n v="3944.5149787551122"/>
    <b v="0"/>
    <n v="4542"/>
    <n v="119"/>
    <n v="3945"/>
    <x v="4"/>
    <x v="1"/>
    <x v="11"/>
  </r>
  <r>
    <x v="354"/>
    <n v="4971"/>
    <n v="40.5"/>
    <x v="2"/>
    <x v="0"/>
    <n v="377"/>
    <n v="4405.7219645752875"/>
    <b v="0"/>
    <n v="4971"/>
    <n v="41"/>
    <n v="4406"/>
    <x v="4"/>
    <x v="1"/>
    <x v="11"/>
  </r>
  <r>
    <x v="355"/>
    <n v="1314"/>
    <n v="61.5"/>
    <x v="0"/>
    <x v="0"/>
    <n v="850"/>
    <n v="1276.3297767849879"/>
    <b v="0"/>
    <n v="1314"/>
    <n v="62"/>
    <n v="1276"/>
    <x v="5"/>
    <x v="1"/>
    <x v="11"/>
  </r>
  <r>
    <x v="355"/>
    <n v="1342.5"/>
    <n v="61.5"/>
    <x v="0"/>
    <x v="1"/>
    <n v="853"/>
    <n v="1140.3996442174491"/>
    <b v="0"/>
    <n v="1343"/>
    <n v="62"/>
    <n v="1140"/>
    <x v="5"/>
    <x v="1"/>
    <x v="11"/>
  </r>
  <r>
    <x v="355"/>
    <n v="4305"/>
    <n v="84"/>
    <x v="1"/>
    <x v="1"/>
    <n v="1727"/>
    <n v="3613.0401984031419"/>
    <b v="0"/>
    <n v="4305"/>
    <n v="84"/>
    <n v="3613"/>
    <x v="5"/>
    <x v="1"/>
    <x v="11"/>
  </r>
  <r>
    <x v="355"/>
    <n v="6025.5"/>
    <n v="207"/>
    <x v="2"/>
    <x v="0"/>
    <n v="972"/>
    <n v="5842.4380278518274"/>
    <b v="0"/>
    <n v="6026"/>
    <n v="207"/>
    <n v="5842"/>
    <x v="5"/>
    <x v="1"/>
    <x v="11"/>
  </r>
  <r>
    <x v="356"/>
    <n v="2022"/>
    <n v="124.5"/>
    <x v="0"/>
    <x v="1"/>
    <n v="1272"/>
    <n v="1863.7943339703688"/>
    <b v="0"/>
    <n v="2022"/>
    <n v="125"/>
    <n v="1864"/>
    <x v="6"/>
    <x v="1"/>
    <x v="11"/>
  </r>
  <r>
    <x v="356"/>
    <n v="2031"/>
    <n v="124.5"/>
    <x v="0"/>
    <x v="0"/>
    <n v="1293"/>
    <n v="1991.291292606051"/>
    <b v="0"/>
    <n v="2031"/>
    <n v="125"/>
    <n v="1991"/>
    <x v="6"/>
    <x v="1"/>
    <x v="11"/>
  </r>
  <r>
    <x v="356"/>
    <n v="5046"/>
    <n v="180"/>
    <x v="1"/>
    <x v="1"/>
    <n v="3211"/>
    <n v="4469.2922739748265"/>
    <b v="0"/>
    <n v="5046"/>
    <n v="180"/>
    <n v="4469"/>
    <x v="6"/>
    <x v="1"/>
    <x v="11"/>
  </r>
  <r>
    <x v="356"/>
    <n v="5133"/>
    <n v="333"/>
    <x v="2"/>
    <x v="0"/>
    <n v="2751"/>
    <n v="5137.7394365082982"/>
    <b v="0"/>
    <n v="5133"/>
    <n v="333"/>
    <n v="5138"/>
    <x v="6"/>
    <x v="1"/>
    <x v="11"/>
  </r>
  <r>
    <x v="357"/>
    <n v="550.5"/>
    <n v="13.5"/>
    <x v="0"/>
    <x v="0"/>
    <n v="328"/>
    <n v="491.37564656819615"/>
    <b v="1"/>
    <n v="551"/>
    <n v="14"/>
    <n v="491"/>
    <x v="0"/>
    <x v="0"/>
    <x v="11"/>
  </r>
  <r>
    <x v="357"/>
    <n v="583.5"/>
    <n v="13.5"/>
    <x v="0"/>
    <x v="1"/>
    <n v="186"/>
    <n v="481.28330369323629"/>
    <b v="1"/>
    <n v="584"/>
    <n v="14"/>
    <n v="481"/>
    <x v="0"/>
    <x v="0"/>
    <x v="11"/>
  </r>
  <r>
    <x v="357"/>
    <n v="1950"/>
    <n v="48"/>
    <x v="2"/>
    <x v="0"/>
    <n v="809"/>
    <n v="1867.1130044794081"/>
    <b v="0"/>
    <n v="1950"/>
    <n v="48"/>
    <n v="1867"/>
    <x v="0"/>
    <x v="1"/>
    <x v="11"/>
  </r>
  <r>
    <x v="357"/>
    <n v="2047.5"/>
    <n v="93"/>
    <x v="1"/>
    <x v="1"/>
    <n v="1235"/>
    <n v="1823.9319390085411"/>
    <b v="0"/>
    <n v="2048"/>
    <n v="93"/>
    <n v="1824"/>
    <x v="0"/>
    <x v="1"/>
    <x v="11"/>
  </r>
  <r>
    <x v="358"/>
    <n v="1528.5"/>
    <n v="36"/>
    <x v="0"/>
    <x v="0"/>
    <n v="120"/>
    <n v="1384.6572600611355"/>
    <b v="0"/>
    <n v="1529"/>
    <n v="36"/>
    <n v="1385"/>
    <x v="1"/>
    <x v="1"/>
    <x v="11"/>
  </r>
  <r>
    <x v="358"/>
    <n v="1620"/>
    <n v="36"/>
    <x v="0"/>
    <x v="1"/>
    <n v="113"/>
    <n v="1354.3216459727564"/>
    <b v="0"/>
    <n v="1620"/>
    <n v="36"/>
    <n v="1354"/>
    <x v="1"/>
    <x v="1"/>
    <x v="11"/>
  </r>
  <r>
    <x v="358"/>
    <n v="3901.5"/>
    <n v="142.5"/>
    <x v="2"/>
    <x v="0"/>
    <n v="2182"/>
    <n v="3712.1769802719205"/>
    <b v="0"/>
    <n v="3902"/>
    <n v="143"/>
    <n v="3712"/>
    <x v="1"/>
    <x v="1"/>
    <x v="11"/>
  </r>
  <r>
    <x v="358"/>
    <n v="4761"/>
    <n v="48"/>
    <x v="1"/>
    <x v="1"/>
    <n v="2548"/>
    <n v="3860.9568243456079"/>
    <b v="1"/>
    <n v="4761"/>
    <n v="48"/>
    <n v="3861"/>
    <x v="1"/>
    <x v="0"/>
    <x v="11"/>
  </r>
  <r>
    <x v="359"/>
    <n v="1.5"/>
    <n v="0"/>
    <x v="1"/>
    <x v="0"/>
    <n v="1"/>
    <n v="1.3257764565628065"/>
    <b v="0"/>
    <n v="2"/>
    <n v="0"/>
    <n v="1"/>
    <x v="2"/>
    <x v="1"/>
    <x v="11"/>
  </r>
  <r>
    <x v="359"/>
    <n v="1011"/>
    <n v="21"/>
    <x v="0"/>
    <x v="1"/>
    <n v="81"/>
    <n v="842.51254329622168"/>
    <b v="0"/>
    <n v="1011"/>
    <n v="21"/>
    <n v="843"/>
    <x v="2"/>
    <x v="1"/>
    <x v="11"/>
  </r>
  <r>
    <x v="359"/>
    <n v="1129.5"/>
    <n v="21"/>
    <x v="0"/>
    <x v="0"/>
    <n v="75"/>
    <n v="1001.3496291296093"/>
    <b v="0"/>
    <n v="1130"/>
    <n v="21"/>
    <n v="1001"/>
    <x v="2"/>
    <x v="1"/>
    <x v="11"/>
  </r>
  <r>
    <x v="359"/>
    <n v="5743.5"/>
    <n v="118.5"/>
    <x v="2"/>
    <x v="0"/>
    <n v="1256"/>
    <n v="5358.2555941684977"/>
    <b v="0"/>
    <n v="5744"/>
    <n v="119"/>
    <n v="5358"/>
    <x v="2"/>
    <x v="1"/>
    <x v="11"/>
  </r>
  <r>
    <x v="359"/>
    <n v="6259.5"/>
    <n v="147"/>
    <x v="1"/>
    <x v="1"/>
    <n v="2044"/>
    <n v="5385.9457436296289"/>
    <b v="0"/>
    <n v="6260"/>
    <n v="147"/>
    <n v="5386"/>
    <x v="2"/>
    <x v="1"/>
    <x v="11"/>
  </r>
  <r>
    <x v="360"/>
    <n v="3"/>
    <n v="0"/>
    <x v="1"/>
    <x v="0"/>
    <n v="1"/>
    <n v="2.6741392351408169"/>
    <b v="0"/>
    <n v="3"/>
    <n v="0"/>
    <n v="3"/>
    <x v="3"/>
    <x v="1"/>
    <x v="11"/>
  </r>
  <r>
    <x v="360"/>
    <n v="946.5"/>
    <n v="247.5"/>
    <x v="0"/>
    <x v="1"/>
    <n v="470"/>
    <n v="1028.1248015542899"/>
    <b v="0"/>
    <n v="947"/>
    <n v="248"/>
    <n v="1028"/>
    <x v="3"/>
    <x v="1"/>
    <x v="11"/>
  </r>
  <r>
    <x v="360"/>
    <n v="1369.5"/>
    <n v="247.5"/>
    <x v="0"/>
    <x v="0"/>
    <n v="243"/>
    <n v="1417.7805465842555"/>
    <b v="0"/>
    <n v="1370"/>
    <n v="248"/>
    <n v="1418"/>
    <x v="3"/>
    <x v="1"/>
    <x v="11"/>
  </r>
  <r>
    <x v="360"/>
    <n v="5202"/>
    <n v="1417.5"/>
    <x v="2"/>
    <x v="0"/>
    <n v="1374"/>
    <n v="6163.8952876264511"/>
    <b v="1"/>
    <n v="5202"/>
    <n v="1418"/>
    <n v="6164"/>
    <x v="3"/>
    <x v="0"/>
    <x v="11"/>
  </r>
  <r>
    <x v="360"/>
    <n v="5985"/>
    <n v="1149"/>
    <x v="1"/>
    <x v="1"/>
    <n v="1700"/>
    <n v="6250.7311998139758"/>
    <b v="1"/>
    <n v="5985"/>
    <n v="1149"/>
    <n v="6251"/>
    <x v="3"/>
    <x v="0"/>
    <x v="11"/>
  </r>
  <r>
    <x v="361"/>
    <n v="1.5"/>
    <n v="0"/>
    <x v="2"/>
    <x v="1"/>
    <n v="1"/>
    <n v="1.2413293155602356"/>
    <b v="0"/>
    <n v="2"/>
    <n v="0"/>
    <n v="1"/>
    <x v="4"/>
    <x v="1"/>
    <x v="11"/>
  </r>
  <r>
    <x v="361"/>
    <n v="816"/>
    <n v="51"/>
    <x v="0"/>
    <x v="1"/>
    <n v="470"/>
    <n v="694.78741386320394"/>
    <b v="0"/>
    <n v="816"/>
    <n v="51"/>
    <n v="695"/>
    <x v="4"/>
    <x v="1"/>
    <x v="11"/>
  </r>
  <r>
    <x v="361"/>
    <n v="1375.5"/>
    <n v="51"/>
    <x v="0"/>
    <x v="0"/>
    <n v="22"/>
    <n v="1281.1071081904536"/>
    <b v="0"/>
    <n v="1376"/>
    <n v="51"/>
    <n v="1281"/>
    <x v="4"/>
    <x v="1"/>
    <x v="11"/>
  </r>
  <r>
    <x v="361"/>
    <n v="3973.5"/>
    <n v="319.5"/>
    <x v="2"/>
    <x v="0"/>
    <n v="955"/>
    <n v="3742.2274643212972"/>
    <b v="0"/>
    <n v="3974"/>
    <n v="320"/>
    <n v="3742"/>
    <x v="4"/>
    <x v="1"/>
    <x v="11"/>
  </r>
  <r>
    <x v="361"/>
    <n v="7573.5"/>
    <n v="531"/>
    <x v="1"/>
    <x v="1"/>
    <n v="1236"/>
    <n v="7157.4435244226606"/>
    <b v="0"/>
    <n v="7574"/>
    <n v="531"/>
    <n v="7157"/>
    <x v="4"/>
    <x v="1"/>
    <x v="11"/>
  </r>
  <r>
    <x v="362"/>
    <n v="1.5"/>
    <n v="0"/>
    <x v="1"/>
    <x v="0"/>
    <n v="1"/>
    <n v="1.3674039120715922"/>
    <b v="0"/>
    <n v="2"/>
    <n v="0"/>
    <n v="1"/>
    <x v="5"/>
    <x v="1"/>
    <x v="11"/>
  </r>
  <r>
    <x v="362"/>
    <n v="727.5"/>
    <n v="100.5"/>
    <x v="0"/>
    <x v="1"/>
    <n v="457"/>
    <n v="708.61984451535852"/>
    <b v="0"/>
    <n v="728"/>
    <n v="101"/>
    <n v="709"/>
    <x v="5"/>
    <x v="1"/>
    <x v="11"/>
  </r>
  <r>
    <x v="362"/>
    <n v="1164"/>
    <n v="100.5"/>
    <x v="0"/>
    <x v="0"/>
    <n v="199"/>
    <n v="1113.8146687661063"/>
    <b v="0"/>
    <n v="1164"/>
    <n v="101"/>
    <n v="1114"/>
    <x v="5"/>
    <x v="1"/>
    <x v="11"/>
  </r>
  <r>
    <x v="362"/>
    <n v="3471"/>
    <n v="517.5"/>
    <x v="2"/>
    <x v="0"/>
    <n v="1629"/>
    <n v="3587.6288528640443"/>
    <b v="1"/>
    <n v="3471"/>
    <n v="518"/>
    <n v="3588"/>
    <x v="5"/>
    <x v="0"/>
    <x v="11"/>
  </r>
  <r>
    <x v="362"/>
    <n v="6534"/>
    <n v="948"/>
    <x v="1"/>
    <x v="1"/>
    <n v="1917"/>
    <n v="6132.1573843179431"/>
    <b v="1"/>
    <n v="6534"/>
    <n v="948"/>
    <n v="6132"/>
    <x v="5"/>
    <x v="0"/>
    <x v="11"/>
  </r>
  <r>
    <x v="363"/>
    <n v="1102.5"/>
    <n v="63"/>
    <x v="0"/>
    <x v="1"/>
    <n v="27"/>
    <n v="972.81997372629371"/>
    <b v="0"/>
    <n v="1103"/>
    <n v="63"/>
    <n v="973"/>
    <x v="6"/>
    <x v="1"/>
    <x v="11"/>
  </r>
  <r>
    <x v="363"/>
    <n v="2200.5"/>
    <n v="63"/>
    <x v="0"/>
    <x v="0"/>
    <n v="649"/>
    <n v="2029.7386756560622"/>
    <b v="0"/>
    <n v="2201"/>
    <n v="63"/>
    <n v="2030"/>
    <x v="6"/>
    <x v="1"/>
    <x v="11"/>
  </r>
  <r>
    <x v="363"/>
    <n v="3144"/>
    <n v="349.5"/>
    <x v="2"/>
    <x v="0"/>
    <n v="1211"/>
    <n v="3235.1959780402108"/>
    <b v="0"/>
    <n v="3144"/>
    <n v="350"/>
    <n v="3235"/>
    <x v="6"/>
    <x v="1"/>
    <x v="11"/>
  </r>
  <r>
    <x v="363"/>
    <n v="5802"/>
    <n v="679.5"/>
    <x v="1"/>
    <x v="1"/>
    <n v="1614"/>
    <n v="5633.2404375704082"/>
    <b v="1"/>
    <n v="5802"/>
    <n v="680"/>
    <n v="5633"/>
    <x v="6"/>
    <x v="0"/>
    <x v="11"/>
  </r>
  <r>
    <x v="364"/>
    <n v="531"/>
    <n v="16.5"/>
    <x v="0"/>
    <x v="1"/>
    <n v="309"/>
    <n v="469.12834693104702"/>
    <b v="0"/>
    <n v="531"/>
    <n v="17"/>
    <n v="469"/>
    <x v="0"/>
    <x v="1"/>
    <x v="11"/>
  </r>
  <r>
    <x v="364"/>
    <n v="1021.5"/>
    <n v="16.5"/>
    <x v="0"/>
    <x v="0"/>
    <n v="122"/>
    <n v="915.58489666115088"/>
    <b v="0"/>
    <n v="1022"/>
    <n v="17"/>
    <n v="916"/>
    <x v="0"/>
    <x v="1"/>
    <x v="11"/>
  </r>
  <r>
    <x v="364"/>
    <n v="4855.5"/>
    <n v="37.5"/>
    <x v="2"/>
    <x v="0"/>
    <n v="1758"/>
    <n v="4272.6821299671301"/>
    <b v="0"/>
    <n v="4856"/>
    <n v="38"/>
    <n v="4273"/>
    <x v="0"/>
    <x v="1"/>
    <x v="11"/>
  </r>
  <r>
    <x v="364"/>
    <n v="6589.5"/>
    <n v="232.5"/>
    <x v="1"/>
    <x v="1"/>
    <n v="1861"/>
    <n v="5893.9649505483549"/>
    <b v="1"/>
    <n v="6590"/>
    <n v="233"/>
    <n v="5894"/>
    <x v="0"/>
    <x v="0"/>
    <x v="11"/>
  </r>
  <r>
    <x v="365"/>
    <n v="1639.5"/>
    <n v="519"/>
    <x v="0"/>
    <x v="1"/>
    <n v="213"/>
    <n v="1902.3799425304801"/>
    <b v="1"/>
    <n v="1640"/>
    <n v="519"/>
    <n v="1902"/>
    <x v="1"/>
    <x v="0"/>
    <x v="11"/>
  </r>
  <r>
    <x v="365"/>
    <n v="2850"/>
    <n v="519"/>
    <x v="0"/>
    <x v="0"/>
    <n v="239"/>
    <n v="3017.6891916448617"/>
    <b v="1"/>
    <n v="2850"/>
    <n v="519"/>
    <n v="3018"/>
    <x v="1"/>
    <x v="0"/>
    <x v="11"/>
  </r>
  <r>
    <x v="365"/>
    <n v="4413"/>
    <n v="316.5"/>
    <x v="2"/>
    <x v="0"/>
    <n v="394"/>
    <n v="4300.2416979424161"/>
    <b v="0"/>
    <n v="4413"/>
    <n v="317"/>
    <n v="4300"/>
    <x v="1"/>
    <x v="1"/>
    <x v="11"/>
  </r>
  <r>
    <x v="365"/>
    <n v="4878"/>
    <n v="582"/>
    <x v="1"/>
    <x v="1"/>
    <n v="1145"/>
    <n v="4657.2069069449963"/>
    <b v="0"/>
    <n v="4878"/>
    <n v="582"/>
    <n v="4657"/>
    <x v="1"/>
    <x v="1"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d v="2025-01-01T00:00:00"/>
    <m/>
    <n v="14297.077283858318"/>
    <n v="10444.704067094932"/>
    <n v="18149.450500621704"/>
    <x v="0"/>
  </r>
  <r>
    <d v="2025-01-02T00:00:00"/>
    <m/>
    <n v="14717.36720925093"/>
    <n v="9531.9512220866836"/>
    <n v="19902.783196415177"/>
    <x v="0"/>
  </r>
  <r>
    <d v="2025-01-03T00:00:00"/>
    <m/>
    <n v="15086.481840555882"/>
    <n v="8844.4423946775023"/>
    <n v="21328.521286434261"/>
    <x v="0"/>
  </r>
  <r>
    <d v="2025-01-04T00:00:00"/>
    <m/>
    <n v="15553.27394889057"/>
    <n v="8407.340732390152"/>
    <n v="22699.207165390988"/>
    <x v="0"/>
  </r>
  <r>
    <d v="2025-01-05T00:00:00"/>
    <m/>
    <n v="15453.314191460166"/>
    <n v="7503.9441589453645"/>
    <n v="23402.684223974968"/>
    <x v="0"/>
  </r>
  <r>
    <d v="2025-01-06T00:00:00"/>
    <m/>
    <n v="13245.317073839367"/>
    <n v="4565.025992145067"/>
    <n v="21925.608155533668"/>
    <x v="0"/>
  </r>
  <r>
    <d v="2025-01-07T00:00:00"/>
    <m/>
    <n v="13725.085973889432"/>
    <n v="4369.3765265233778"/>
    <n v="23080.795421255487"/>
    <x v="0"/>
  </r>
  <r>
    <d v="2025-01-08T00:00:00"/>
    <m/>
    <n v="14241.502721733903"/>
    <n v="4114.8694072683502"/>
    <n v="24368.136036199456"/>
    <x v="0"/>
  </r>
  <r>
    <d v="2025-01-09T00:00:00"/>
    <m/>
    <n v="14661.792647126515"/>
    <n v="3948.044907240901"/>
    <n v="25375.54038701213"/>
    <x v="0"/>
  </r>
  <r>
    <d v="2025-01-10T00:00:00"/>
    <m/>
    <n v="15030.907278431467"/>
    <n v="3759.3925320304006"/>
    <n v="26302.422024832533"/>
    <x v="0"/>
  </r>
  <r>
    <d v="2025-01-11T00:00:00"/>
    <m/>
    <n v="15497.699386766155"/>
    <n v="3693.6028901892096"/>
    <n v="27301.7958833431"/>
    <x v="0"/>
  </r>
  <r>
    <d v="2025-01-12T00:00:00"/>
    <m/>
    <n v="15397.739629335751"/>
    <n v="3082.9774074350298"/>
    <n v="27712.50185123647"/>
    <x v="0"/>
  </r>
  <r>
    <d v="2025-01-13T00:00:00"/>
    <m/>
    <n v="13189.742511714954"/>
    <n v="383.60734905737991"/>
    <n v="25995.877674372528"/>
    <x v="0"/>
  </r>
  <r>
    <d v="2025-01-14T00:00:00"/>
    <m/>
    <n v="13669.511411765019"/>
    <n v="389.15330481009005"/>
    <n v="26949.869518719948"/>
    <x v="0"/>
  </r>
  <r>
    <d v="2025-01-15T00:00:00"/>
    <m/>
    <n v="14185.92815960949"/>
    <n v="344.06920908010943"/>
    <n v="28027.78711013887"/>
    <x v="0"/>
  </r>
  <r>
    <d v="2025-01-16T00:00:00"/>
    <m/>
    <n v="14606.218085002101"/>
    <n v="322.58651804581677"/>
    <n v="28889.849651958386"/>
    <x v="0"/>
  </r>
  <r>
    <d v="2025-01-17T00:00:00"/>
    <m/>
    <n v="14975.332716307053"/>
    <n v="262.26452024973332"/>
    <n v="29688.400912364374"/>
    <x v="0"/>
  </r>
  <r>
    <d v="2025-01-18T00:00:00"/>
    <m/>
    <n v="15442.124824641742"/>
    <n v="310.90465270057575"/>
    <n v="30573.344996582906"/>
    <x v="0"/>
  </r>
  <r>
    <d v="2025-01-19T00:00:00"/>
    <m/>
    <n v="15342.165067211337"/>
    <n v="-196.83441383268109"/>
    <n v="30881.164548255358"/>
    <x v="0"/>
  </r>
  <r>
    <d v="2025-01-20T00:00:00"/>
    <m/>
    <n v="13134.167949590537"/>
    <n v="-2803.0353296480589"/>
    <n v="29071.371228829135"/>
    <x v="0"/>
  </r>
  <r>
    <d v="2025-01-21T00:00:00"/>
    <m/>
    <n v="13613.936849640604"/>
    <n v="-2712.5962804816481"/>
    <n v="29940.469979762856"/>
    <x v="0"/>
  </r>
  <r>
    <d v="2025-01-22T00:00:00"/>
    <m/>
    <n v="14130.353597485075"/>
    <n v="-2662.3838487452267"/>
    <n v="30923.091043715376"/>
    <x v="0"/>
  </r>
  <r>
    <d v="2025-01-23T00:00:00"/>
    <m/>
    <n v="14550.643522877686"/>
    <n v="-2613.6199350906027"/>
    <n v="31714.906980845975"/>
    <x v="0"/>
  </r>
  <r>
    <d v="2025-01-24T00:00:00"/>
    <m/>
    <n v="14919.758154182638"/>
    <n v="-2608.9391850111951"/>
    <n v="32448.455493376474"/>
    <x v="0"/>
  </r>
  <r>
    <d v="2025-01-25T00:00:00"/>
    <m/>
    <n v="15386.550262517327"/>
    <n v="-2499.923165275266"/>
    <n v="33273.023690309921"/>
    <x v="0"/>
  </r>
  <r>
    <d v="2025-01-26T00:00:00"/>
    <m/>
    <n v="15286.590505086922"/>
    <n v="-2951.3938560839415"/>
    <n v="33524.574866257783"/>
    <x v="0"/>
  </r>
  <r>
    <d v="2025-01-27T00:00:00"/>
    <m/>
    <n v="13078.593387466124"/>
    <n v="-5504.9930725304293"/>
    <n v="31662.179847462678"/>
    <x v="0"/>
  </r>
  <r>
    <d v="2025-01-28T00:00:00"/>
    <m/>
    <n v="13558.362287516189"/>
    <n v="-5365.2419632139499"/>
    <n v="32481.966538246328"/>
    <x v="0"/>
  </r>
  <r>
    <d v="2025-01-29T00:00:00"/>
    <m/>
    <n v="14074.77903536066"/>
    <n v="-5257.9858536907213"/>
    <n v="33407.543924412043"/>
    <x v="0"/>
  </r>
  <r>
    <d v="2025-01-30T00:00:00"/>
    <m/>
    <n v="14495.068960753271"/>
    <n v="-5166.1619099363834"/>
    <n v="34156.299831442928"/>
    <x v="0"/>
  </r>
  <r>
    <d v="2025-01-31T00:00:00"/>
    <m/>
    <n v="14864.183592058223"/>
    <n v="-5120.8055111334215"/>
    <n v="34849.172695249872"/>
    <x v="0"/>
  </r>
  <r>
    <d v="2025-02-01T00:00:00"/>
    <m/>
    <n v="15330.975700392912"/>
    <n v="-4973.2898181941455"/>
    <n v="35635.241218979965"/>
    <x v="1"/>
  </r>
  <r>
    <d v="2025-02-02T00:00:00"/>
    <m/>
    <n v="15231.015942962507"/>
    <n v="-5388.2530890837643"/>
    <n v="35850.284975008777"/>
    <x v="1"/>
  </r>
  <r>
    <d v="2025-02-03T00:00:00"/>
    <m/>
    <n v="13023.018825341707"/>
    <n v="-7907.1744522203735"/>
    <n v="33953.212102903788"/>
    <x v="1"/>
  </r>
  <r>
    <d v="2025-02-04T00:00:00"/>
    <m/>
    <n v="13502.787725391774"/>
    <n v="-7734.4303973155711"/>
    <n v="34740.005848099121"/>
    <x v="1"/>
  </r>
  <r>
    <d v="2025-02-05T00:00:00"/>
    <m/>
    <n v="14019.204473236245"/>
    <n v="-7588.3530456726694"/>
    <n v="35626.761992145155"/>
    <x v="1"/>
  </r>
  <r>
    <d v="2025-02-06T00:00:00"/>
    <m/>
    <n v="14439.494398628856"/>
    <n v="-7466.8628842071521"/>
    <n v="36345.851681464861"/>
    <x v="1"/>
  </r>
  <r>
    <d v="2025-02-07T00:00:00"/>
    <m/>
    <n v="14808.60902993381"/>
    <n v="-7393.1529193662063"/>
    <n v="37010.370979233827"/>
    <x v="1"/>
  </r>
  <r>
    <d v="2025-02-08T00:00:00"/>
    <m/>
    <n v="15275.401138268498"/>
    <n v="-7218.5048001159448"/>
    <n v="37769.307076652942"/>
    <x v="1"/>
  </r>
  <r>
    <d v="2025-02-09T00:00:00"/>
    <m/>
    <n v="15175.441380838094"/>
    <n v="-7607.4739554248245"/>
    <n v="37958.356717101015"/>
    <x v="1"/>
  </r>
  <r>
    <d v="2025-02-10T00:00:00"/>
    <m/>
    <n v="12967.444263217294"/>
    <n v="-10101.464334682521"/>
    <n v="36036.352861117106"/>
    <x v="1"/>
  </r>
  <r>
    <d v="2025-02-11T00:00:00"/>
    <m/>
    <n v="13447.213163267361"/>
    <n v="-9904.7840122044126"/>
    <n v="36799.210338739133"/>
    <x v="1"/>
  </r>
  <r>
    <d v="2025-02-12T00:00:00"/>
    <m/>
    <n v="13963.629911111831"/>
    <n v="-9730.2182935499077"/>
    <n v="37657.478115773571"/>
    <x v="1"/>
  </r>
  <r>
    <d v="2025-02-13T00:00:00"/>
    <m/>
    <n v="14383.919836504443"/>
    <n v="-9586.8037860173026"/>
    <n v="38354.643459026192"/>
    <x v="1"/>
  </r>
  <r>
    <d v="2025-02-14T00:00:00"/>
    <m/>
    <n v="14753.034467809395"/>
    <n v="-9491.98035544493"/>
    <n v="38998.049291063719"/>
    <x v="1"/>
  </r>
  <r>
    <d v="2025-02-15T00:00:00"/>
    <m/>
    <n v="15219.826576144083"/>
    <n v="-9296.982571961029"/>
    <n v="39736.635724249194"/>
    <x v="1"/>
  </r>
  <r>
    <d v="2025-02-16T00:00:00"/>
    <m/>
    <n v="15119.866818713679"/>
    <n v="-9666.322516140659"/>
    <n v="39906.056153568017"/>
    <x v="1"/>
  </r>
  <r>
    <d v="2025-02-17T00:00:00"/>
    <m/>
    <n v="12911.869701092881"/>
    <n v="-12141.364147599983"/>
    <n v="37965.103549785745"/>
    <x v="1"/>
  </r>
  <r>
    <d v="2025-02-18T00:00:00"/>
    <m/>
    <n v="13391.638601142946"/>
    <n v="-11926.378582046935"/>
    <n v="38709.655784332826"/>
    <x v="1"/>
  </r>
  <r>
    <d v="2025-02-19T00:00:00"/>
    <m/>
    <n v="13908.055348987416"/>
    <n v="-11729.840069080603"/>
    <n v="39545.950767055438"/>
    <x v="1"/>
  </r>
  <r>
    <d v="2025-02-20T00:00:00"/>
    <m/>
    <n v="14328.345274380028"/>
    <n v="-11569.443914610763"/>
    <n v="40226.134463370821"/>
    <x v="1"/>
  </r>
  <r>
    <d v="2025-02-21T00:00:00"/>
    <m/>
    <n v="14697.45990568498"/>
    <n v="-11458.180033124885"/>
    <n v="40853.099844494849"/>
    <x v="1"/>
  </r>
  <r>
    <d v="2025-02-22T00:00:00"/>
    <m/>
    <n v="15164.252014019668"/>
    <n v="-11247.25605241083"/>
    <n v="41575.760080450171"/>
    <x v="1"/>
  </r>
  <r>
    <d v="2025-02-23T00:00:00"/>
    <m/>
    <n v="15064.292256589264"/>
    <n v="-11601.158944587516"/>
    <n v="41729.743457766046"/>
    <x v="1"/>
  </r>
  <r>
    <d v="2025-02-24T00:00:00"/>
    <m/>
    <n v="12856.295138968464"/>
    <n v="-14061.229237316129"/>
    <n v="39773.819515253053"/>
    <x v="1"/>
  </r>
  <r>
    <d v="2025-02-25T00:00:00"/>
    <m/>
    <n v="13336.064039018531"/>
    <n v="-13831.71614967719"/>
    <n v="40503.844227714253"/>
    <x v="1"/>
  </r>
  <r>
    <d v="2025-02-26T00:00:00"/>
    <m/>
    <n v="13852.480786863001"/>
    <n v="-13617.620029740279"/>
    <n v="41322.581603466286"/>
    <x v="1"/>
  </r>
  <r>
    <d v="2025-02-27T00:00:00"/>
    <m/>
    <n v="14272.770712255613"/>
    <n v="-13443.620680712385"/>
    <n v="41989.162105223615"/>
    <x v="1"/>
  </r>
  <r>
    <d v="2025-02-28T00:00:00"/>
    <m/>
    <n v="14641.885343560565"/>
    <n v="-13319.135469610521"/>
    <n v="42602.906156731653"/>
    <x v="1"/>
  </r>
  <r>
    <d v="2025-03-01T00:00:00"/>
    <m/>
    <n v="15108.677451895253"/>
    <n v="-13095.355375966343"/>
    <n v="43312.710279756851"/>
    <x v="2"/>
  </r>
  <r>
    <d v="2025-03-02T00:00:00"/>
    <m/>
    <n v="15008.717694464849"/>
    <n v="-13436.75171722308"/>
    <n v="43454.187106152778"/>
    <x v="2"/>
  </r>
  <r>
    <d v="2025-03-03T00:00:00"/>
    <m/>
    <n v="12800.720576844051"/>
    <n v="-15884.650285054915"/>
    <n v="41486.091438743017"/>
    <x v="2"/>
  </r>
  <r>
    <d v="2025-03-04T00:00:00"/>
    <m/>
    <n v="13280.489476894118"/>
    <n v="-15643.28641313932"/>
    <n v="42204.265366927553"/>
    <x v="2"/>
  </r>
  <r>
    <d v="2025-03-05T00:00:00"/>
    <m/>
    <n v="13796.906224738588"/>
    <n v="-15414.784855030946"/>
    <n v="43008.597304508119"/>
    <x v="2"/>
  </r>
  <r>
    <d v="2025-03-06T00:00:00"/>
    <m/>
    <n v="14217.1961501312"/>
    <n v="-15229.609664325788"/>
    <n v="43664.001964588184"/>
    <x v="2"/>
  </r>
  <r>
    <d v="2025-03-07T00:00:00"/>
    <m/>
    <n v="14586.310781436152"/>
    <n v="-15094.229602327983"/>
    <n v="44266.851165200285"/>
    <x v="2"/>
  </r>
  <r>
    <d v="2025-03-08T00:00:00"/>
    <m/>
    <n v="15053.10288977084"/>
    <n v="-14859.824747209017"/>
    <n v="44966.030526750699"/>
    <x v="2"/>
  </r>
  <r>
    <d v="2025-03-09T00:00:00"/>
    <m/>
    <n v="14953.143132340436"/>
    <n v="-15190.856094449558"/>
    <n v="45097.142359130434"/>
    <x v="2"/>
  </r>
  <r>
    <d v="2025-03-10T00:00:00"/>
    <m/>
    <n v="12745.146014719638"/>
    <n v="-17628.639654215003"/>
    <n v="43118.931683654278"/>
    <x v="2"/>
  </r>
  <r>
    <d v="2025-03-11T00:00:00"/>
    <m/>
    <n v="13224.914914769703"/>
    <n v="-17377.401483335576"/>
    <n v="43827.231312874981"/>
    <x v="2"/>
  </r>
  <r>
    <d v="2025-03-12T00:00:00"/>
    <m/>
    <n v="13741.331662614173"/>
    <n v="-17136.835913184084"/>
    <n v="44619.499238412434"/>
    <x v="2"/>
  </r>
  <r>
    <d v="2025-03-13T00:00:00"/>
    <m/>
    <n v="14161.621588006785"/>
    <n v="-16942.29662386034"/>
    <n v="45265.539799873914"/>
    <x v="2"/>
  </r>
  <r>
    <d v="2025-03-14T00:00:00"/>
    <m/>
    <n v="14530.736219311737"/>
    <n v="-16797.76612370391"/>
    <n v="45859.238562327388"/>
    <x v="2"/>
  </r>
  <r>
    <d v="2025-03-15T00:00:00"/>
    <m/>
    <n v="14997.528327646425"/>
    <n v="-16554.417021223733"/>
    <n v="46549.473676516587"/>
    <x v="2"/>
  </r>
  <r>
    <d v="2025-03-16T00:00:00"/>
    <m/>
    <n v="14897.568570216021"/>
    <n v="-16876.70320015405"/>
    <n v="46671.840340586088"/>
    <x v="2"/>
  </r>
  <r>
    <d v="2025-03-17T00:00:00"/>
    <m/>
    <n v="12689.571452595221"/>
    <n v="-19305.933895119419"/>
    <n v="44685.076800309864"/>
    <x v="2"/>
  </r>
  <r>
    <d v="2025-03-18T00:00:00"/>
    <m/>
    <n v="13169.340352645288"/>
    <n v="-19046.328703491781"/>
    <n v="45385.00940878236"/>
    <x v="2"/>
  </r>
  <r>
    <d v="2025-03-19T00:00:00"/>
    <m/>
    <n v="13685.757100489758"/>
    <n v="-18795.493351834164"/>
    <n v="46167.00755281368"/>
    <x v="2"/>
  </r>
  <r>
    <d v="2025-03-20T00:00:00"/>
    <m/>
    <n v="14106.04702588237"/>
    <n v="-18592.983525364929"/>
    <n v="46805.077577129668"/>
    <x v="2"/>
  </r>
  <r>
    <d v="2025-03-21T00:00:00"/>
    <m/>
    <n v="14475.161657187322"/>
    <n v="-18440.649291982751"/>
    <n v="47390.972606357398"/>
    <x v="2"/>
  </r>
  <r>
    <d v="2025-03-22T00:00:00"/>
    <m/>
    <n v="14941.95376552201"/>
    <n v="-18189.657951665118"/>
    <n v="48073.565482709142"/>
    <x v="2"/>
  </r>
  <r>
    <d v="2025-03-23T00:00:00"/>
    <m/>
    <n v="14841.994008091606"/>
    <n v="-18504.458311215232"/>
    <n v="48188.446327398444"/>
    <x v="2"/>
  </r>
  <r>
    <d v="2025-03-24T00:00:00"/>
    <m/>
    <n v="12633.996890470808"/>
    <n v="-20926.354747125624"/>
    <n v="46194.348528067239"/>
    <x v="2"/>
  </r>
  <r>
    <d v="2025-03-25T00:00:00"/>
    <m/>
    <n v="13113.765790520873"/>
    <n v="-20659.562205487495"/>
    <n v="46887.093786529236"/>
    <x v="2"/>
  </r>
  <r>
    <d v="2025-03-26T00:00:00"/>
    <m/>
    <n v="13630.182538365343"/>
    <n v="-20399.86698903174"/>
    <n v="47660.232065762422"/>
    <x v="2"/>
  </r>
  <r>
    <d v="2025-03-27T00:00:00"/>
    <m/>
    <n v="14050.472463757955"/>
    <n v="-20190.484970748206"/>
    <n v="48291.429898264119"/>
    <x v="2"/>
  </r>
  <r>
    <d v="2025-03-28T00:00:00"/>
    <m/>
    <n v="14419.587095062907"/>
    <n v="-20031.41161908799"/>
    <n v="48870.585809213808"/>
    <x v="2"/>
  </r>
  <r>
    <d v="2025-03-29T00:00:00"/>
    <m/>
    <n v="14886.379203397597"/>
    <n v="-19773.810346443999"/>
    <n v="49546.568753239197"/>
    <x v="2"/>
  </r>
  <r>
    <d v="2025-03-30T00:00:00"/>
    <m/>
    <n v="14786.419445967193"/>
    <n v="-20082.126227731169"/>
    <n v="49654.965119665554"/>
    <x v="2"/>
  </r>
  <r>
    <d v="2025-03-31T00:00:00"/>
    <m/>
    <n v="12578.422328346394"/>
    <n v="-22497.660055344997"/>
    <n v="47654.504712037786"/>
    <x v="2"/>
  </r>
  <r>
    <d v="2025-04-01T00:00:00"/>
    <m/>
    <n v="13058.191228396459"/>
    <n v="-22224.623331650426"/>
    <n v="48341.005788443348"/>
    <x v="3"/>
  </r>
  <r>
    <d v="2025-04-02T00:00:00"/>
    <m/>
    <n v="13574.60797624093"/>
    <n v="-21957.199369928014"/>
    <n v="49106.41532240987"/>
    <x v="3"/>
  </r>
  <r>
    <d v="2025-04-03T00:00:00"/>
    <m/>
    <n v="13994.897901633542"/>
    <n v="-21741.828445724619"/>
    <n v="49731.624248991706"/>
    <x v="3"/>
  </r>
  <r>
    <d v="2025-04-04T00:00:00"/>
    <m/>
    <n v="14364.012532938494"/>
    <n v="-21576.874291314631"/>
    <n v="50304.899357191622"/>
    <x v="3"/>
  </r>
  <r>
    <d v="2025-04-05T00:00:00"/>
    <m/>
    <n v="14830.804641273182"/>
    <n v="-21313.497399715958"/>
    <n v="50975.106682262325"/>
    <x v="3"/>
  </r>
  <r>
    <d v="2025-04-06T00:00:00"/>
    <m/>
    <n v="14730.844883842778"/>
    <n v="-21616.140034537457"/>
    <n v="51077.829802223016"/>
    <x v="3"/>
  </r>
  <r>
    <d v="2025-04-07T00:00:00"/>
    <m/>
    <n v="12522.847766221978"/>
    <n v="-24026.100279863513"/>
    <n v="49071.795812307464"/>
    <x v="3"/>
  </r>
  <r>
    <d v="2025-04-08T00:00:00"/>
    <m/>
    <n v="13002.616666272044"/>
    <n v="-23747.587027956644"/>
    <n v="49752.820360500729"/>
    <x v="3"/>
  </r>
  <r>
    <d v="2025-04-09T00:00:00"/>
    <m/>
    <n v="13519.033414116515"/>
    <n v="-23473.357682780173"/>
    <n v="50511.424511013203"/>
    <x v="3"/>
  </r>
  <r>
    <d v="2025-04-10T00:00:00"/>
    <m/>
    <n v="13939.323339509127"/>
    <n v="-23252.720322394885"/>
    <n v="51131.367001413135"/>
    <x v="3"/>
  </r>
  <r>
    <d v="2025-04-11T00:00:00"/>
    <m/>
    <n v="14308.437970814079"/>
    <n v="-23082.588909310653"/>
    <n v="51699.464850938806"/>
    <x v="3"/>
  </r>
  <r>
    <d v="2025-04-12T00:00:00"/>
    <m/>
    <n v="14775.230079148767"/>
    <n v="-22814.121696999595"/>
    <n v="52364.581855297125"/>
    <x v="3"/>
  </r>
  <r>
    <d v="2025-04-13T00:00:00"/>
    <m/>
    <n v="14675.270321718363"/>
    <n v="-23111.758786601149"/>
    <n v="52462.299430037878"/>
    <x v="3"/>
  </r>
  <r>
    <d v="2025-04-14T00:00:00"/>
    <m/>
    <n v="12467.273204097564"/>
    <n v="-25516.796173440755"/>
    <n v="50451.342581635879"/>
    <x v="3"/>
  </r>
  <r>
    <d v="2025-04-15T00:00:00"/>
    <m/>
    <n v="12947.042104147629"/>
    <n v="-25233.440731544222"/>
    <n v="51127.524939839481"/>
    <x v="3"/>
  </r>
  <r>
    <d v="2025-04-16T00:00:00"/>
    <m/>
    <n v="13463.4588519921"/>
    <n v="-24953.170996984198"/>
    <n v="51880.088700968401"/>
    <x v="3"/>
  </r>
  <r>
    <d v="2025-04-17T00:00:00"/>
    <m/>
    <n v="13883.748777384712"/>
    <n v="-24727.866728514113"/>
    <n v="52495.364283283532"/>
    <x v="3"/>
  </r>
  <r>
    <d v="2025-04-18T00:00:00"/>
    <m/>
    <n v="14252.863408689664"/>
    <n v="-24553.142949687513"/>
    <n v="53058.869767066841"/>
    <x v="3"/>
  </r>
  <r>
    <d v="2025-04-19T00:00:00"/>
    <m/>
    <n v="14719.655517024352"/>
    <n v="-24280.15616416133"/>
    <n v="53719.467198210034"/>
    <x v="3"/>
  </r>
  <r>
    <d v="2025-04-20T00:00:00"/>
    <m/>
    <n v="14619.695759593948"/>
    <n v="-24573.344779531581"/>
    <n v="53812.736298719472"/>
    <x v="3"/>
  </r>
  <r>
    <d v="2025-04-21T00:00:00"/>
    <m/>
    <n v="12411.698641973147"/>
    <n v="-26974.003151555145"/>
    <n v="51797.40043550144"/>
    <x v="3"/>
  </r>
  <r>
    <d v="2025-04-22T00:00:00"/>
    <m/>
    <n v="12891.467542023214"/>
    <n v="-26686.336566480684"/>
    <n v="52469.271650527116"/>
    <x v="3"/>
  </r>
  <r>
    <d v="2025-04-23T00:00:00"/>
    <m/>
    <n v="13407.884289867687"/>
    <n v="-26400.668355542832"/>
    <n v="53216.436935278209"/>
    <x v="3"/>
  </r>
  <r>
    <d v="2025-04-24T00:00:00"/>
    <m/>
    <n v="13828.174215260298"/>
    <n v="-26171.200923356657"/>
    <n v="53827.54935387725"/>
    <x v="3"/>
  </r>
  <r>
    <d v="2025-04-25T00:00:00"/>
    <m/>
    <n v="14197.28884656525"/>
    <n v="-25992.377007943185"/>
    <n v="54386.954701073686"/>
    <x v="3"/>
  </r>
  <r>
    <d v="2025-04-26T00:00:00"/>
    <m/>
    <n v="14664.080954899939"/>
    <n v="-25715.351723824999"/>
    <n v="55043.513633624876"/>
    <x v="3"/>
  </r>
  <r>
    <d v="2025-04-27T00:00:00"/>
    <m/>
    <n v="14564.121197469534"/>
    <n v="-26004.562131389946"/>
    <n v="55132.804526329011"/>
    <x v="3"/>
  </r>
  <r>
    <d v="2025-04-28T00:00:00"/>
    <m/>
    <n v="12356.124079848734"/>
    <n v="-28401.301279506413"/>
    <n v="53113.549439203882"/>
    <x v="3"/>
  </r>
  <r>
    <d v="2025-04-29T00:00:00"/>
    <m/>
    <n v="12835.892979898801"/>
    <n v="-28109.773186322163"/>
    <n v="53781.559146119769"/>
    <x v="3"/>
  </r>
  <r>
    <d v="2025-04-30T00:00:00"/>
    <m/>
    <n v="13352.309727743272"/>
    <n v="-27819.251138319636"/>
    <n v="54523.870593806176"/>
    <x v="3"/>
  </r>
  <r>
    <d v="2025-05-01T00:00:00"/>
    <m/>
    <n v="13772.599653135883"/>
    <n v="-27586.048427247122"/>
    <n v="55131.247733518889"/>
    <x v="4"/>
  </r>
  <r>
    <d v="2025-05-02T00:00:00"/>
    <m/>
    <n v="14141.714284440835"/>
    <n v="-27403.543061696422"/>
    <n v="55686.971630578097"/>
    <x v="4"/>
  </r>
  <r>
    <d v="2025-05-03T00:00:00"/>
    <m/>
    <n v="14608.506392775524"/>
    <n v="-27122.889037869885"/>
    <n v="56339.901823420936"/>
    <x v="4"/>
  </r>
  <r>
    <d v="2025-05-04T00:00:00"/>
    <m/>
    <n v="14508.546635345119"/>
    <n v="-27408.52232963487"/>
    <n v="56425.615600325109"/>
    <x v="4"/>
  </r>
  <r>
    <d v="2025-05-05T00:00:00"/>
    <m/>
    <n v="12300.549517724321"/>
    <n v="-29801.734929990853"/>
    <n v="54402.833965439495"/>
    <x v="4"/>
  </r>
  <r>
    <d v="2025-05-06T00:00:00"/>
    <m/>
    <n v="12780.318417774386"/>
    <n v="-29506.729830770255"/>
    <n v="55067.366666319023"/>
    <x v="4"/>
  </r>
  <r>
    <d v="2025-05-07T00:00:00"/>
    <m/>
    <n v="13296.735165618857"/>
    <n v="-29211.820573248959"/>
    <n v="55805.290904486668"/>
    <x v="4"/>
  </r>
  <r>
    <d v="2025-05-08T00:00:00"/>
    <m/>
    <n v="13717.025091011468"/>
    <n v="-28975.249519525714"/>
    <n v="56409.299701548654"/>
    <x v="4"/>
  </r>
  <r>
    <d v="2025-05-09T00:00:00"/>
    <m/>
    <n v="14086.13972231642"/>
    <n v="-28789.422194004557"/>
    <n v="56961.701638637402"/>
    <x v="4"/>
  </r>
  <r>
    <d v="2025-05-10T00:00:00"/>
    <m/>
    <n v="14552.931830651109"/>
    <n v="-28505.49168138958"/>
    <n v="57611.355342691793"/>
    <x v="4"/>
  </r>
  <r>
    <d v="2025-05-11T00:00:00"/>
    <m/>
    <n v="14452.972073220704"/>
    <n v="-28787.893068552636"/>
    <n v="57693.837214994048"/>
    <x v="4"/>
  </r>
  <r>
    <d v="2025-05-12T00:00:00"/>
    <m/>
    <n v="12244.974955599904"/>
    <n v="-31177.917485163944"/>
    <n v="55667.867396363756"/>
    <x v="4"/>
  </r>
  <r>
    <d v="2025-05-13T00:00:00"/>
    <m/>
    <n v="12724.743855649971"/>
    <n v="-30879.767082590901"/>
    <n v="56329.254793890839"/>
    <x v="4"/>
  </r>
  <r>
    <d v="2025-05-14T00:00:00"/>
    <m/>
    <n v="13241.160603494442"/>
    <n v="-30580.873866240268"/>
    <n v="57063.195073229152"/>
    <x v="4"/>
  </r>
  <r>
    <d v="2025-05-15T00:00:00"/>
    <m/>
    <n v="13661.450528887053"/>
    <n v="-30341.251813220584"/>
    <n v="57664.152870994687"/>
    <x v="4"/>
  </r>
  <r>
    <d v="2025-05-16T00:00:00"/>
    <m/>
    <n v="14030.565160192007"/>
    <n v="-30152.413771996497"/>
    <n v="58213.544092380514"/>
    <x v="4"/>
  </r>
  <r>
    <d v="2025-05-17T00:00:00"/>
    <m/>
    <n v="14497.357268526694"/>
    <n v="-29865.51207612281"/>
    <n v="58860.226613176193"/>
    <x v="4"/>
  </r>
  <r>
    <d v="2025-05-18T00:00:00"/>
    <m/>
    <n v="14397.397511096291"/>
    <n v="-30144.981080469399"/>
    <n v="58939.776102661985"/>
    <x v="4"/>
  </r>
  <r>
    <d v="2025-05-19T00:00:00"/>
    <m/>
    <n v="12189.400393475491"/>
    <n v="-32532.111201231983"/>
    <n v="56910.911988182968"/>
    <x v="4"/>
  </r>
  <r>
    <d v="2025-05-20T00:00:00"/>
    <m/>
    <n v="12669.169293525558"/>
    <n v="-32231.103894235304"/>
    <n v="57569.442481286416"/>
    <x v="4"/>
  </r>
  <r>
    <d v="2025-05-21T00:00:00"/>
    <m/>
    <n v="13185.586041370028"/>
    <n v="-31928.577888699074"/>
    <n v="58299.749971439131"/>
    <x v="4"/>
  </r>
  <r>
    <d v="2025-05-22T00:00:00"/>
    <m/>
    <n v="13605.87596676264"/>
    <n v="-31686.181369722512"/>
    <n v="58897.933303247788"/>
    <x v="4"/>
  </r>
  <r>
    <d v="2025-05-23T00:00:00"/>
    <m/>
    <n v="13974.990598067592"/>
    <n v="-31494.604097478812"/>
    <n v="59444.585293613993"/>
    <x v="4"/>
  </r>
  <r>
    <d v="2025-05-24T00:00:00"/>
    <m/>
    <n v="14441.78270640228"/>
    <n v="-31204.997780375939"/>
    <n v="60088.563193180496"/>
    <x v="4"/>
  </r>
  <r>
    <d v="2025-05-25T00:00:00"/>
    <m/>
    <n v="14341.822948971876"/>
    <n v="-31481.796163289244"/>
    <n v="60165.442061233"/>
    <x v="4"/>
  </r>
  <r>
    <d v="2025-05-26T00:00:00"/>
    <m/>
    <n v="12133.825831351078"/>
    <n v="-33866.289067105608"/>
    <n v="58133.940729807771"/>
    <x v="4"/>
  </r>
  <r>
    <d v="2025-05-27T00:00:00"/>
    <m/>
    <n v="12613.594731401143"/>
    <n v="-33562.6773665777"/>
    <n v="58789.866829379986"/>
    <x v="4"/>
  </r>
  <r>
    <d v="2025-05-28T00:00:00"/>
    <m/>
    <n v="13130.011479245613"/>
    <n v="-33256.826502090138"/>
    <n v="59516.849460581368"/>
    <x v="4"/>
  </r>
  <r>
    <d v="2025-05-29T00:00:00"/>
    <m/>
    <n v="13550.301404638225"/>
    <n v="-33011.89812766682"/>
    <n v="60112.500936943266"/>
    <x v="4"/>
  </r>
  <r>
    <d v="2025-05-30T00:00:00"/>
    <m/>
    <n v="13919.416035943177"/>
    <n v="-32817.820016053811"/>
    <n v="60656.652087940165"/>
    <x v="4"/>
  </r>
  <r>
    <d v="2025-05-31T00:00:00"/>
    <m/>
    <n v="14386.208144277865"/>
    <n v="-32525.743350729768"/>
    <n v="61298.159639285499"/>
    <x v="4"/>
  </r>
  <r>
    <d v="2025-06-01T00:00:00"/>
    <m/>
    <n v="14286.248386847461"/>
    <n v="-32800.101363768525"/>
    <n v="61372.598137463443"/>
    <x v="5"/>
  </r>
  <r>
    <d v="2025-06-02T00:00:00"/>
    <m/>
    <n v="12078.251269226661"/>
    <n v="-35182.1833750273"/>
    <n v="59338.685913480622"/>
    <x v="5"/>
  </r>
  <r>
    <d v="2025-06-03T00:00:00"/>
    <m/>
    <n v="12558.020169276728"/>
    <n v="-34876.189769657685"/>
    <n v="59992.230108211144"/>
    <x v="5"/>
  </r>
  <r>
    <d v="2025-06-04T00:00:00"/>
    <m/>
    <n v="13074.436917121198"/>
    <n v="-34567.285745204121"/>
    <n v="60716.15957944651"/>
    <x v="5"/>
  </r>
  <r>
    <d v="2025-06-05T00:00:00"/>
    <m/>
    <n v="13494.72684251381"/>
    <n v="-34320.039670844621"/>
    <n v="61309.49335587224"/>
    <x v="5"/>
  </r>
  <r>
    <d v="2025-06-06T00:00:00"/>
    <m/>
    <n v="13863.841473818762"/>
    <n v="-34123.671319671164"/>
    <n v="61851.354267308692"/>
    <x v="5"/>
  </r>
  <r>
    <d v="2025-06-07T00:00:00"/>
    <m/>
    <n v="14330.63358215345"/>
    <n v="-33829.331430817758"/>
    <n v="62490.598595124662"/>
    <x v="5"/>
  </r>
  <r>
    <d v="2025-06-08T00:00:00"/>
    <m/>
    <n v="14230.673824723046"/>
    <n v="-34101.452801821077"/>
    <n v="62562.800451267169"/>
    <x v="5"/>
  </r>
  <r>
    <d v="2025-06-09T00:00:00"/>
    <m/>
    <n v="12022.676707102248"/>
    <n v="-36481.324327533788"/>
    <n v="60526.677741738284"/>
    <x v="5"/>
  </r>
  <r>
    <d v="2025-06-10T00:00:00"/>
    <m/>
    <n v="12502.445607152315"/>
    <n v="-36173.145977369815"/>
    <n v="61178.037191674448"/>
    <x v="5"/>
  </r>
  <r>
    <d v="2025-06-11T00:00:00"/>
    <m/>
    <n v="13018.862354996783"/>
    <n v="-35861.429878842253"/>
    <n v="61899.154588835816"/>
    <x v="5"/>
  </r>
  <r>
    <d v="2025-06-12T00:00:00"/>
    <m/>
    <n v="13439.152280389397"/>
    <n v="-35612.056194718658"/>
    <n v="62490.360755497451"/>
    <x v="5"/>
  </r>
  <r>
    <d v="2025-06-13T00:00:00"/>
    <m/>
    <n v="13808.266911694349"/>
    <n v="-35413.584674036836"/>
    <n v="63030.118497425537"/>
    <x v="5"/>
  </r>
  <r>
    <d v="2025-06-14T00:00:00"/>
    <m/>
    <n v="14275.059020029037"/>
    <n v="-35117.165677029996"/>
    <n v="63667.283717088074"/>
    <x v="5"/>
  </r>
  <r>
    <d v="2025-06-15T00:00:00"/>
    <m/>
    <n v="14175.099262598633"/>
    <n v="-35387.231630339957"/>
    <n v="63737.430155537222"/>
    <x v="5"/>
  </r>
  <r>
    <d v="2025-06-16T00:00:00"/>
    <m/>
    <n v="11967.102144977835"/>
    <n v="-37765.071065715529"/>
    <n v="61699.275355671198"/>
    <x v="5"/>
  </r>
  <r>
    <d v="2025-06-17T00:00:00"/>
    <m/>
    <n v="12446.8710450279"/>
    <n v="-37454.883597049964"/>
    <n v="62348.62568710577"/>
    <x v="5"/>
  </r>
  <r>
    <d v="2025-06-18T00:00:00"/>
    <m/>
    <n v="12963.28779287237"/>
    <n v="-37140.570447547696"/>
    <n v="63067.146033292433"/>
    <x v="5"/>
  </r>
  <r>
    <d v="2025-06-19T00:00:00"/>
    <m/>
    <n v="13383.577718264982"/>
    <n v="-36889.238738399195"/>
    <n v="63656.394174929163"/>
    <x v="5"/>
  </r>
  <r>
    <d v="2025-06-20T00:00:00"/>
    <m/>
    <n v="13752.692349569934"/>
    <n v="-36688.831049529748"/>
    <n v="64194.215748669609"/>
    <x v="5"/>
  </r>
  <r>
    <d v="2025-06-21T00:00:00"/>
    <m/>
    <n v="14219.484457904622"/>
    <n v="-36390.497415902573"/>
    <n v="64829.466331711825"/>
    <x v="5"/>
  </r>
  <r>
    <d v="2025-06-22T00:00:00"/>
    <m/>
    <n v="14119.524700474218"/>
    <n v="-36658.669945481066"/>
    <n v="64897.719346429505"/>
    <x v="5"/>
  </r>
  <r>
    <d v="2025-06-23T00:00:00"/>
    <m/>
    <n v="11911.527582853418"/>
    <n v="-39034.63685775749"/>
    <n v="62857.692023464333"/>
    <x v="5"/>
  </r>
  <r>
    <d v="2025-06-24T00:00:00"/>
    <m/>
    <n v="12391.296482903485"/>
    <n v="-38722.597460626079"/>
    <n v="63505.190426433044"/>
    <x v="5"/>
  </r>
  <r>
    <d v="2025-06-25T00:00:00"/>
    <m/>
    <n v="12907.713230747955"/>
    <n v="-38405.879940461622"/>
    <n v="64221.306401957532"/>
    <x v="5"/>
  </r>
  <r>
    <d v="2025-06-26T00:00:00"/>
    <m/>
    <n v="13328.003156140567"/>
    <n v="-38152.742199307148"/>
    <n v="64808.748511588288"/>
    <x v="5"/>
  </r>
  <r>
    <d v="2025-06-27T00:00:00"/>
    <m/>
    <n v="13697.117787445519"/>
    <n v="-37950.548111049335"/>
    <n v="65344.783685940369"/>
    <x v="5"/>
  </r>
  <r>
    <d v="2025-06-28T00:00:00"/>
    <m/>
    <n v="14163.909895780207"/>
    <n v="-37650.447429697197"/>
    <n v="65978.267221257614"/>
    <x v="5"/>
  </r>
  <r>
    <d v="2025-06-29T00:00:00"/>
    <m/>
    <n v="14063.950138349803"/>
    <n v="-37916.871987729799"/>
    <n v="66044.772264429412"/>
    <x v="5"/>
  </r>
  <r>
    <d v="2025-06-30T00:00:00"/>
    <m/>
    <n v="11855.953020729004"/>
    <n v="-40291.109734489815"/>
    <n v="64003.015775947817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43CB7-E234-4FB8-AD33-9487AA94771E}" name="PivotTable2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rowHeaderCaption="Vendor">
  <location ref="A3:E6" firstHeaderRow="0" firstDataRow="1" firstDataCol="1"/>
  <pivotFields count="16">
    <pivotField numFmtId="14" showAll="0">
      <items count="3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umFmtId="1" showAll="0"/>
    <pivotField numFmtId="1" showAll="0"/>
    <pivotField showAll="0"/>
    <pivotField axis="axisRow" showAll="0">
      <items count="3">
        <item x="0"/>
        <item x="1"/>
        <item t="default"/>
      </items>
    </pivotField>
    <pivotField dataField="1" numFmtId="1" showAll="0"/>
    <pivotField numFmtId="1" showAll="0"/>
    <pivotField showAll="0"/>
    <pivotField dataField="1" numFmtId="1" showAll="0"/>
    <pivotField name="Missed_Calls2" dataField="1" numFmtId="1" showAll="0"/>
    <pivotField name="Within_SLA2" dataField="1" numFmtI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Handled_Calls" fld="8" baseField="0" baseItem="0" numFmtId="1"/>
    <dataField name="Sum of Missed_Calls2" fld="9" baseField="0" baseItem="0" numFmtId="1"/>
    <dataField name="Satisfied_Customers" fld="5" baseField="0" baseItem="0" numFmtId="1"/>
    <dataField name="Sum of Within_SLA2" fld="10" baseField="0" baseItem="0" numFmtId="1"/>
  </dataFields>
  <formats count="12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4" type="button" dataOnly="0" labelOnly="1" outline="0" axis="axisRow" fieldPosition="0"/>
    </format>
    <format dxfId="27">
      <pivotArea dataOnly="0" labelOnly="1" fieldPosition="0">
        <references count="1">
          <reference field="4" count="0"/>
        </references>
      </pivotArea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4" type="button" dataOnly="0" labelOnly="1" outline="0" axis="axisRow" fieldPosition="0"/>
    </format>
    <format dxfId="21">
      <pivotArea dataOnly="0" labelOnly="1" fieldPosition="0">
        <references count="1">
          <reference field="4" count="0"/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91714-F978-43FD-B786-4749C1D1C650}" name="PivotTable7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Day Condition">
  <location ref="A39:E47" firstHeaderRow="0" firstDataRow="1" firstDataCol="1"/>
  <pivotFields count="16">
    <pivotField numFmtId="14" showAll="0">
      <items count="3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umFmtId="1" showAll="0"/>
    <pivotField numFmtId="1" showAll="0"/>
    <pivotField showAll="0"/>
    <pivotField showAll="0"/>
    <pivotField dataField="1" numFmtId="1" showAll="0"/>
    <pivotField numFmtId="1" showAll="0"/>
    <pivotField showAll="0"/>
    <pivotField dataField="1" numFmtId="1" showAll="0"/>
    <pivotField name="Missed_Calls2" dataField="1" numFmtId="1" showAll="0"/>
    <pivotField name="Within_SLA2" dataField="1" numFmtId="1" showAll="0"/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Handled" fld="8" baseField="0" baseItem="0" numFmtId="1"/>
    <dataField name="Missed" fld="9" baseField="0" baseItem="0" numFmtId="1"/>
    <dataField name="Within SLA" fld="10" baseField="0" baseItem="0" numFmtId="1"/>
    <dataField name="Weekly Satisfied" fld="5" baseField="0" baseItem="0" numFmtId="1"/>
  </dataFields>
  <formats count="12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11" type="button" dataOnly="0" labelOnly="1" outline="0" axis="axisRow" fieldPosition="0"/>
    </format>
    <format dxfId="39">
      <pivotArea dataOnly="0" labelOnly="1" fieldPosition="0">
        <references count="1">
          <reference field="11" count="0"/>
        </references>
      </pivotArea>
    </format>
    <format dxfId="38">
      <pivotArea dataOnly="0" labelOnly="1" grandRow="1" outline="0" fieldPosition="0"/>
    </format>
    <format dxfId="3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1" type="button" dataOnly="0" labelOnly="1" outline="0" axis="axisRow" fieldPosition="0"/>
    </format>
    <format dxfId="33">
      <pivotArea dataOnly="0" labelOnly="1" fieldPosition="0">
        <references count="1">
          <reference field="11" count="0"/>
        </references>
      </pivotArea>
    </format>
    <format dxfId="32">
      <pivotArea dataOnly="0" labelOnly="1" grandRow="1" outline="0" fieldPosition="0"/>
    </format>
    <format dxfId="3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698601-4B86-41C2-A32D-F8E43E111E18}" name="PivotTable6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Day Condition">
  <location ref="A30:C33" firstHeaderRow="0" firstDataRow="1" firstDataCol="1"/>
  <pivotFields count="16">
    <pivotField numFmtId="14" showAll="0">
      <items count="3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umFmtId="1" showAll="0"/>
    <pivotField numFmtId="1" showAll="0"/>
    <pivotField showAll="0"/>
    <pivotField showAll="0"/>
    <pivotField numFmtId="1" showAll="0"/>
    <pivotField numFmtId="1" showAll="0"/>
    <pivotField showAll="0"/>
    <pivotField dataField="1" numFmtId="1" showAll="0"/>
    <pivotField name="Missed_Calls2" numFmtId="1" showAll="0"/>
    <pivotField name="Within_SLA2" dataField="1" numFmtI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Handled" fld="8" baseField="0" baseItem="0" numFmtId="1"/>
    <dataField name="Calls Within SLA" fld="10" baseField="0" baseItem="0" numFmtId="1"/>
  </dataFields>
  <formats count="12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12" type="button" dataOnly="0" labelOnly="1" outline="0" axis="axisRow" fieldPosition="0"/>
    </format>
    <format dxfId="51">
      <pivotArea dataOnly="0" labelOnly="1" fieldPosition="0">
        <references count="1">
          <reference field="12" count="0"/>
        </references>
      </pivotArea>
    </format>
    <format dxfId="50">
      <pivotArea dataOnly="0" labelOnly="1" grandRow="1" outline="0" fieldPosition="0"/>
    </format>
    <format dxfId="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12" type="button" dataOnly="0" labelOnly="1" outline="0" axis="axisRow" fieldPosition="0"/>
    </format>
    <format dxfId="45">
      <pivotArea dataOnly="0" labelOnly="1" fieldPosition="0">
        <references count="1">
          <reference field="12" count="0"/>
        </references>
      </pivotArea>
    </format>
    <format dxfId="44">
      <pivotArea dataOnly="0" labelOnly="1" grandRow="1" outline="0" fieldPosition="0"/>
    </format>
    <format dxfId="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6E511B-A79F-449A-B48D-A08B60EF7E25}" name="PivotTable5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Vendor">
  <location ref="A21:D26" firstHeaderRow="1" firstDataRow="2" firstDataCol="1"/>
  <pivotFields count="16">
    <pivotField numFmtId="14" showAll="0">
      <items count="3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umFmtId="1" showAll="0"/>
    <pivotField numFmtId="1" showAll="0"/>
    <pivotField axis="axisRow" showAll="0">
      <items count="4">
        <item x="0"/>
        <item x="2"/>
        <item x="1"/>
        <item t="default"/>
      </items>
    </pivotField>
    <pivotField axis="axisCol" showAll="0">
      <items count="3">
        <item x="0"/>
        <item x="1"/>
        <item t="default"/>
      </items>
    </pivotField>
    <pivotField numFmtId="1" showAll="0"/>
    <pivotField numFmtId="1" showAll="0"/>
    <pivotField showAll="0"/>
    <pivotField numFmtId="1" showAll="0"/>
    <pivotField name="Missed_Calls2" dataField="1" numFmtId="1" showAll="0"/>
    <pivotField name="Within_SLA2" numFmtI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Missed_Calls2" fld="9" baseField="0" baseItem="0" numFmtId="3"/>
  </dataFields>
  <formats count="20">
    <format dxfId="74">
      <pivotArea type="all" dataOnly="0" outline="0" fieldPosition="0"/>
    </format>
    <format dxfId="73">
      <pivotArea outline="0" collapsedLevelsAreSubtotals="1" fieldPosition="0"/>
    </format>
    <format dxfId="72">
      <pivotArea type="origin" dataOnly="0" labelOnly="1" outline="0" fieldPosition="0"/>
    </format>
    <format dxfId="71">
      <pivotArea field="4" type="button" dataOnly="0" labelOnly="1" outline="0" axis="axisCol" fieldPosition="0"/>
    </format>
    <format dxfId="70">
      <pivotArea type="topRight" dataOnly="0" labelOnly="1" outline="0" fieldPosition="0"/>
    </format>
    <format dxfId="69">
      <pivotArea field="3" type="button" dataOnly="0" labelOnly="1" outline="0" axis="axisRow" fieldPosition="0"/>
    </format>
    <format dxfId="68">
      <pivotArea dataOnly="0" labelOnly="1" fieldPosition="0">
        <references count="1">
          <reference field="3" count="0"/>
        </references>
      </pivotArea>
    </format>
    <format dxfId="67">
      <pivotArea dataOnly="0" labelOnly="1" grandRow="1" outline="0" fieldPosition="0"/>
    </format>
    <format dxfId="66">
      <pivotArea dataOnly="0" labelOnly="1" fieldPosition="0">
        <references count="1">
          <reference field="4" count="0"/>
        </references>
      </pivotArea>
    </format>
    <format dxfId="65">
      <pivotArea dataOnly="0" labelOnly="1" grandCol="1" outline="0" fieldPosition="0"/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type="origin" dataOnly="0" labelOnly="1" outline="0" fieldPosition="0"/>
    </format>
    <format dxfId="61">
      <pivotArea field="4" type="button" dataOnly="0" labelOnly="1" outline="0" axis="axisCol" fieldPosition="0"/>
    </format>
    <format dxfId="60">
      <pivotArea type="topRight" dataOnly="0" labelOnly="1" outline="0" fieldPosition="0"/>
    </format>
    <format dxfId="59">
      <pivotArea field="3" type="button" dataOnly="0" labelOnly="1" outline="0" axis="axisRow" fieldPosition="0"/>
    </format>
    <format dxfId="58">
      <pivotArea dataOnly="0" labelOnly="1" fieldPosition="0">
        <references count="1">
          <reference field="3" count="0"/>
        </references>
      </pivotArea>
    </format>
    <format dxfId="57">
      <pivotArea dataOnly="0" labelOnly="1" grandRow="1" outline="0" fieldPosition="0"/>
    </format>
    <format dxfId="56">
      <pivotArea dataOnly="0" labelOnly="1" fieldPosition="0">
        <references count="1">
          <reference field="4" count="0"/>
        </references>
      </pivotArea>
    </format>
    <format dxfId="5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2F901-D5D6-45D8-8C2A-EA31FCBB1F43}" name="PivotTable4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Vendor">
  <location ref="A11:D16" firstHeaderRow="1" firstDataRow="2" firstDataCol="1"/>
  <pivotFields count="16">
    <pivotField numFmtId="14" showAll="0">
      <items count="3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umFmtId="1" showAll="0"/>
    <pivotField numFmtId="1" showAll="0"/>
    <pivotField axis="axisRow" showAll="0">
      <items count="4">
        <item x="0"/>
        <item x="2"/>
        <item x="1"/>
        <item t="default"/>
      </items>
    </pivotField>
    <pivotField axis="axisCol" showAll="0">
      <items count="3">
        <item x="0"/>
        <item x="1"/>
        <item t="default"/>
      </items>
    </pivotField>
    <pivotField numFmtId="1" showAll="0"/>
    <pivotField numFmtId="1" showAll="0"/>
    <pivotField showAll="0"/>
    <pivotField dataField="1" numFmtId="1" showAll="0"/>
    <pivotField name="Missed_Calls2" numFmtId="1" showAll="0"/>
    <pivotField name="Within_SLA2" numFmtI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Handled_Calls" fld="8" baseField="0" baseItem="0" numFmtId="3"/>
  </dataFields>
  <formats count="20">
    <format dxfId="94">
      <pivotArea type="all" dataOnly="0" outline="0" fieldPosition="0"/>
    </format>
    <format dxfId="93">
      <pivotArea outline="0" collapsedLevelsAreSubtotals="1" fieldPosition="0"/>
    </format>
    <format dxfId="92">
      <pivotArea type="origin" dataOnly="0" labelOnly="1" outline="0" fieldPosition="0"/>
    </format>
    <format dxfId="91">
      <pivotArea field="4" type="button" dataOnly="0" labelOnly="1" outline="0" axis="axisCol" fieldPosition="0"/>
    </format>
    <format dxfId="90">
      <pivotArea type="topRight" dataOnly="0" labelOnly="1" outline="0" fieldPosition="0"/>
    </format>
    <format dxfId="89">
      <pivotArea field="3" type="button" dataOnly="0" labelOnly="1" outline="0" axis="axisRow" fieldPosition="0"/>
    </format>
    <format dxfId="88">
      <pivotArea dataOnly="0" labelOnly="1" fieldPosition="0">
        <references count="1">
          <reference field="3" count="0"/>
        </references>
      </pivotArea>
    </format>
    <format dxfId="87">
      <pivotArea dataOnly="0" labelOnly="1" grandRow="1" outline="0" fieldPosition="0"/>
    </format>
    <format dxfId="86">
      <pivotArea dataOnly="0" labelOnly="1" fieldPosition="0">
        <references count="1">
          <reference field="4" count="0"/>
        </references>
      </pivotArea>
    </format>
    <format dxfId="85">
      <pivotArea dataOnly="0" labelOnly="1" grandCol="1" outline="0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type="origin" dataOnly="0" labelOnly="1" outline="0" fieldPosition="0"/>
    </format>
    <format dxfId="81">
      <pivotArea field="4" type="button" dataOnly="0" labelOnly="1" outline="0" axis="axisCol" fieldPosition="0"/>
    </format>
    <format dxfId="80">
      <pivotArea type="topRight" dataOnly="0" labelOnly="1" outline="0" fieldPosition="0"/>
    </format>
    <format dxfId="79">
      <pivotArea field="3" type="button" dataOnly="0" labelOnly="1" outline="0" axis="axisRow" fieldPosition="0"/>
    </format>
    <format dxfId="78">
      <pivotArea dataOnly="0" labelOnly="1" fieldPosition="0">
        <references count="1">
          <reference field="3" count="0"/>
        </references>
      </pivotArea>
    </format>
    <format dxfId="77">
      <pivotArea dataOnly="0" labelOnly="1" grandRow="1" outline="0" fieldPosition="0"/>
    </format>
    <format dxfId="76">
      <pivotArea dataOnly="0" labelOnly="1" fieldPosition="0">
        <references count="1">
          <reference field="4" count="0"/>
        </references>
      </pivotArea>
    </format>
    <format dxfId="7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92079-5F3C-49A2-AD70-59C175B22B87}" name="PivotTable32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1" firstHeaderRow="1" firstDataRow="1" firstDataCol="1"/>
  <pivotFields count="6">
    <pivotField numFmtId="14" showAll="0"/>
    <pivotField showAll="0"/>
    <pivotField dataField="1" numFmtId="3" showAll="0"/>
    <pivotField numFmtId="3" showAll="0"/>
    <pivotField numFmtId="3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Forecast(Sum of Handled_Calls)" fld="2" baseField="0" baseItem="0" numFmtId="3"/>
  </dataFields>
  <formats count="8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5" type="button" dataOnly="0" labelOnly="1" outline="0" axis="axisRow" fieldPosition="0"/>
    </format>
    <format dxfId="11">
      <pivotArea dataOnly="0" labelOnly="1" fieldPosition="0">
        <references count="1">
          <reference field="5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  <format dxfId="8">
      <pivotArea field="5" type="button" dataOnly="0" labelOnly="1" outline="0" axis="axisRow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D6585A-7FC3-49E6-86D3-8C1D4CC5F45E}" name="PivotTable31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70" firstHeaderRow="1" firstDataRow="1" firstDataCol="1"/>
  <pivotFields count="16">
    <pivotField axis="axisRow" numFmtId="14" showAll="0">
      <items count="3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umFmtId="2" showAll="0"/>
    <pivotField numFmtId="2" showAll="0"/>
    <pivotField showAll="0"/>
    <pivotField showAll="0"/>
    <pivotField numFmtId="1" showAll="0"/>
    <pivotField numFmtId="2" showAll="0"/>
    <pivotField showAll="0"/>
    <pivotField dataField="1" numFmtId="1" showAll="0"/>
    <pivotField numFmtId="1" showAll="0"/>
    <pivotField numFmtId="1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 t="grand">
      <x/>
    </i>
  </rowItems>
  <colItems count="1">
    <i/>
  </colItems>
  <dataFields count="1">
    <dataField name="Sum of Handled_Calls" fld="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63AE9F-3DAD-4946-B1A7-72191FCD4507}" name="CleanedData" displayName="CleanedData" ref="A1:N1598" totalsRowShown="0" headerRowDxfId="110" tableBorderDxfId="109">
  <tableColumns count="14">
    <tableColumn id="1" xr3:uid="{833C5CA8-BF82-48D4-9D1B-01AD54C56762}" name="DAY" dataDxfId="108"/>
    <tableColumn id="2" xr3:uid="{A24F626A-C642-4ED4-8594-F52DCD3927EC}" name="CALLS_HANDLED" dataDxfId="107"/>
    <tableColumn id="3" xr3:uid="{725ACAFA-AE9B-4C99-AB13-D55A3E7DB2AB}" name="CALLS_MISSED" dataDxfId="106"/>
    <tableColumn id="4" xr3:uid="{A302AA4F-7F0A-4383-A16C-48B0D50267E0}" name="QUEUE" dataDxfId="105"/>
    <tableColumn id="5" xr3:uid="{E5355BE0-8745-4896-B486-D1F1C70DAF0C}" name="VENDOR_COMPANY" dataDxfId="104"/>
    <tableColumn id="6" xr3:uid="{88D4FC5B-3D55-48E4-B6B1-8696027CC04A}" name="SATISFIED" dataDxfId="103"/>
    <tableColumn id="7" xr3:uid="{31BD12C2-1F68-4A0E-BA66-2253B5178874}" name="CALLS_WITHIN_SLA" dataDxfId="102"/>
    <tableColumn id="8" xr3:uid="{8AC6880C-9135-406A-806A-4AD0A30957AA}" name="IS_OUTAGE?" dataDxfId="101"/>
    <tableColumn id="12" xr3:uid="{4B6FEEE2-89D1-4827-8346-AE252BF5CBDD}" name="Handled_Calls" dataDxfId="100">
      <calculatedColumnFormula>ROUND(B2, 0)</calculatedColumnFormula>
    </tableColumn>
    <tableColumn id="11" xr3:uid="{EE1FF85B-4395-455E-875F-7CAFCFFB28A7}" name="Missed_Calls" dataDxfId="99">
      <calculatedColumnFormula>ROUND(C2, 0)</calculatedColumnFormula>
    </tableColumn>
    <tableColumn id="13" xr3:uid="{51F6C484-9A10-4E0D-921D-B9BD17D56088}" name="Within_SLA" dataDxfId="98">
      <calculatedColumnFormula>ROUND(G2, 0)</calculatedColumnFormula>
    </tableColumn>
    <tableColumn id="9" xr3:uid="{6C842C84-0C22-4944-AE77-DBA5BDA4D9E6}" name="DayOfWeek" dataDxfId="97">
      <calculatedColumnFormula>TEXT(A2,"dddd")</calculatedColumnFormula>
    </tableColumn>
    <tableColumn id="10" xr3:uid="{6A9178CA-689A-455D-A55B-09AFB18ED38D}" name="Condition" dataDxfId="96">
      <calculatedColumnFormula>IF(H2=TRUE, "Outage Day", "Normal Day")</calculatedColumnFormula>
    </tableColumn>
    <tableColumn id="14" xr3:uid="{B9019247-06CF-48B6-8B82-3297894962A8}" name="Month" dataDxfId="95">
      <calculatedColumnFormula>TEXT(CleanedData[[#This Row],[DAY]], "mmm yyyy")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161D23-563C-4657-8200-CBEACA96C2AB}" name="Table5" displayName="Table5" ref="A1:E548" totalsRowShown="0">
  <tableColumns count="5">
    <tableColumn id="1" xr3:uid="{2064220B-C8C2-438D-A2D7-A63BBC795811}" name="Row Labels" dataDxfId="18"/>
    <tableColumn id="2" xr3:uid="{EDA4B2CA-0287-49DA-8B8B-FCA2247F7546}" name="Sum of Handled_Calls"/>
    <tableColumn id="3" xr3:uid="{F6A000E7-5200-4E64-B8D9-8F902C2B9440}" name="Forecast(Sum of Handled_Calls)" dataDxfId="17">
      <calculatedColumnFormula>_xlfn.FORECAST.ETS(A2,$B$2:$B$367,$A$2:$A$367,1,1)</calculatedColumnFormula>
    </tableColumn>
    <tableColumn id="4" xr3:uid="{E545D059-D284-489D-A607-0BF3CBC9370F}" name="Lower Confidence Bound(Sum of Handled_Calls)" dataDxfId="16">
      <calculatedColumnFormula>C2-_xlfn.FORECAST.ETS.CONFINT(A2,$B$2:$B$367,$A$2:$A$367,0.95,1,1)</calculatedColumnFormula>
    </tableColumn>
    <tableColumn id="5" xr3:uid="{425463D8-070D-4008-A1DD-B4B833C71BE8}" name="Upper Confidence Bound(Sum of Handled_Calls)" dataDxfId="15">
      <calculatedColumnFormula>C2+_xlfn.FORECAST.ETS.CONFINT(A2,$B$2:$B$367,$A$2:$A$367,0.95,1,1)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CDDF23-F058-4193-A40A-1504B90285EF}" name="Forecasted_2025_Data" displayName="Forecasted_2025_Data" ref="A1:F182" totalsRowShown="0" headerRowDxfId="6" tableBorderDxfId="5">
  <autoFilter ref="A1:F182" xr:uid="{2CCDDF23-F058-4193-A40A-1504B90285EF}"/>
  <tableColumns count="6">
    <tableColumn id="1" xr3:uid="{717F1AE7-839F-4E69-8EF1-BF1EFA07C9A1}" name="Row Labels" dataDxfId="4"/>
    <tableColumn id="2" xr3:uid="{0A8B652A-33B7-45A0-A484-4B5842422652}" name="Sum of Handled_Calls" dataDxfId="3"/>
    <tableColumn id="3" xr3:uid="{A4B3C6C7-1BEE-4BED-AA67-F0D73D573E6E}" name="Forecast(Sum of Handled_Calls)" dataDxfId="2"/>
    <tableColumn id="4" xr3:uid="{644B0FA8-2132-48F9-A714-3A0BA3A39F5E}" name="Lower Confidence Bound(Sum of Handled_Calls)" dataDxfId="1"/>
    <tableColumn id="5" xr3:uid="{A5A3B5DF-4F21-429C-8DF5-E27FA2A022E8}" name="Upper Confidence Bound(Sum of Handled_Calls)" dataDxfId="0"/>
    <tableColumn id="6" xr3:uid="{9328747A-58FC-4DA4-83AD-9EC3D0D0E003}" name="Month">
      <calculatedColumnFormula>TEXT(A2, "mmm-yyyy")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E4C02-6C7A-4F70-8FDA-81D4A476E18B}">
  <sheetPr>
    <tabColor theme="9" tint="0.79998168889431442"/>
  </sheetPr>
  <dimension ref="A1:B9"/>
  <sheetViews>
    <sheetView workbookViewId="0">
      <selection activeCell="F13" sqref="F13"/>
    </sheetView>
  </sheetViews>
  <sheetFormatPr defaultRowHeight="14.4" x14ac:dyDescent="0.3"/>
  <cols>
    <col min="2" max="2" width="22.33203125" bestFit="1" customWidth="1"/>
  </cols>
  <sheetData>
    <row r="1" spans="1:2" x14ac:dyDescent="0.3">
      <c r="A1" s="56" t="s">
        <v>82</v>
      </c>
      <c r="B1" s="56" t="s">
        <v>90</v>
      </c>
    </row>
    <row r="2" spans="1:2" x14ac:dyDescent="0.3">
      <c r="A2" s="57">
        <v>1</v>
      </c>
      <c r="B2" s="58" t="s">
        <v>83</v>
      </c>
    </row>
    <row r="3" spans="1:2" x14ac:dyDescent="0.3">
      <c r="A3" s="57">
        <v>2</v>
      </c>
      <c r="B3" s="58" t="s">
        <v>84</v>
      </c>
    </row>
    <row r="4" spans="1:2" x14ac:dyDescent="0.3">
      <c r="A4" s="57">
        <v>3</v>
      </c>
      <c r="B4" s="58" t="s">
        <v>85</v>
      </c>
    </row>
    <row r="5" spans="1:2" x14ac:dyDescent="0.3">
      <c r="A5" s="57">
        <v>4</v>
      </c>
      <c r="B5" s="58" t="s">
        <v>86</v>
      </c>
    </row>
    <row r="6" spans="1:2" x14ac:dyDescent="0.3">
      <c r="A6" s="57">
        <v>5</v>
      </c>
      <c r="B6" s="58" t="s">
        <v>87</v>
      </c>
    </row>
    <row r="7" spans="1:2" x14ac:dyDescent="0.3">
      <c r="A7" s="57">
        <v>6</v>
      </c>
      <c r="B7" s="58" t="s">
        <v>81</v>
      </c>
    </row>
    <row r="8" spans="1:2" x14ac:dyDescent="0.3">
      <c r="A8" s="57">
        <v>7</v>
      </c>
      <c r="B8" s="58" t="s">
        <v>88</v>
      </c>
    </row>
    <row r="9" spans="1:2" x14ac:dyDescent="0.3">
      <c r="A9" s="57">
        <v>8</v>
      </c>
      <c r="B9" s="58" t="s">
        <v>89</v>
      </c>
    </row>
  </sheetData>
  <hyperlinks>
    <hyperlink ref="B2" location="'Data Cleaning Steps'!A1" display="Data Cleansing Steps" xr:uid="{E9BD418A-A82F-47D8-9939-FC05B07B21F2}"/>
    <hyperlink ref="B3" location="'Data Cleaning Steps'!A1" display="CleanedData" xr:uid="{9C03163D-62D1-4142-A50B-9BE9DF5B1DF9}"/>
    <hyperlink ref="B4" location="'2024 Summary Metrics'!A1" display="2024 Summary Metrics" xr:uid="{1303358E-D558-4293-AED3-266099CE9D17}"/>
    <hyperlink ref="B5" location="'Charts 2024 '!A1" display="Charts 2024" xr:uid="{85416E1D-2F70-469B-B60B-A1048F4E17FB}"/>
    <hyperlink ref="B6" location="'2025 Forecast'!A1" display="2025 Forecast" xr:uid="{B6B914B6-4CA0-4A3F-9B10-A30CC78F1115}"/>
    <hyperlink ref="B7" location="'2025 Forecasted Metrics'!A1" display="2025 Forecasted Metrics" xr:uid="{5274E6E8-3EB9-4B15-8C88-598543557B68}"/>
    <hyperlink ref="B8" location="'2025 Forecasted Call Data'!A1" display="2025 Forecasted Call Data" xr:uid="{C4138FCA-0F08-4474-8EE1-FBBF7CA36996}"/>
    <hyperlink ref="B9" location="'Forecast Pivot'!A1" display="Forecast Pivot" xr:uid="{57890D9A-8AA9-4F7A-BBB6-F577C30D8A5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54304-D9DC-4597-B7E9-EE6908F76DD6}">
  <sheetPr>
    <tabColor theme="9" tint="0.79998168889431442"/>
  </sheetPr>
  <dimension ref="A1:B7"/>
  <sheetViews>
    <sheetView tabSelected="1" workbookViewId="0">
      <selection activeCell="G7" sqref="G7"/>
    </sheetView>
  </sheetViews>
  <sheetFormatPr defaultRowHeight="14.4" x14ac:dyDescent="0.3"/>
  <cols>
    <col min="1" max="1" width="8.88671875" style="8"/>
    <col min="2" max="2" width="57.33203125" bestFit="1" customWidth="1"/>
  </cols>
  <sheetData>
    <row r="1" spans="1:2" x14ac:dyDescent="0.3">
      <c r="A1" s="63" t="s">
        <v>17</v>
      </c>
      <c r="B1" s="64" t="s">
        <v>16</v>
      </c>
    </row>
    <row r="2" spans="1:2" x14ac:dyDescent="0.3">
      <c r="A2" s="9">
        <v>1</v>
      </c>
      <c r="B2" s="7" t="s">
        <v>11</v>
      </c>
    </row>
    <row r="3" spans="1:2" x14ac:dyDescent="0.3">
      <c r="A3" s="9">
        <v>2</v>
      </c>
      <c r="B3" s="7" t="s">
        <v>12</v>
      </c>
    </row>
    <row r="4" spans="1:2" x14ac:dyDescent="0.3">
      <c r="A4" s="9">
        <v>3</v>
      </c>
      <c r="B4" s="7" t="s">
        <v>13</v>
      </c>
    </row>
    <row r="5" spans="1:2" x14ac:dyDescent="0.3">
      <c r="A5" s="9">
        <v>4</v>
      </c>
      <c r="B5" s="7" t="s">
        <v>14</v>
      </c>
    </row>
    <row r="6" spans="1:2" ht="86.4" x14ac:dyDescent="0.3">
      <c r="A6" s="9"/>
      <c r="B6" s="16" t="s">
        <v>91</v>
      </c>
    </row>
    <row r="7" spans="1:2" x14ac:dyDescent="0.3">
      <c r="A7" s="9">
        <v>5</v>
      </c>
      <c r="B7" s="7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A58E-C7B7-4CC7-8A5B-217EAE474E5E}">
  <sheetPr>
    <tabColor theme="7" tint="0.79998168889431442"/>
  </sheetPr>
  <dimension ref="A1:N1598"/>
  <sheetViews>
    <sheetView topLeftCell="A412" workbookViewId="0">
      <selection activeCell="N2" sqref="N2"/>
    </sheetView>
  </sheetViews>
  <sheetFormatPr defaultRowHeight="14.4" x14ac:dyDescent="0.3"/>
  <cols>
    <col min="2" max="2" width="18.33203125" style="6" customWidth="1"/>
    <col min="3" max="3" width="16.33203125" style="6" customWidth="1"/>
    <col min="4" max="4" width="9.44140625" customWidth="1"/>
    <col min="5" max="5" width="20.88671875" customWidth="1"/>
    <col min="6" max="6" width="12.21875" style="11" customWidth="1"/>
    <col min="7" max="7" width="20.109375" style="6" customWidth="1"/>
    <col min="8" max="11" width="12.5546875" customWidth="1"/>
    <col min="12" max="12" width="12.109375" customWidth="1"/>
    <col min="13" max="13" width="10.5546875" customWidth="1"/>
  </cols>
  <sheetData>
    <row r="1" spans="1:14" s="28" customFormat="1" x14ac:dyDescent="0.3">
      <c r="A1" s="22" t="s">
        <v>0</v>
      </c>
      <c r="B1" s="23" t="s">
        <v>23</v>
      </c>
      <c r="C1" s="23" t="s">
        <v>24</v>
      </c>
      <c r="D1" s="23" t="s">
        <v>1</v>
      </c>
      <c r="E1" s="23" t="s">
        <v>2</v>
      </c>
      <c r="F1" s="23" t="s">
        <v>3</v>
      </c>
      <c r="G1" s="24" t="s">
        <v>25</v>
      </c>
      <c r="H1" s="25" t="s">
        <v>26</v>
      </c>
      <c r="I1" s="26" t="s">
        <v>31</v>
      </c>
      <c r="J1" s="26" t="s">
        <v>27</v>
      </c>
      <c r="K1" s="26" t="s">
        <v>29</v>
      </c>
      <c r="L1" s="26" t="s">
        <v>4</v>
      </c>
      <c r="M1" s="27" t="s">
        <v>5</v>
      </c>
      <c r="N1" s="27" t="s">
        <v>65</v>
      </c>
    </row>
    <row r="2" spans="1:14" x14ac:dyDescent="0.3">
      <c r="A2" s="5">
        <v>45292</v>
      </c>
      <c r="B2" s="12">
        <v>1060.5</v>
      </c>
      <c r="C2" s="12">
        <v>73.5</v>
      </c>
      <c r="D2" s="2" t="s">
        <v>6</v>
      </c>
      <c r="E2" s="2" t="s">
        <v>7</v>
      </c>
      <c r="F2" s="1">
        <v>460</v>
      </c>
      <c r="G2" s="13">
        <v>986.98602873487505</v>
      </c>
      <c r="H2" s="14" t="b">
        <v>1</v>
      </c>
      <c r="I2" s="15">
        <f t="shared" ref="I2:J65" si="0">ROUND(B2, 0)</f>
        <v>1061</v>
      </c>
      <c r="J2" s="15">
        <f t="shared" si="0"/>
        <v>74</v>
      </c>
      <c r="K2" s="15">
        <f t="shared" ref="K2:K65" si="1">ROUND(G2, 0)</f>
        <v>987</v>
      </c>
      <c r="L2" s="3" t="str">
        <f>TEXT(A2,"dddd")</f>
        <v>Monday</v>
      </c>
      <c r="M2" s="4" t="str">
        <f>IF(H2=TRUE, "Outage Day", "Normal Day")</f>
        <v>Outage Day</v>
      </c>
      <c r="N2" s="4" t="str">
        <f>TEXT(CleanedData[[#This Row],[DAY]], "mmm yyyy")</f>
        <v>Jan 2024</v>
      </c>
    </row>
    <row r="3" spans="1:14" x14ac:dyDescent="0.3">
      <c r="A3" s="5">
        <v>45292</v>
      </c>
      <c r="B3" s="12">
        <v>2151</v>
      </c>
      <c r="C3" s="12">
        <v>73.5</v>
      </c>
      <c r="D3" s="2" t="s">
        <v>6</v>
      </c>
      <c r="E3" s="2" t="s">
        <v>8</v>
      </c>
      <c r="F3" s="1">
        <v>235</v>
      </c>
      <c r="G3" s="13">
        <v>1789.6952540268494</v>
      </c>
      <c r="H3" s="14" t="b">
        <v>0</v>
      </c>
      <c r="I3" s="15">
        <f t="shared" si="0"/>
        <v>2151</v>
      </c>
      <c r="J3" s="15">
        <f t="shared" si="0"/>
        <v>74</v>
      </c>
      <c r="K3" s="15">
        <f t="shared" si="1"/>
        <v>1790</v>
      </c>
      <c r="L3" s="3" t="str">
        <f t="shared" ref="L3:L66" si="2">TEXT(A3,"dddd")</f>
        <v>Monday</v>
      </c>
      <c r="M3" s="4" t="str">
        <f t="shared" ref="M3:M66" si="3">IF(H3=TRUE, "Outage Day", "Normal Day")</f>
        <v>Normal Day</v>
      </c>
      <c r="N3" s="4" t="str">
        <f>TEXT(CleanedData[[#This Row],[DAY]], "mmm yyyy")</f>
        <v>Jan 2024</v>
      </c>
    </row>
    <row r="4" spans="1:14" x14ac:dyDescent="0.3">
      <c r="A4" s="5">
        <v>45292</v>
      </c>
      <c r="B4" s="12">
        <v>6667.5</v>
      </c>
      <c r="C4" s="12">
        <v>322.5</v>
      </c>
      <c r="D4" s="2" t="s">
        <v>9</v>
      </c>
      <c r="E4" s="2" t="s">
        <v>8</v>
      </c>
      <c r="F4" s="1">
        <v>4297</v>
      </c>
      <c r="G4" s="13">
        <v>6214.1451229807753</v>
      </c>
      <c r="H4" s="14" t="b">
        <v>0</v>
      </c>
      <c r="I4" s="15">
        <f t="shared" si="0"/>
        <v>6668</v>
      </c>
      <c r="J4" s="15">
        <f t="shared" si="0"/>
        <v>323</v>
      </c>
      <c r="K4" s="15">
        <f t="shared" si="1"/>
        <v>6214</v>
      </c>
      <c r="L4" s="3" t="str">
        <f t="shared" si="2"/>
        <v>Monday</v>
      </c>
      <c r="M4" s="4" t="str">
        <f t="shared" si="3"/>
        <v>Normal Day</v>
      </c>
      <c r="N4" s="4" t="str">
        <f>TEXT(CleanedData[[#This Row],[DAY]], "mmm yyyy")</f>
        <v>Jan 2024</v>
      </c>
    </row>
    <row r="5" spans="1:14" x14ac:dyDescent="0.3">
      <c r="A5" s="5">
        <v>45292</v>
      </c>
      <c r="B5" s="12">
        <v>10255.5</v>
      </c>
      <c r="C5" s="12">
        <v>63</v>
      </c>
      <c r="D5" s="2" t="s">
        <v>10</v>
      </c>
      <c r="E5" s="2" t="s">
        <v>7</v>
      </c>
      <c r="F5" s="1">
        <v>4099</v>
      </c>
      <c r="G5" s="13">
        <v>9004.283722708622</v>
      </c>
      <c r="H5" s="14" t="b">
        <v>1</v>
      </c>
      <c r="I5" s="15">
        <f t="shared" si="0"/>
        <v>10256</v>
      </c>
      <c r="J5" s="15">
        <f t="shared" si="0"/>
        <v>63</v>
      </c>
      <c r="K5" s="15">
        <f t="shared" si="1"/>
        <v>9004</v>
      </c>
      <c r="L5" s="3" t="str">
        <f t="shared" si="2"/>
        <v>Monday</v>
      </c>
      <c r="M5" s="4" t="str">
        <f t="shared" si="3"/>
        <v>Outage Day</v>
      </c>
      <c r="N5" s="4" t="str">
        <f>TEXT(CleanedData[[#This Row],[DAY]], "mmm yyyy")</f>
        <v>Jan 2024</v>
      </c>
    </row>
    <row r="6" spans="1:14" x14ac:dyDescent="0.3">
      <c r="A6" s="5">
        <v>45293</v>
      </c>
      <c r="B6" s="12">
        <v>718.5</v>
      </c>
      <c r="C6" s="12">
        <v>13.5</v>
      </c>
      <c r="D6" s="2" t="s">
        <v>6</v>
      </c>
      <c r="E6" s="2" t="s">
        <v>7</v>
      </c>
      <c r="F6" s="1">
        <v>125</v>
      </c>
      <c r="G6" s="13">
        <v>650.91478347676673</v>
      </c>
      <c r="H6" s="14" t="b">
        <v>1</v>
      </c>
      <c r="I6" s="15">
        <f t="shared" si="0"/>
        <v>719</v>
      </c>
      <c r="J6" s="15">
        <f t="shared" si="0"/>
        <v>14</v>
      </c>
      <c r="K6" s="15">
        <f t="shared" si="1"/>
        <v>651</v>
      </c>
      <c r="L6" s="3" t="str">
        <f t="shared" si="2"/>
        <v>Tuesday</v>
      </c>
      <c r="M6" s="4" t="str">
        <f t="shared" si="3"/>
        <v>Outage Day</v>
      </c>
      <c r="N6" s="4" t="str">
        <f>TEXT(CleanedData[[#This Row],[DAY]], "mmm yyyy")</f>
        <v>Jan 2024</v>
      </c>
    </row>
    <row r="7" spans="1:14" x14ac:dyDescent="0.3">
      <c r="A7" s="5">
        <v>45293</v>
      </c>
      <c r="B7" s="12">
        <v>1266</v>
      </c>
      <c r="C7" s="12">
        <v>13.5</v>
      </c>
      <c r="D7" s="2" t="s">
        <v>6</v>
      </c>
      <c r="E7" s="2" t="s">
        <v>8</v>
      </c>
      <c r="F7" s="1">
        <v>240</v>
      </c>
      <c r="G7" s="13">
        <v>1037.6618812537811</v>
      </c>
      <c r="H7" s="14" t="b">
        <v>1</v>
      </c>
      <c r="I7" s="15">
        <f t="shared" si="0"/>
        <v>1266</v>
      </c>
      <c r="J7" s="15">
        <f t="shared" si="0"/>
        <v>14</v>
      </c>
      <c r="K7" s="15">
        <f t="shared" si="1"/>
        <v>1038</v>
      </c>
      <c r="L7" s="3" t="str">
        <f t="shared" si="2"/>
        <v>Tuesday</v>
      </c>
      <c r="M7" s="4" t="str">
        <f t="shared" si="3"/>
        <v>Outage Day</v>
      </c>
      <c r="N7" s="4" t="str">
        <f>TEXT(CleanedData[[#This Row],[DAY]], "mmm yyyy")</f>
        <v>Jan 2024</v>
      </c>
    </row>
    <row r="8" spans="1:14" x14ac:dyDescent="0.3">
      <c r="A8" s="5">
        <v>45293</v>
      </c>
      <c r="B8" s="12">
        <v>5535</v>
      </c>
      <c r="C8" s="12">
        <v>16.5</v>
      </c>
      <c r="D8" s="2" t="s">
        <v>9</v>
      </c>
      <c r="E8" s="2" t="s">
        <v>8</v>
      </c>
      <c r="F8" s="1">
        <v>589</v>
      </c>
      <c r="G8" s="13">
        <v>4895.3239018309114</v>
      </c>
      <c r="H8" s="14" t="b">
        <v>1</v>
      </c>
      <c r="I8" s="15">
        <f t="shared" si="0"/>
        <v>5535</v>
      </c>
      <c r="J8" s="15">
        <f t="shared" si="0"/>
        <v>17</v>
      </c>
      <c r="K8" s="15">
        <f t="shared" si="1"/>
        <v>4895</v>
      </c>
      <c r="L8" s="3" t="str">
        <f t="shared" si="2"/>
        <v>Tuesday</v>
      </c>
      <c r="M8" s="4" t="str">
        <f t="shared" si="3"/>
        <v>Outage Day</v>
      </c>
      <c r="N8" s="4" t="str">
        <f>TEXT(CleanedData[[#This Row],[DAY]], "mmm yyyy")</f>
        <v>Jan 2024</v>
      </c>
    </row>
    <row r="9" spans="1:14" x14ac:dyDescent="0.3">
      <c r="A9" s="5">
        <v>45293</v>
      </c>
      <c r="B9" s="12">
        <v>7809</v>
      </c>
      <c r="C9" s="12">
        <v>201</v>
      </c>
      <c r="D9" s="2" t="s">
        <v>10</v>
      </c>
      <c r="E9" s="2" t="s">
        <v>7</v>
      </c>
      <c r="F9" s="1">
        <v>4876</v>
      </c>
      <c r="G9" s="13">
        <v>6974.3103062720647</v>
      </c>
      <c r="H9" s="14" t="b">
        <v>1</v>
      </c>
      <c r="I9" s="15">
        <f t="shared" si="0"/>
        <v>7809</v>
      </c>
      <c r="J9" s="15">
        <f t="shared" si="0"/>
        <v>201</v>
      </c>
      <c r="K9" s="15">
        <f t="shared" si="1"/>
        <v>6974</v>
      </c>
      <c r="L9" s="3" t="str">
        <f t="shared" si="2"/>
        <v>Tuesday</v>
      </c>
      <c r="M9" s="4" t="str">
        <f t="shared" si="3"/>
        <v>Outage Day</v>
      </c>
      <c r="N9" s="4" t="str">
        <f>TEXT(CleanedData[[#This Row],[DAY]], "mmm yyyy")</f>
        <v>Jan 2024</v>
      </c>
    </row>
    <row r="10" spans="1:14" x14ac:dyDescent="0.3">
      <c r="A10" s="5">
        <v>45294</v>
      </c>
      <c r="B10" s="12">
        <v>1.5</v>
      </c>
      <c r="C10" s="12">
        <v>0</v>
      </c>
      <c r="D10" s="2" t="s">
        <v>9</v>
      </c>
      <c r="E10" s="2" t="s">
        <v>7</v>
      </c>
      <c r="F10" s="1">
        <v>1</v>
      </c>
      <c r="G10" s="13">
        <v>1.3579656700428258</v>
      </c>
      <c r="H10" s="14" t="b">
        <v>0</v>
      </c>
      <c r="I10" s="15">
        <f t="shared" si="0"/>
        <v>2</v>
      </c>
      <c r="J10" s="15">
        <f t="shared" si="0"/>
        <v>0</v>
      </c>
      <c r="K10" s="15">
        <f t="shared" si="1"/>
        <v>1</v>
      </c>
      <c r="L10" s="3" t="str">
        <f t="shared" si="2"/>
        <v>Wednesday</v>
      </c>
      <c r="M10" s="4" t="str">
        <f t="shared" si="3"/>
        <v>Normal Day</v>
      </c>
      <c r="N10" s="4" t="str">
        <f>TEXT(CleanedData[[#This Row],[DAY]], "mmm yyyy")</f>
        <v>Jan 2024</v>
      </c>
    </row>
    <row r="11" spans="1:14" x14ac:dyDescent="0.3">
      <c r="A11" s="5">
        <v>45294</v>
      </c>
      <c r="B11" s="12">
        <v>3</v>
      </c>
      <c r="C11" s="12">
        <v>0</v>
      </c>
      <c r="D11" s="2" t="s">
        <v>10</v>
      </c>
      <c r="E11" s="2" t="s">
        <v>8</v>
      </c>
      <c r="F11" s="1">
        <v>1</v>
      </c>
      <c r="G11" s="13">
        <v>2.6241478024560152</v>
      </c>
      <c r="H11" s="14" t="b">
        <v>0</v>
      </c>
      <c r="I11" s="15">
        <f t="shared" si="0"/>
        <v>3</v>
      </c>
      <c r="J11" s="15">
        <f t="shared" si="0"/>
        <v>0</v>
      </c>
      <c r="K11" s="15">
        <f t="shared" si="1"/>
        <v>3</v>
      </c>
      <c r="L11" s="3" t="str">
        <f t="shared" si="2"/>
        <v>Wednesday</v>
      </c>
      <c r="M11" s="4" t="str">
        <f t="shared" si="3"/>
        <v>Normal Day</v>
      </c>
      <c r="N11" s="4" t="str">
        <f>TEXT(CleanedData[[#This Row],[DAY]], "mmm yyyy")</f>
        <v>Jan 2024</v>
      </c>
    </row>
    <row r="12" spans="1:14" x14ac:dyDescent="0.3">
      <c r="A12" s="5">
        <v>45294</v>
      </c>
      <c r="B12" s="12">
        <v>1171.5</v>
      </c>
      <c r="C12" s="12">
        <v>66</v>
      </c>
      <c r="D12" s="2" t="s">
        <v>6</v>
      </c>
      <c r="E12" s="2" t="s">
        <v>7</v>
      </c>
      <c r="F12" s="1">
        <v>438</v>
      </c>
      <c r="G12" s="13">
        <v>1119.1274016295008</v>
      </c>
      <c r="H12" s="14" t="b">
        <v>0</v>
      </c>
      <c r="I12" s="15">
        <f t="shared" si="0"/>
        <v>1172</v>
      </c>
      <c r="J12" s="15">
        <f t="shared" si="0"/>
        <v>66</v>
      </c>
      <c r="K12" s="15">
        <f t="shared" si="1"/>
        <v>1119</v>
      </c>
      <c r="L12" s="3" t="str">
        <f t="shared" si="2"/>
        <v>Wednesday</v>
      </c>
      <c r="M12" s="4" t="str">
        <f t="shared" si="3"/>
        <v>Normal Day</v>
      </c>
      <c r="N12" s="4" t="str">
        <f>TEXT(CleanedData[[#This Row],[DAY]], "mmm yyyy")</f>
        <v>Jan 2024</v>
      </c>
    </row>
    <row r="13" spans="1:14" x14ac:dyDescent="0.3">
      <c r="A13" s="5">
        <v>45294</v>
      </c>
      <c r="B13" s="12">
        <v>1423.5</v>
      </c>
      <c r="C13" s="12">
        <v>66</v>
      </c>
      <c r="D13" s="2" t="s">
        <v>6</v>
      </c>
      <c r="E13" s="2" t="s">
        <v>8</v>
      </c>
      <c r="F13" s="1">
        <v>621</v>
      </c>
      <c r="G13" s="13">
        <v>1275.5733028447851</v>
      </c>
      <c r="H13" s="14" t="b">
        <v>0</v>
      </c>
      <c r="I13" s="15">
        <f t="shared" si="0"/>
        <v>1424</v>
      </c>
      <c r="J13" s="15">
        <f t="shared" si="0"/>
        <v>66</v>
      </c>
      <c r="K13" s="15">
        <f t="shared" si="1"/>
        <v>1276</v>
      </c>
      <c r="L13" s="3" t="str">
        <f t="shared" si="2"/>
        <v>Wednesday</v>
      </c>
      <c r="M13" s="4" t="str">
        <f t="shared" si="3"/>
        <v>Normal Day</v>
      </c>
      <c r="N13" s="4" t="str">
        <f>TEXT(CleanedData[[#This Row],[DAY]], "mmm yyyy")</f>
        <v>Jan 2024</v>
      </c>
    </row>
    <row r="14" spans="1:14" x14ac:dyDescent="0.3">
      <c r="A14" s="5">
        <v>45294</v>
      </c>
      <c r="B14" s="12">
        <v>5545.5</v>
      </c>
      <c r="C14" s="12">
        <v>195</v>
      </c>
      <c r="D14" s="2" t="s">
        <v>9</v>
      </c>
      <c r="E14" s="2" t="s">
        <v>8</v>
      </c>
      <c r="F14" s="1">
        <v>2321</v>
      </c>
      <c r="G14" s="13">
        <v>4935.3677261159064</v>
      </c>
      <c r="H14" s="14" t="b">
        <v>0</v>
      </c>
      <c r="I14" s="15">
        <f t="shared" si="0"/>
        <v>5546</v>
      </c>
      <c r="J14" s="15">
        <f t="shared" si="0"/>
        <v>195</v>
      </c>
      <c r="K14" s="15">
        <f t="shared" si="1"/>
        <v>4935</v>
      </c>
      <c r="L14" s="3" t="str">
        <f t="shared" si="2"/>
        <v>Wednesday</v>
      </c>
      <c r="M14" s="4" t="str">
        <f t="shared" si="3"/>
        <v>Normal Day</v>
      </c>
      <c r="N14" s="4" t="str">
        <f>TEXT(CleanedData[[#This Row],[DAY]], "mmm yyyy")</f>
        <v>Jan 2024</v>
      </c>
    </row>
    <row r="15" spans="1:14" x14ac:dyDescent="0.3">
      <c r="A15" s="5">
        <v>45294</v>
      </c>
      <c r="B15" s="12">
        <v>7672.5</v>
      </c>
      <c r="C15" s="12">
        <v>60</v>
      </c>
      <c r="D15" s="2" t="s">
        <v>10</v>
      </c>
      <c r="E15" s="2" t="s">
        <v>7</v>
      </c>
      <c r="F15" s="1">
        <v>4862</v>
      </c>
      <c r="G15" s="13">
        <v>7036.9695781836599</v>
      </c>
      <c r="H15" s="14" t="b">
        <v>0</v>
      </c>
      <c r="I15" s="15">
        <f t="shared" si="0"/>
        <v>7673</v>
      </c>
      <c r="J15" s="15">
        <f t="shared" si="0"/>
        <v>60</v>
      </c>
      <c r="K15" s="15">
        <f t="shared" si="1"/>
        <v>7037</v>
      </c>
      <c r="L15" s="3" t="str">
        <f t="shared" si="2"/>
        <v>Wednesday</v>
      </c>
      <c r="M15" s="4" t="str">
        <f t="shared" si="3"/>
        <v>Normal Day</v>
      </c>
      <c r="N15" s="4" t="str">
        <f>TEXT(CleanedData[[#This Row],[DAY]], "mmm yyyy")</f>
        <v>Jan 2024</v>
      </c>
    </row>
    <row r="16" spans="1:14" x14ac:dyDescent="0.3">
      <c r="A16" s="5">
        <v>45295</v>
      </c>
      <c r="B16" s="12">
        <v>739.5</v>
      </c>
      <c r="C16" s="12">
        <v>48</v>
      </c>
      <c r="D16" s="2" t="s">
        <v>6</v>
      </c>
      <c r="E16" s="2" t="s">
        <v>7</v>
      </c>
      <c r="F16" s="1">
        <v>480</v>
      </c>
      <c r="G16" s="13">
        <v>695.79148712497431</v>
      </c>
      <c r="H16" s="14" t="b">
        <v>0</v>
      </c>
      <c r="I16" s="15">
        <f t="shared" si="0"/>
        <v>740</v>
      </c>
      <c r="J16" s="15">
        <f t="shared" si="0"/>
        <v>48</v>
      </c>
      <c r="K16" s="15">
        <f t="shared" si="1"/>
        <v>696</v>
      </c>
      <c r="L16" s="3" t="str">
        <f t="shared" si="2"/>
        <v>Thursday</v>
      </c>
      <c r="M16" s="4" t="str">
        <f t="shared" si="3"/>
        <v>Normal Day</v>
      </c>
      <c r="N16" s="4" t="str">
        <f>TEXT(CleanedData[[#This Row],[DAY]], "mmm yyyy")</f>
        <v>Jan 2024</v>
      </c>
    </row>
    <row r="17" spans="1:14" x14ac:dyDescent="0.3">
      <c r="A17" s="5">
        <v>45295</v>
      </c>
      <c r="B17" s="12">
        <v>1483.5</v>
      </c>
      <c r="C17" s="12">
        <v>48</v>
      </c>
      <c r="D17" s="2" t="s">
        <v>6</v>
      </c>
      <c r="E17" s="2" t="s">
        <v>8</v>
      </c>
      <c r="F17" s="1">
        <v>491</v>
      </c>
      <c r="G17" s="13">
        <v>1290.352833803815</v>
      </c>
      <c r="H17" s="14" t="b">
        <v>0</v>
      </c>
      <c r="I17" s="15">
        <f t="shared" si="0"/>
        <v>1484</v>
      </c>
      <c r="J17" s="15">
        <f t="shared" si="0"/>
        <v>48</v>
      </c>
      <c r="K17" s="15">
        <f t="shared" si="1"/>
        <v>1290</v>
      </c>
      <c r="L17" s="3" t="str">
        <f t="shared" si="2"/>
        <v>Thursday</v>
      </c>
      <c r="M17" s="4" t="str">
        <f t="shared" si="3"/>
        <v>Normal Day</v>
      </c>
      <c r="N17" s="4" t="str">
        <f>TEXT(CleanedData[[#This Row],[DAY]], "mmm yyyy")</f>
        <v>Jan 2024</v>
      </c>
    </row>
    <row r="18" spans="1:14" x14ac:dyDescent="0.3">
      <c r="A18" s="5">
        <v>45295</v>
      </c>
      <c r="B18" s="12">
        <v>4767</v>
      </c>
      <c r="C18" s="12">
        <v>102</v>
      </c>
      <c r="D18" s="2" t="s">
        <v>9</v>
      </c>
      <c r="E18" s="2" t="s">
        <v>8</v>
      </c>
      <c r="F18" s="1">
        <v>261</v>
      </c>
      <c r="G18" s="13">
        <v>4054.0162950818062</v>
      </c>
      <c r="H18" s="14" t="b">
        <v>0</v>
      </c>
      <c r="I18" s="15">
        <f t="shared" si="0"/>
        <v>4767</v>
      </c>
      <c r="J18" s="15">
        <f t="shared" si="0"/>
        <v>102</v>
      </c>
      <c r="K18" s="15">
        <f t="shared" si="1"/>
        <v>4054</v>
      </c>
      <c r="L18" s="3" t="str">
        <f t="shared" si="2"/>
        <v>Thursday</v>
      </c>
      <c r="M18" s="4" t="str">
        <f t="shared" si="3"/>
        <v>Normal Day</v>
      </c>
      <c r="N18" s="4" t="str">
        <f>TEXT(CleanedData[[#This Row],[DAY]], "mmm yyyy")</f>
        <v>Jan 2024</v>
      </c>
    </row>
    <row r="19" spans="1:14" x14ac:dyDescent="0.3">
      <c r="A19" s="5">
        <v>45295</v>
      </c>
      <c r="B19" s="12">
        <v>9540</v>
      </c>
      <c r="C19" s="12">
        <v>480</v>
      </c>
      <c r="D19" s="2" t="s">
        <v>10</v>
      </c>
      <c r="E19" s="2" t="s">
        <v>7</v>
      </c>
      <c r="F19" s="1">
        <v>1886</v>
      </c>
      <c r="G19" s="13">
        <v>8974.8995634941984</v>
      </c>
      <c r="H19" s="14" t="b">
        <v>0</v>
      </c>
      <c r="I19" s="15">
        <f t="shared" si="0"/>
        <v>9540</v>
      </c>
      <c r="J19" s="15">
        <f t="shared" si="0"/>
        <v>480</v>
      </c>
      <c r="K19" s="15">
        <f t="shared" si="1"/>
        <v>8975</v>
      </c>
      <c r="L19" s="3" t="str">
        <f t="shared" si="2"/>
        <v>Thursday</v>
      </c>
      <c r="M19" s="4" t="str">
        <f t="shared" si="3"/>
        <v>Normal Day</v>
      </c>
      <c r="N19" s="4" t="str">
        <f>TEXT(CleanedData[[#This Row],[DAY]], "mmm yyyy")</f>
        <v>Jan 2024</v>
      </c>
    </row>
    <row r="20" spans="1:14" x14ac:dyDescent="0.3">
      <c r="A20" s="5">
        <v>45296</v>
      </c>
      <c r="B20" s="12">
        <v>1275</v>
      </c>
      <c r="C20" s="12">
        <v>82.5</v>
      </c>
      <c r="D20" s="2" t="s">
        <v>6</v>
      </c>
      <c r="E20" s="2" t="s">
        <v>7</v>
      </c>
      <c r="F20" s="1">
        <v>27</v>
      </c>
      <c r="G20" s="13">
        <v>1253.5035052404066</v>
      </c>
      <c r="H20" s="14" t="b">
        <v>0</v>
      </c>
      <c r="I20" s="15">
        <f t="shared" si="0"/>
        <v>1275</v>
      </c>
      <c r="J20" s="15">
        <f t="shared" si="0"/>
        <v>83</v>
      </c>
      <c r="K20" s="15">
        <f t="shared" si="1"/>
        <v>1254</v>
      </c>
      <c r="L20" s="3" t="str">
        <f t="shared" si="2"/>
        <v>Friday</v>
      </c>
      <c r="M20" s="4" t="str">
        <f t="shared" si="3"/>
        <v>Normal Day</v>
      </c>
      <c r="N20" s="4" t="str">
        <f>TEXT(CleanedData[[#This Row],[DAY]], "mmm yyyy")</f>
        <v>Jan 2024</v>
      </c>
    </row>
    <row r="21" spans="1:14" x14ac:dyDescent="0.3">
      <c r="A21" s="5">
        <v>45296</v>
      </c>
      <c r="B21" s="12">
        <v>1336.5</v>
      </c>
      <c r="C21" s="12">
        <v>82.5</v>
      </c>
      <c r="D21" s="2" t="s">
        <v>6</v>
      </c>
      <c r="E21" s="2" t="s">
        <v>8</v>
      </c>
      <c r="F21" s="1">
        <v>433</v>
      </c>
      <c r="G21" s="13">
        <v>1222.13735368941</v>
      </c>
      <c r="H21" s="14" t="b">
        <v>0</v>
      </c>
      <c r="I21" s="15">
        <f t="shared" si="0"/>
        <v>1337</v>
      </c>
      <c r="J21" s="15">
        <f t="shared" si="0"/>
        <v>83</v>
      </c>
      <c r="K21" s="15">
        <f t="shared" si="1"/>
        <v>1222</v>
      </c>
      <c r="L21" s="3" t="str">
        <f t="shared" si="2"/>
        <v>Friday</v>
      </c>
      <c r="M21" s="4" t="str">
        <f t="shared" si="3"/>
        <v>Normal Day</v>
      </c>
      <c r="N21" s="4" t="str">
        <f>TEXT(CleanedData[[#This Row],[DAY]], "mmm yyyy")</f>
        <v>Jan 2024</v>
      </c>
    </row>
    <row r="22" spans="1:14" x14ac:dyDescent="0.3">
      <c r="A22" s="5">
        <v>45296</v>
      </c>
      <c r="B22" s="12">
        <v>5475</v>
      </c>
      <c r="C22" s="12">
        <v>40.5</v>
      </c>
      <c r="D22" s="2" t="s">
        <v>9</v>
      </c>
      <c r="E22" s="2" t="s">
        <v>8</v>
      </c>
      <c r="F22" s="1">
        <v>1861</v>
      </c>
      <c r="G22" s="13">
        <v>4813.8667312763009</v>
      </c>
      <c r="H22" s="14" t="b">
        <v>0</v>
      </c>
      <c r="I22" s="15">
        <f t="shared" si="0"/>
        <v>5475</v>
      </c>
      <c r="J22" s="15">
        <f t="shared" si="0"/>
        <v>41</v>
      </c>
      <c r="K22" s="15">
        <f t="shared" si="1"/>
        <v>4814</v>
      </c>
      <c r="L22" s="3" t="str">
        <f t="shared" si="2"/>
        <v>Friday</v>
      </c>
      <c r="M22" s="4" t="str">
        <f t="shared" si="3"/>
        <v>Normal Day</v>
      </c>
      <c r="N22" s="4" t="str">
        <f>TEXT(CleanedData[[#This Row],[DAY]], "mmm yyyy")</f>
        <v>Jan 2024</v>
      </c>
    </row>
    <row r="23" spans="1:14" x14ac:dyDescent="0.3">
      <c r="A23" s="5">
        <v>45296</v>
      </c>
      <c r="B23" s="12">
        <v>8536.5</v>
      </c>
      <c r="C23" s="12">
        <v>415.5</v>
      </c>
      <c r="D23" s="2" t="s">
        <v>10</v>
      </c>
      <c r="E23" s="2" t="s">
        <v>7</v>
      </c>
      <c r="F23" s="1">
        <v>2932</v>
      </c>
      <c r="G23" s="13">
        <v>8013.4988897244393</v>
      </c>
      <c r="H23" s="14" t="b">
        <v>0</v>
      </c>
      <c r="I23" s="15">
        <f t="shared" si="0"/>
        <v>8537</v>
      </c>
      <c r="J23" s="15">
        <f t="shared" si="0"/>
        <v>416</v>
      </c>
      <c r="K23" s="15">
        <f t="shared" si="1"/>
        <v>8013</v>
      </c>
      <c r="L23" s="3" t="str">
        <f t="shared" si="2"/>
        <v>Friday</v>
      </c>
      <c r="M23" s="4" t="str">
        <f t="shared" si="3"/>
        <v>Normal Day</v>
      </c>
      <c r="N23" s="4" t="str">
        <f>TEXT(CleanedData[[#This Row],[DAY]], "mmm yyyy")</f>
        <v>Jan 2024</v>
      </c>
    </row>
    <row r="24" spans="1:14" x14ac:dyDescent="0.3">
      <c r="A24" s="5">
        <v>45297</v>
      </c>
      <c r="B24" s="12">
        <v>1.5</v>
      </c>
      <c r="C24" s="12">
        <v>1.5</v>
      </c>
      <c r="D24" s="2" t="s">
        <v>10</v>
      </c>
      <c r="E24" s="2" t="s">
        <v>8</v>
      </c>
      <c r="F24" s="1">
        <v>1</v>
      </c>
      <c r="G24" s="13">
        <v>2.4279332149009472</v>
      </c>
      <c r="H24" s="14" t="b">
        <v>0</v>
      </c>
      <c r="I24" s="15">
        <f t="shared" si="0"/>
        <v>2</v>
      </c>
      <c r="J24" s="15">
        <f t="shared" si="0"/>
        <v>2</v>
      </c>
      <c r="K24" s="15">
        <f t="shared" si="1"/>
        <v>2</v>
      </c>
      <c r="L24" s="3" t="str">
        <f t="shared" si="2"/>
        <v>Saturday</v>
      </c>
      <c r="M24" s="4" t="str">
        <f t="shared" si="3"/>
        <v>Normal Day</v>
      </c>
      <c r="N24" s="4" t="str">
        <f>TEXT(CleanedData[[#This Row],[DAY]], "mmm yyyy")</f>
        <v>Jan 2024</v>
      </c>
    </row>
    <row r="25" spans="1:14" x14ac:dyDescent="0.3">
      <c r="A25" s="5">
        <v>45297</v>
      </c>
      <c r="B25" s="12">
        <v>1288.5</v>
      </c>
      <c r="C25" s="12">
        <v>60</v>
      </c>
      <c r="D25" s="2" t="s">
        <v>6</v>
      </c>
      <c r="E25" s="2" t="s">
        <v>8</v>
      </c>
      <c r="F25" s="1">
        <v>557</v>
      </c>
      <c r="G25" s="13">
        <v>1140.642797974363</v>
      </c>
      <c r="H25" s="14" t="b">
        <v>0</v>
      </c>
      <c r="I25" s="15">
        <f t="shared" si="0"/>
        <v>1289</v>
      </c>
      <c r="J25" s="15">
        <f t="shared" si="0"/>
        <v>60</v>
      </c>
      <c r="K25" s="15">
        <f t="shared" si="1"/>
        <v>1141</v>
      </c>
      <c r="L25" s="3" t="str">
        <f t="shared" si="2"/>
        <v>Saturday</v>
      </c>
      <c r="M25" s="4" t="str">
        <f t="shared" si="3"/>
        <v>Normal Day</v>
      </c>
      <c r="N25" s="4" t="str">
        <f>TEXT(CleanedData[[#This Row],[DAY]], "mmm yyyy")</f>
        <v>Jan 2024</v>
      </c>
    </row>
    <row r="26" spans="1:14" x14ac:dyDescent="0.3">
      <c r="A26" s="5">
        <v>45297</v>
      </c>
      <c r="B26" s="12">
        <v>1518</v>
      </c>
      <c r="C26" s="12">
        <v>60</v>
      </c>
      <c r="D26" s="2" t="s">
        <v>6</v>
      </c>
      <c r="E26" s="2" t="s">
        <v>7</v>
      </c>
      <c r="F26" s="1">
        <v>170</v>
      </c>
      <c r="G26" s="13">
        <v>1384.549627456425</v>
      </c>
      <c r="H26" s="14" t="b">
        <v>0</v>
      </c>
      <c r="I26" s="15">
        <f t="shared" si="0"/>
        <v>1518</v>
      </c>
      <c r="J26" s="15">
        <f t="shared" si="0"/>
        <v>60</v>
      </c>
      <c r="K26" s="15">
        <f t="shared" si="1"/>
        <v>1385</v>
      </c>
      <c r="L26" s="3" t="str">
        <f t="shared" si="2"/>
        <v>Saturday</v>
      </c>
      <c r="M26" s="4" t="str">
        <f t="shared" si="3"/>
        <v>Normal Day</v>
      </c>
      <c r="N26" s="4" t="str">
        <f>TEXT(CleanedData[[#This Row],[DAY]], "mmm yyyy")</f>
        <v>Jan 2024</v>
      </c>
    </row>
    <row r="27" spans="1:14" x14ac:dyDescent="0.3">
      <c r="A27" s="5">
        <v>45297</v>
      </c>
      <c r="B27" s="12">
        <v>5766</v>
      </c>
      <c r="C27" s="12">
        <v>51</v>
      </c>
      <c r="D27" s="2" t="s">
        <v>9</v>
      </c>
      <c r="E27" s="2" t="s">
        <v>8</v>
      </c>
      <c r="F27" s="1">
        <v>2086</v>
      </c>
      <c r="G27" s="13">
        <v>4911.171365073481</v>
      </c>
      <c r="H27" s="14" t="b">
        <v>0</v>
      </c>
      <c r="I27" s="15">
        <f t="shared" si="0"/>
        <v>5766</v>
      </c>
      <c r="J27" s="15">
        <f t="shared" si="0"/>
        <v>51</v>
      </c>
      <c r="K27" s="15">
        <f t="shared" si="1"/>
        <v>4911</v>
      </c>
      <c r="L27" s="3" t="str">
        <f t="shared" si="2"/>
        <v>Saturday</v>
      </c>
      <c r="M27" s="4" t="str">
        <f t="shared" si="3"/>
        <v>Normal Day</v>
      </c>
      <c r="N27" s="4" t="str">
        <f>TEXT(CleanedData[[#This Row],[DAY]], "mmm yyyy")</f>
        <v>Jan 2024</v>
      </c>
    </row>
    <row r="28" spans="1:14" x14ac:dyDescent="0.3">
      <c r="A28" s="5">
        <v>45297</v>
      </c>
      <c r="B28" s="12">
        <v>10162.5</v>
      </c>
      <c r="C28" s="12">
        <v>544.5</v>
      </c>
      <c r="D28" s="2" t="s">
        <v>10</v>
      </c>
      <c r="E28" s="2" t="s">
        <v>7</v>
      </c>
      <c r="F28" s="1">
        <v>5118</v>
      </c>
      <c r="G28" s="13">
        <v>9864.9675572066044</v>
      </c>
      <c r="H28" s="14" t="b">
        <v>0</v>
      </c>
      <c r="I28" s="15">
        <f t="shared" si="0"/>
        <v>10163</v>
      </c>
      <c r="J28" s="15">
        <f t="shared" si="0"/>
        <v>545</v>
      </c>
      <c r="K28" s="15">
        <f t="shared" si="1"/>
        <v>9865</v>
      </c>
      <c r="L28" s="3" t="str">
        <f t="shared" si="2"/>
        <v>Saturday</v>
      </c>
      <c r="M28" s="4" t="str">
        <f t="shared" si="3"/>
        <v>Normal Day</v>
      </c>
      <c r="N28" s="4" t="str">
        <f>TEXT(CleanedData[[#This Row],[DAY]], "mmm yyyy")</f>
        <v>Jan 2024</v>
      </c>
    </row>
    <row r="29" spans="1:14" x14ac:dyDescent="0.3">
      <c r="A29" s="5">
        <v>45298</v>
      </c>
      <c r="B29" s="12">
        <v>1.5</v>
      </c>
      <c r="C29" s="12">
        <v>1.5</v>
      </c>
      <c r="D29" s="2" t="s">
        <v>10</v>
      </c>
      <c r="E29" s="2" t="s">
        <v>8</v>
      </c>
      <c r="F29" s="1">
        <v>1</v>
      </c>
      <c r="G29" s="13">
        <v>2.5357140210163558</v>
      </c>
      <c r="H29" s="14" t="b">
        <v>0</v>
      </c>
      <c r="I29" s="15">
        <f t="shared" si="0"/>
        <v>2</v>
      </c>
      <c r="J29" s="15">
        <f t="shared" si="0"/>
        <v>2</v>
      </c>
      <c r="K29" s="15">
        <f t="shared" si="1"/>
        <v>3</v>
      </c>
      <c r="L29" s="3" t="str">
        <f t="shared" si="2"/>
        <v>Sunday</v>
      </c>
      <c r="M29" s="4" t="str">
        <f t="shared" si="3"/>
        <v>Normal Day</v>
      </c>
      <c r="N29" s="4" t="str">
        <f>TEXT(CleanedData[[#This Row],[DAY]], "mmm yyyy")</f>
        <v>Jan 2024</v>
      </c>
    </row>
    <row r="30" spans="1:14" x14ac:dyDescent="0.3">
      <c r="A30" s="5">
        <v>45298</v>
      </c>
      <c r="B30" s="12">
        <v>1.5</v>
      </c>
      <c r="C30" s="12">
        <v>1.5</v>
      </c>
      <c r="D30" s="2" t="s">
        <v>9</v>
      </c>
      <c r="E30" s="2" t="s">
        <v>7</v>
      </c>
      <c r="F30" s="1">
        <v>1</v>
      </c>
      <c r="G30" s="13">
        <v>2.6261681446731151</v>
      </c>
      <c r="H30" s="14" t="b">
        <v>0</v>
      </c>
      <c r="I30" s="15">
        <f t="shared" si="0"/>
        <v>2</v>
      </c>
      <c r="J30" s="15">
        <f t="shared" si="0"/>
        <v>2</v>
      </c>
      <c r="K30" s="15">
        <f t="shared" si="1"/>
        <v>3</v>
      </c>
      <c r="L30" s="3" t="str">
        <f t="shared" si="2"/>
        <v>Sunday</v>
      </c>
      <c r="M30" s="4" t="str">
        <f t="shared" si="3"/>
        <v>Normal Day</v>
      </c>
      <c r="N30" s="4" t="str">
        <f>TEXT(CleanedData[[#This Row],[DAY]], "mmm yyyy")</f>
        <v>Jan 2024</v>
      </c>
    </row>
    <row r="31" spans="1:14" x14ac:dyDescent="0.3">
      <c r="A31" s="5">
        <v>45298</v>
      </c>
      <c r="B31" s="12">
        <v>1143</v>
      </c>
      <c r="C31" s="12">
        <v>111</v>
      </c>
      <c r="D31" s="2" t="s">
        <v>6</v>
      </c>
      <c r="E31" s="2" t="s">
        <v>8</v>
      </c>
      <c r="F31" s="1">
        <v>733</v>
      </c>
      <c r="G31" s="13">
        <v>1049.5656477228199</v>
      </c>
      <c r="H31" s="14" t="b">
        <v>0</v>
      </c>
      <c r="I31" s="15">
        <f t="shared" si="0"/>
        <v>1143</v>
      </c>
      <c r="J31" s="15">
        <f t="shared" si="0"/>
        <v>111</v>
      </c>
      <c r="K31" s="15">
        <f t="shared" si="1"/>
        <v>1050</v>
      </c>
      <c r="L31" s="3" t="str">
        <f t="shared" si="2"/>
        <v>Sunday</v>
      </c>
      <c r="M31" s="4" t="str">
        <f t="shared" si="3"/>
        <v>Normal Day</v>
      </c>
      <c r="N31" s="4" t="str">
        <f>TEXT(CleanedData[[#This Row],[DAY]], "mmm yyyy")</f>
        <v>Jan 2024</v>
      </c>
    </row>
    <row r="32" spans="1:14" x14ac:dyDescent="0.3">
      <c r="A32" s="5">
        <v>45298</v>
      </c>
      <c r="B32" s="12">
        <v>1762.5</v>
      </c>
      <c r="C32" s="12">
        <v>111</v>
      </c>
      <c r="D32" s="2" t="s">
        <v>6</v>
      </c>
      <c r="E32" s="2" t="s">
        <v>7</v>
      </c>
      <c r="F32" s="1">
        <v>1156</v>
      </c>
      <c r="G32" s="13">
        <v>1696.8735315358956</v>
      </c>
      <c r="H32" s="14" t="b">
        <v>0</v>
      </c>
      <c r="I32" s="15">
        <f t="shared" si="0"/>
        <v>1763</v>
      </c>
      <c r="J32" s="15">
        <f t="shared" si="0"/>
        <v>111</v>
      </c>
      <c r="K32" s="15">
        <f t="shared" si="1"/>
        <v>1697</v>
      </c>
      <c r="L32" s="3" t="str">
        <f t="shared" si="2"/>
        <v>Sunday</v>
      </c>
      <c r="M32" s="4" t="str">
        <f t="shared" si="3"/>
        <v>Normal Day</v>
      </c>
      <c r="N32" s="4" t="str">
        <f>TEXT(CleanedData[[#This Row],[DAY]], "mmm yyyy")</f>
        <v>Jan 2024</v>
      </c>
    </row>
    <row r="33" spans="1:14" x14ac:dyDescent="0.3">
      <c r="A33" s="5">
        <v>45298</v>
      </c>
      <c r="B33" s="12">
        <v>5605.5</v>
      </c>
      <c r="C33" s="12">
        <v>184.5</v>
      </c>
      <c r="D33" s="2" t="s">
        <v>9</v>
      </c>
      <c r="E33" s="2" t="s">
        <v>8</v>
      </c>
      <c r="F33" s="1">
        <v>1671</v>
      </c>
      <c r="G33" s="13">
        <v>5082.8867495189897</v>
      </c>
      <c r="H33" s="14" t="b">
        <v>0</v>
      </c>
      <c r="I33" s="15">
        <f t="shared" si="0"/>
        <v>5606</v>
      </c>
      <c r="J33" s="15">
        <f t="shared" si="0"/>
        <v>185</v>
      </c>
      <c r="K33" s="15">
        <f t="shared" si="1"/>
        <v>5083</v>
      </c>
      <c r="L33" s="3" t="str">
        <f t="shared" si="2"/>
        <v>Sunday</v>
      </c>
      <c r="M33" s="4" t="str">
        <f t="shared" si="3"/>
        <v>Normal Day</v>
      </c>
      <c r="N33" s="4" t="str">
        <f>TEXT(CleanedData[[#This Row],[DAY]], "mmm yyyy")</f>
        <v>Jan 2024</v>
      </c>
    </row>
    <row r="34" spans="1:14" x14ac:dyDescent="0.3">
      <c r="A34" s="5">
        <v>45298</v>
      </c>
      <c r="B34" s="12">
        <v>8728.5</v>
      </c>
      <c r="C34" s="12">
        <v>364.5</v>
      </c>
      <c r="D34" s="2" t="s">
        <v>10</v>
      </c>
      <c r="E34" s="2" t="s">
        <v>7</v>
      </c>
      <c r="F34" s="1">
        <v>550</v>
      </c>
      <c r="G34" s="13">
        <v>8229.8531347550725</v>
      </c>
      <c r="H34" s="14" t="b">
        <v>0</v>
      </c>
      <c r="I34" s="15">
        <f t="shared" si="0"/>
        <v>8729</v>
      </c>
      <c r="J34" s="15">
        <f t="shared" si="0"/>
        <v>365</v>
      </c>
      <c r="K34" s="15">
        <f t="shared" si="1"/>
        <v>8230</v>
      </c>
      <c r="L34" s="3" t="str">
        <f t="shared" si="2"/>
        <v>Sunday</v>
      </c>
      <c r="M34" s="4" t="str">
        <f t="shared" si="3"/>
        <v>Normal Day</v>
      </c>
      <c r="N34" s="4" t="str">
        <f>TEXT(CleanedData[[#This Row],[DAY]], "mmm yyyy")</f>
        <v>Jan 2024</v>
      </c>
    </row>
    <row r="35" spans="1:14" x14ac:dyDescent="0.3">
      <c r="A35" s="5">
        <v>45299</v>
      </c>
      <c r="B35" s="12">
        <v>1.5</v>
      </c>
      <c r="C35" s="12">
        <v>0</v>
      </c>
      <c r="D35" s="2" t="s">
        <v>9</v>
      </c>
      <c r="E35" s="2" t="s">
        <v>7</v>
      </c>
      <c r="F35" s="1">
        <v>1</v>
      </c>
      <c r="G35" s="13">
        <v>1.3997440845370979</v>
      </c>
      <c r="H35" s="14" t="b">
        <v>0</v>
      </c>
      <c r="I35" s="15">
        <f t="shared" si="0"/>
        <v>2</v>
      </c>
      <c r="J35" s="15">
        <f t="shared" si="0"/>
        <v>0</v>
      </c>
      <c r="K35" s="15">
        <f t="shared" si="1"/>
        <v>1</v>
      </c>
      <c r="L35" s="3" t="str">
        <f t="shared" si="2"/>
        <v>Monday</v>
      </c>
      <c r="M35" s="4" t="str">
        <f t="shared" si="3"/>
        <v>Normal Day</v>
      </c>
      <c r="N35" s="4" t="str">
        <f>TEXT(CleanedData[[#This Row],[DAY]], "mmm yyyy")</f>
        <v>Jan 2024</v>
      </c>
    </row>
    <row r="36" spans="1:14" x14ac:dyDescent="0.3">
      <c r="A36" s="5">
        <v>45299</v>
      </c>
      <c r="B36" s="12">
        <v>3</v>
      </c>
      <c r="C36" s="12">
        <v>0</v>
      </c>
      <c r="D36" s="2" t="s">
        <v>10</v>
      </c>
      <c r="E36" s="2" t="s">
        <v>8</v>
      </c>
      <c r="F36" s="1">
        <v>1</v>
      </c>
      <c r="G36" s="13">
        <v>2.5900520035367789</v>
      </c>
      <c r="H36" s="14" t="b">
        <v>0</v>
      </c>
      <c r="I36" s="15">
        <f t="shared" si="0"/>
        <v>3</v>
      </c>
      <c r="J36" s="15">
        <f t="shared" si="0"/>
        <v>0</v>
      </c>
      <c r="K36" s="15">
        <f t="shared" si="1"/>
        <v>3</v>
      </c>
      <c r="L36" s="3" t="str">
        <f t="shared" si="2"/>
        <v>Monday</v>
      </c>
      <c r="M36" s="4" t="str">
        <f t="shared" si="3"/>
        <v>Normal Day</v>
      </c>
      <c r="N36" s="4" t="str">
        <f>TEXT(CleanedData[[#This Row],[DAY]], "mmm yyyy")</f>
        <v>Jan 2024</v>
      </c>
    </row>
    <row r="37" spans="1:14" x14ac:dyDescent="0.3">
      <c r="A37" s="5">
        <v>45299</v>
      </c>
      <c r="B37" s="12">
        <v>736.5</v>
      </c>
      <c r="C37" s="12">
        <v>6</v>
      </c>
      <c r="D37" s="2" t="s">
        <v>6</v>
      </c>
      <c r="E37" s="2" t="s">
        <v>7</v>
      </c>
      <c r="F37" s="1">
        <v>215</v>
      </c>
      <c r="G37" s="13">
        <v>675.74336736882231</v>
      </c>
      <c r="H37" s="14" t="b">
        <v>0</v>
      </c>
      <c r="I37" s="15">
        <f t="shared" si="0"/>
        <v>737</v>
      </c>
      <c r="J37" s="15">
        <f t="shared" si="0"/>
        <v>6</v>
      </c>
      <c r="K37" s="15">
        <f t="shared" si="1"/>
        <v>676</v>
      </c>
      <c r="L37" s="3" t="str">
        <f t="shared" si="2"/>
        <v>Monday</v>
      </c>
      <c r="M37" s="4" t="str">
        <f t="shared" si="3"/>
        <v>Normal Day</v>
      </c>
      <c r="N37" s="4" t="str">
        <f>TEXT(CleanedData[[#This Row],[DAY]], "mmm yyyy")</f>
        <v>Jan 2024</v>
      </c>
    </row>
    <row r="38" spans="1:14" x14ac:dyDescent="0.3">
      <c r="A38" s="5">
        <v>45299</v>
      </c>
      <c r="B38" s="12">
        <v>787.5</v>
      </c>
      <c r="C38" s="12">
        <v>6</v>
      </c>
      <c r="D38" s="2" t="s">
        <v>6</v>
      </c>
      <c r="E38" s="2" t="s">
        <v>8</v>
      </c>
      <c r="F38" s="1">
        <v>332</v>
      </c>
      <c r="G38" s="13">
        <v>691.8425680026586</v>
      </c>
      <c r="H38" s="14" t="b">
        <v>0</v>
      </c>
      <c r="I38" s="15">
        <f t="shared" si="0"/>
        <v>788</v>
      </c>
      <c r="J38" s="15">
        <f t="shared" si="0"/>
        <v>6</v>
      </c>
      <c r="K38" s="15">
        <f t="shared" si="1"/>
        <v>692</v>
      </c>
      <c r="L38" s="3" t="str">
        <f t="shared" si="2"/>
        <v>Monday</v>
      </c>
      <c r="M38" s="4" t="str">
        <f t="shared" si="3"/>
        <v>Normal Day</v>
      </c>
      <c r="N38" s="4" t="str">
        <f>TEXT(CleanedData[[#This Row],[DAY]], "mmm yyyy")</f>
        <v>Jan 2024</v>
      </c>
    </row>
    <row r="39" spans="1:14" x14ac:dyDescent="0.3">
      <c r="A39" s="5">
        <v>45299</v>
      </c>
      <c r="B39" s="12">
        <v>4990.5</v>
      </c>
      <c r="C39" s="12">
        <v>139.5</v>
      </c>
      <c r="D39" s="2" t="s">
        <v>9</v>
      </c>
      <c r="E39" s="2" t="s">
        <v>8</v>
      </c>
      <c r="F39" s="1">
        <v>2645</v>
      </c>
      <c r="G39" s="13">
        <v>4518.3676613444841</v>
      </c>
      <c r="H39" s="14" t="b">
        <v>0</v>
      </c>
      <c r="I39" s="15">
        <f t="shared" si="0"/>
        <v>4991</v>
      </c>
      <c r="J39" s="15">
        <f t="shared" si="0"/>
        <v>140</v>
      </c>
      <c r="K39" s="15">
        <f t="shared" si="1"/>
        <v>4518</v>
      </c>
      <c r="L39" s="3" t="str">
        <f t="shared" si="2"/>
        <v>Monday</v>
      </c>
      <c r="M39" s="4" t="str">
        <f t="shared" si="3"/>
        <v>Normal Day</v>
      </c>
      <c r="N39" s="4" t="str">
        <f>TEXT(CleanedData[[#This Row],[DAY]], "mmm yyyy")</f>
        <v>Jan 2024</v>
      </c>
    </row>
    <row r="40" spans="1:14" x14ac:dyDescent="0.3">
      <c r="A40" s="5">
        <v>45299</v>
      </c>
      <c r="B40" s="12">
        <v>8259</v>
      </c>
      <c r="C40" s="12">
        <v>94.5</v>
      </c>
      <c r="D40" s="2" t="s">
        <v>10</v>
      </c>
      <c r="E40" s="2" t="s">
        <v>7</v>
      </c>
      <c r="F40" s="1">
        <v>3526</v>
      </c>
      <c r="G40" s="13">
        <v>7458.6427318605456</v>
      </c>
      <c r="H40" s="14" t="b">
        <v>0</v>
      </c>
      <c r="I40" s="15">
        <f t="shared" si="0"/>
        <v>8259</v>
      </c>
      <c r="J40" s="15">
        <f t="shared" si="0"/>
        <v>95</v>
      </c>
      <c r="K40" s="15">
        <f t="shared" si="1"/>
        <v>7459</v>
      </c>
      <c r="L40" s="3" t="str">
        <f t="shared" si="2"/>
        <v>Monday</v>
      </c>
      <c r="M40" s="4" t="str">
        <f t="shared" si="3"/>
        <v>Normal Day</v>
      </c>
      <c r="N40" s="4" t="str">
        <f>TEXT(CleanedData[[#This Row],[DAY]], "mmm yyyy")</f>
        <v>Jan 2024</v>
      </c>
    </row>
    <row r="41" spans="1:14" x14ac:dyDescent="0.3">
      <c r="A41" s="5">
        <v>45300</v>
      </c>
      <c r="B41" s="12">
        <v>753</v>
      </c>
      <c r="C41" s="12">
        <v>7.5</v>
      </c>
      <c r="D41" s="2" t="s">
        <v>6</v>
      </c>
      <c r="E41" s="2" t="s">
        <v>7</v>
      </c>
      <c r="F41" s="1">
        <v>125</v>
      </c>
      <c r="G41" s="13">
        <v>679.17206195021049</v>
      </c>
      <c r="H41" s="14" t="b">
        <v>0</v>
      </c>
      <c r="I41" s="15">
        <f t="shared" si="0"/>
        <v>753</v>
      </c>
      <c r="J41" s="15">
        <f t="shared" si="0"/>
        <v>8</v>
      </c>
      <c r="K41" s="15">
        <f t="shared" si="1"/>
        <v>679</v>
      </c>
      <c r="L41" s="3" t="str">
        <f t="shared" si="2"/>
        <v>Tuesday</v>
      </c>
      <c r="M41" s="4" t="str">
        <f t="shared" si="3"/>
        <v>Normal Day</v>
      </c>
      <c r="N41" s="4" t="str">
        <f>TEXT(CleanedData[[#This Row],[DAY]], "mmm yyyy")</f>
        <v>Jan 2024</v>
      </c>
    </row>
    <row r="42" spans="1:14" x14ac:dyDescent="0.3">
      <c r="A42" s="5">
        <v>45300</v>
      </c>
      <c r="B42" s="12">
        <v>964.5</v>
      </c>
      <c r="C42" s="12">
        <v>7.5</v>
      </c>
      <c r="D42" s="2" t="s">
        <v>6</v>
      </c>
      <c r="E42" s="2" t="s">
        <v>8</v>
      </c>
      <c r="F42" s="1">
        <v>199</v>
      </c>
      <c r="G42" s="13">
        <v>777.67414555785842</v>
      </c>
      <c r="H42" s="14" t="b">
        <v>1</v>
      </c>
      <c r="I42" s="15">
        <f t="shared" si="0"/>
        <v>965</v>
      </c>
      <c r="J42" s="15">
        <f t="shared" si="0"/>
        <v>8</v>
      </c>
      <c r="K42" s="15">
        <f t="shared" si="1"/>
        <v>778</v>
      </c>
      <c r="L42" s="3" t="str">
        <f t="shared" si="2"/>
        <v>Tuesday</v>
      </c>
      <c r="M42" s="4" t="str">
        <f t="shared" si="3"/>
        <v>Outage Day</v>
      </c>
      <c r="N42" s="4" t="str">
        <f>TEXT(CleanedData[[#This Row],[DAY]], "mmm yyyy")</f>
        <v>Jan 2024</v>
      </c>
    </row>
    <row r="43" spans="1:14" x14ac:dyDescent="0.3">
      <c r="A43" s="5">
        <v>45300</v>
      </c>
      <c r="B43" s="12">
        <v>4090.5</v>
      </c>
      <c r="C43" s="12">
        <v>162</v>
      </c>
      <c r="D43" s="2" t="s">
        <v>9</v>
      </c>
      <c r="E43" s="2" t="s">
        <v>8</v>
      </c>
      <c r="F43" s="1">
        <v>413</v>
      </c>
      <c r="G43" s="13">
        <v>3538.9940922973096</v>
      </c>
      <c r="H43" s="14" t="b">
        <v>0</v>
      </c>
      <c r="I43" s="15">
        <f t="shared" si="0"/>
        <v>4091</v>
      </c>
      <c r="J43" s="15">
        <f t="shared" si="0"/>
        <v>162</v>
      </c>
      <c r="K43" s="15">
        <f t="shared" si="1"/>
        <v>3539</v>
      </c>
      <c r="L43" s="3" t="str">
        <f t="shared" si="2"/>
        <v>Tuesday</v>
      </c>
      <c r="M43" s="4" t="str">
        <f t="shared" si="3"/>
        <v>Normal Day</v>
      </c>
      <c r="N43" s="4" t="str">
        <f>TEXT(CleanedData[[#This Row],[DAY]], "mmm yyyy")</f>
        <v>Jan 2024</v>
      </c>
    </row>
    <row r="44" spans="1:14" x14ac:dyDescent="0.3">
      <c r="A44" s="5">
        <v>45300</v>
      </c>
      <c r="B44" s="12">
        <v>7035</v>
      </c>
      <c r="C44" s="12">
        <v>117</v>
      </c>
      <c r="D44" s="2" t="s">
        <v>10</v>
      </c>
      <c r="E44" s="2" t="s">
        <v>7</v>
      </c>
      <c r="F44" s="1">
        <v>654</v>
      </c>
      <c r="G44" s="13">
        <v>6328.5308811929208</v>
      </c>
      <c r="H44" s="14" t="b">
        <v>0</v>
      </c>
      <c r="I44" s="15">
        <f t="shared" si="0"/>
        <v>7035</v>
      </c>
      <c r="J44" s="15">
        <f t="shared" si="0"/>
        <v>117</v>
      </c>
      <c r="K44" s="15">
        <f t="shared" si="1"/>
        <v>6329</v>
      </c>
      <c r="L44" s="3" t="str">
        <f t="shared" si="2"/>
        <v>Tuesday</v>
      </c>
      <c r="M44" s="4" t="str">
        <f t="shared" si="3"/>
        <v>Normal Day</v>
      </c>
      <c r="N44" s="4" t="str">
        <f>TEXT(CleanedData[[#This Row],[DAY]], "mmm yyyy")</f>
        <v>Jan 2024</v>
      </c>
    </row>
    <row r="45" spans="1:14" x14ac:dyDescent="0.3">
      <c r="A45" s="5">
        <v>45301</v>
      </c>
      <c r="B45" s="12">
        <v>375</v>
      </c>
      <c r="C45" s="12">
        <v>4.5</v>
      </c>
      <c r="D45" s="2" t="s">
        <v>6</v>
      </c>
      <c r="E45" s="2" t="s">
        <v>7</v>
      </c>
      <c r="F45" s="1">
        <v>143</v>
      </c>
      <c r="G45" s="13">
        <v>330.66498940060427</v>
      </c>
      <c r="H45" s="14" t="b">
        <v>1</v>
      </c>
      <c r="I45" s="15">
        <f t="shared" si="0"/>
        <v>375</v>
      </c>
      <c r="J45" s="15">
        <f t="shared" si="0"/>
        <v>5</v>
      </c>
      <c r="K45" s="15">
        <f t="shared" si="1"/>
        <v>331</v>
      </c>
      <c r="L45" s="3" t="str">
        <f t="shared" si="2"/>
        <v>Wednesday</v>
      </c>
      <c r="M45" s="4" t="str">
        <f t="shared" si="3"/>
        <v>Outage Day</v>
      </c>
      <c r="N45" s="4" t="str">
        <f>TEXT(CleanedData[[#This Row],[DAY]], "mmm yyyy")</f>
        <v>Jan 2024</v>
      </c>
    </row>
    <row r="46" spans="1:14" x14ac:dyDescent="0.3">
      <c r="A46" s="5">
        <v>45301</v>
      </c>
      <c r="B46" s="12">
        <v>906</v>
      </c>
      <c r="C46" s="12">
        <v>4.5</v>
      </c>
      <c r="D46" s="2" t="s">
        <v>6</v>
      </c>
      <c r="E46" s="2" t="s">
        <v>8</v>
      </c>
      <c r="F46" s="1">
        <v>253</v>
      </c>
      <c r="G46" s="13">
        <v>755.3233483785699</v>
      </c>
      <c r="H46" s="14" t="b">
        <v>0</v>
      </c>
      <c r="I46" s="15">
        <f t="shared" si="0"/>
        <v>906</v>
      </c>
      <c r="J46" s="15">
        <f t="shared" si="0"/>
        <v>5</v>
      </c>
      <c r="K46" s="15">
        <f t="shared" si="1"/>
        <v>755</v>
      </c>
      <c r="L46" s="3" t="str">
        <f t="shared" si="2"/>
        <v>Wednesday</v>
      </c>
      <c r="M46" s="4" t="str">
        <f t="shared" si="3"/>
        <v>Normal Day</v>
      </c>
      <c r="N46" s="4" t="str">
        <f>TEXT(CleanedData[[#This Row],[DAY]], "mmm yyyy")</f>
        <v>Jan 2024</v>
      </c>
    </row>
    <row r="47" spans="1:14" x14ac:dyDescent="0.3">
      <c r="A47" s="5">
        <v>45301</v>
      </c>
      <c r="B47" s="12">
        <v>4347</v>
      </c>
      <c r="C47" s="12">
        <v>6</v>
      </c>
      <c r="D47" s="2" t="s">
        <v>9</v>
      </c>
      <c r="E47" s="2" t="s">
        <v>8</v>
      </c>
      <c r="F47" s="1">
        <v>1882</v>
      </c>
      <c r="G47" s="13">
        <v>3621.4741914583001</v>
      </c>
      <c r="H47" s="14" t="b">
        <v>0</v>
      </c>
      <c r="I47" s="15">
        <f t="shared" si="0"/>
        <v>4347</v>
      </c>
      <c r="J47" s="15">
        <f t="shared" si="0"/>
        <v>6</v>
      </c>
      <c r="K47" s="15">
        <f t="shared" si="1"/>
        <v>3621</v>
      </c>
      <c r="L47" s="3" t="str">
        <f t="shared" si="2"/>
        <v>Wednesday</v>
      </c>
      <c r="M47" s="4" t="str">
        <f t="shared" si="3"/>
        <v>Normal Day</v>
      </c>
      <c r="N47" s="4" t="str">
        <f>TEXT(CleanedData[[#This Row],[DAY]], "mmm yyyy")</f>
        <v>Jan 2024</v>
      </c>
    </row>
    <row r="48" spans="1:14" x14ac:dyDescent="0.3">
      <c r="A48" s="5">
        <v>45301</v>
      </c>
      <c r="B48" s="12">
        <v>7650</v>
      </c>
      <c r="C48" s="12">
        <v>313.5</v>
      </c>
      <c r="D48" s="2" t="s">
        <v>10</v>
      </c>
      <c r="E48" s="2" t="s">
        <v>7</v>
      </c>
      <c r="F48" s="1">
        <v>4447</v>
      </c>
      <c r="G48" s="13">
        <v>7029.3109126667669</v>
      </c>
      <c r="H48" s="14" t="b">
        <v>0</v>
      </c>
      <c r="I48" s="15">
        <f t="shared" si="0"/>
        <v>7650</v>
      </c>
      <c r="J48" s="15">
        <f t="shared" si="0"/>
        <v>314</v>
      </c>
      <c r="K48" s="15">
        <f t="shared" si="1"/>
        <v>7029</v>
      </c>
      <c r="L48" s="3" t="str">
        <f t="shared" si="2"/>
        <v>Wednesday</v>
      </c>
      <c r="M48" s="4" t="str">
        <f t="shared" si="3"/>
        <v>Normal Day</v>
      </c>
      <c r="N48" s="4" t="str">
        <f>TEXT(CleanedData[[#This Row],[DAY]], "mmm yyyy")</f>
        <v>Jan 2024</v>
      </c>
    </row>
    <row r="49" spans="1:14" x14ac:dyDescent="0.3">
      <c r="A49" s="5">
        <v>45302</v>
      </c>
      <c r="B49" s="12">
        <v>1.5</v>
      </c>
      <c r="C49" s="12">
        <v>0</v>
      </c>
      <c r="D49" s="2" t="s">
        <v>9</v>
      </c>
      <c r="E49" s="2" t="s">
        <v>7</v>
      </c>
      <c r="F49" s="1">
        <v>1</v>
      </c>
      <c r="G49" s="13">
        <v>1.3179577902743189</v>
      </c>
      <c r="H49" s="14" t="b">
        <v>1</v>
      </c>
      <c r="I49" s="15">
        <f t="shared" si="0"/>
        <v>2</v>
      </c>
      <c r="J49" s="15">
        <f t="shared" si="0"/>
        <v>0</v>
      </c>
      <c r="K49" s="15">
        <f t="shared" si="1"/>
        <v>1</v>
      </c>
      <c r="L49" s="3" t="str">
        <f t="shared" si="2"/>
        <v>Thursday</v>
      </c>
      <c r="M49" s="4" t="str">
        <f t="shared" si="3"/>
        <v>Outage Day</v>
      </c>
      <c r="N49" s="4" t="str">
        <f>TEXT(CleanedData[[#This Row],[DAY]], "mmm yyyy")</f>
        <v>Jan 2024</v>
      </c>
    </row>
    <row r="50" spans="1:14" x14ac:dyDescent="0.3">
      <c r="A50" s="5">
        <v>45302</v>
      </c>
      <c r="B50" s="12">
        <v>567</v>
      </c>
      <c r="C50" s="12">
        <v>33</v>
      </c>
      <c r="D50" s="2" t="s">
        <v>6</v>
      </c>
      <c r="E50" s="2" t="s">
        <v>7</v>
      </c>
      <c r="F50" s="1">
        <v>131</v>
      </c>
      <c r="G50" s="13">
        <v>559.19665941233939</v>
      </c>
      <c r="H50" s="14" t="b">
        <v>1</v>
      </c>
      <c r="I50" s="15">
        <f t="shared" si="0"/>
        <v>567</v>
      </c>
      <c r="J50" s="15">
        <f t="shared" si="0"/>
        <v>33</v>
      </c>
      <c r="K50" s="15">
        <f t="shared" si="1"/>
        <v>559</v>
      </c>
      <c r="L50" s="3" t="str">
        <f t="shared" si="2"/>
        <v>Thursday</v>
      </c>
      <c r="M50" s="4" t="str">
        <f t="shared" si="3"/>
        <v>Outage Day</v>
      </c>
      <c r="N50" s="4" t="str">
        <f>TEXT(CleanedData[[#This Row],[DAY]], "mmm yyyy")</f>
        <v>Jan 2024</v>
      </c>
    </row>
    <row r="51" spans="1:14" x14ac:dyDescent="0.3">
      <c r="A51" s="5">
        <v>45302</v>
      </c>
      <c r="B51" s="12">
        <v>714</v>
      </c>
      <c r="C51" s="12">
        <v>33</v>
      </c>
      <c r="D51" s="2" t="s">
        <v>6</v>
      </c>
      <c r="E51" s="2" t="s">
        <v>8</v>
      </c>
      <c r="F51" s="1">
        <v>175</v>
      </c>
      <c r="G51" s="13">
        <v>609.77819882257404</v>
      </c>
      <c r="H51" s="14" t="b">
        <v>1</v>
      </c>
      <c r="I51" s="15">
        <f t="shared" si="0"/>
        <v>714</v>
      </c>
      <c r="J51" s="15">
        <f t="shared" si="0"/>
        <v>33</v>
      </c>
      <c r="K51" s="15">
        <f t="shared" si="1"/>
        <v>610</v>
      </c>
      <c r="L51" s="3" t="str">
        <f t="shared" si="2"/>
        <v>Thursday</v>
      </c>
      <c r="M51" s="4" t="str">
        <f t="shared" si="3"/>
        <v>Outage Day</v>
      </c>
      <c r="N51" s="4" t="str">
        <f>TEXT(CleanedData[[#This Row],[DAY]], "mmm yyyy")</f>
        <v>Jan 2024</v>
      </c>
    </row>
    <row r="52" spans="1:14" x14ac:dyDescent="0.3">
      <c r="A52" s="5">
        <v>45302</v>
      </c>
      <c r="B52" s="12">
        <v>6051</v>
      </c>
      <c r="C52" s="12">
        <v>274.5</v>
      </c>
      <c r="D52" s="2" t="s">
        <v>9</v>
      </c>
      <c r="E52" s="2" t="s">
        <v>8</v>
      </c>
      <c r="F52" s="1">
        <v>3751</v>
      </c>
      <c r="G52" s="13">
        <v>5391.0681742010784</v>
      </c>
      <c r="H52" s="14" t="b">
        <v>1</v>
      </c>
      <c r="I52" s="15">
        <f t="shared" si="0"/>
        <v>6051</v>
      </c>
      <c r="J52" s="15">
        <f t="shared" si="0"/>
        <v>275</v>
      </c>
      <c r="K52" s="15">
        <f t="shared" si="1"/>
        <v>5391</v>
      </c>
      <c r="L52" s="3" t="str">
        <f t="shared" si="2"/>
        <v>Thursday</v>
      </c>
      <c r="M52" s="4" t="str">
        <f t="shared" si="3"/>
        <v>Outage Day</v>
      </c>
      <c r="N52" s="4" t="str">
        <f>TEXT(CleanedData[[#This Row],[DAY]], "mmm yyyy")</f>
        <v>Jan 2024</v>
      </c>
    </row>
    <row r="53" spans="1:14" x14ac:dyDescent="0.3">
      <c r="A53" s="5">
        <v>45302</v>
      </c>
      <c r="B53" s="12">
        <v>8325</v>
      </c>
      <c r="C53" s="12">
        <v>444</v>
      </c>
      <c r="D53" s="2" t="s">
        <v>10</v>
      </c>
      <c r="E53" s="2" t="s">
        <v>7</v>
      </c>
      <c r="F53" s="1">
        <v>1944</v>
      </c>
      <c r="G53" s="13">
        <v>7729.3432632558051</v>
      </c>
      <c r="H53" s="14" t="b">
        <v>1</v>
      </c>
      <c r="I53" s="15">
        <f t="shared" si="0"/>
        <v>8325</v>
      </c>
      <c r="J53" s="15">
        <f t="shared" si="0"/>
        <v>444</v>
      </c>
      <c r="K53" s="15">
        <f t="shared" si="1"/>
        <v>7729</v>
      </c>
      <c r="L53" s="3" t="str">
        <f t="shared" si="2"/>
        <v>Thursday</v>
      </c>
      <c r="M53" s="4" t="str">
        <f t="shared" si="3"/>
        <v>Outage Day</v>
      </c>
      <c r="N53" s="4" t="str">
        <f>TEXT(CleanedData[[#This Row],[DAY]], "mmm yyyy")</f>
        <v>Jan 2024</v>
      </c>
    </row>
    <row r="54" spans="1:14" x14ac:dyDescent="0.3">
      <c r="A54" s="5">
        <v>45303</v>
      </c>
      <c r="B54" s="12">
        <v>1090.5</v>
      </c>
      <c r="C54" s="12">
        <v>12</v>
      </c>
      <c r="D54" s="2" t="s">
        <v>6</v>
      </c>
      <c r="E54" s="2" t="s">
        <v>7</v>
      </c>
      <c r="F54" s="1">
        <v>167</v>
      </c>
      <c r="G54" s="13">
        <v>980.27564045013628</v>
      </c>
      <c r="H54" s="14" t="b">
        <v>1</v>
      </c>
      <c r="I54" s="15">
        <f t="shared" si="0"/>
        <v>1091</v>
      </c>
      <c r="J54" s="15">
        <f t="shared" si="0"/>
        <v>12</v>
      </c>
      <c r="K54" s="15">
        <f t="shared" si="1"/>
        <v>980</v>
      </c>
      <c r="L54" s="3" t="str">
        <f t="shared" si="2"/>
        <v>Friday</v>
      </c>
      <c r="M54" s="4" t="str">
        <f t="shared" si="3"/>
        <v>Outage Day</v>
      </c>
      <c r="N54" s="4" t="str">
        <f>TEXT(CleanedData[[#This Row],[DAY]], "mmm yyyy")</f>
        <v>Jan 2024</v>
      </c>
    </row>
    <row r="55" spans="1:14" x14ac:dyDescent="0.3">
      <c r="A55" s="5">
        <v>45303</v>
      </c>
      <c r="B55" s="12">
        <v>1426.5</v>
      </c>
      <c r="C55" s="12">
        <v>12</v>
      </c>
      <c r="D55" s="2" t="s">
        <v>6</v>
      </c>
      <c r="E55" s="2" t="s">
        <v>8</v>
      </c>
      <c r="F55" s="1">
        <v>478</v>
      </c>
      <c r="G55" s="13">
        <v>1220.4905871030749</v>
      </c>
      <c r="H55" s="14" t="b">
        <v>1</v>
      </c>
      <c r="I55" s="15">
        <f t="shared" si="0"/>
        <v>1427</v>
      </c>
      <c r="J55" s="15">
        <f t="shared" si="0"/>
        <v>12</v>
      </c>
      <c r="K55" s="15">
        <f t="shared" si="1"/>
        <v>1220</v>
      </c>
      <c r="L55" s="3" t="str">
        <f t="shared" si="2"/>
        <v>Friday</v>
      </c>
      <c r="M55" s="4" t="str">
        <f t="shared" si="3"/>
        <v>Outage Day</v>
      </c>
      <c r="N55" s="4" t="str">
        <f>TEXT(CleanedData[[#This Row],[DAY]], "mmm yyyy")</f>
        <v>Jan 2024</v>
      </c>
    </row>
    <row r="56" spans="1:14" x14ac:dyDescent="0.3">
      <c r="A56" s="5">
        <v>45303</v>
      </c>
      <c r="B56" s="12">
        <v>6076.5</v>
      </c>
      <c r="C56" s="12">
        <v>3</v>
      </c>
      <c r="D56" s="2" t="s">
        <v>9</v>
      </c>
      <c r="E56" s="2" t="s">
        <v>8</v>
      </c>
      <c r="F56" s="1">
        <v>3511</v>
      </c>
      <c r="G56" s="13">
        <v>5149.431079210196</v>
      </c>
      <c r="H56" s="14" t="b">
        <v>1</v>
      </c>
      <c r="I56" s="15">
        <f t="shared" si="0"/>
        <v>6077</v>
      </c>
      <c r="J56" s="15">
        <f t="shared" si="0"/>
        <v>3</v>
      </c>
      <c r="K56" s="15">
        <f t="shared" si="1"/>
        <v>5149</v>
      </c>
      <c r="L56" s="3" t="str">
        <f t="shared" si="2"/>
        <v>Friday</v>
      </c>
      <c r="M56" s="4" t="str">
        <f t="shared" si="3"/>
        <v>Outage Day</v>
      </c>
      <c r="N56" s="4" t="str">
        <f>TEXT(CleanedData[[#This Row],[DAY]], "mmm yyyy")</f>
        <v>Jan 2024</v>
      </c>
    </row>
    <row r="57" spans="1:14" x14ac:dyDescent="0.3">
      <c r="A57" s="5">
        <v>45303</v>
      </c>
      <c r="B57" s="12">
        <v>7767</v>
      </c>
      <c r="C57" s="12">
        <v>79.5</v>
      </c>
      <c r="D57" s="2" t="s">
        <v>10</v>
      </c>
      <c r="E57" s="2" t="s">
        <v>7</v>
      </c>
      <c r="F57" s="1">
        <v>760</v>
      </c>
      <c r="G57" s="13">
        <v>6918.3728756077908</v>
      </c>
      <c r="H57" s="14" t="b">
        <v>1</v>
      </c>
      <c r="I57" s="15">
        <f t="shared" si="0"/>
        <v>7767</v>
      </c>
      <c r="J57" s="15">
        <f t="shared" si="0"/>
        <v>80</v>
      </c>
      <c r="K57" s="15">
        <f t="shared" si="1"/>
        <v>6918</v>
      </c>
      <c r="L57" s="3" t="str">
        <f t="shared" si="2"/>
        <v>Friday</v>
      </c>
      <c r="M57" s="4" t="str">
        <f t="shared" si="3"/>
        <v>Outage Day</v>
      </c>
      <c r="N57" s="4" t="str">
        <f>TEXT(CleanedData[[#This Row],[DAY]], "mmm yyyy")</f>
        <v>Jan 2024</v>
      </c>
    </row>
    <row r="58" spans="1:14" x14ac:dyDescent="0.3">
      <c r="A58" s="5">
        <v>45304</v>
      </c>
      <c r="B58" s="12">
        <v>1.5</v>
      </c>
      <c r="C58" s="12">
        <v>0</v>
      </c>
      <c r="D58" s="2" t="s">
        <v>9</v>
      </c>
      <c r="E58" s="2" t="s">
        <v>7</v>
      </c>
      <c r="F58" s="1">
        <v>1</v>
      </c>
      <c r="G58" s="13">
        <v>1.3290465662908351</v>
      </c>
      <c r="H58" s="14" t="b">
        <v>0</v>
      </c>
      <c r="I58" s="15">
        <f t="shared" si="0"/>
        <v>2</v>
      </c>
      <c r="J58" s="15">
        <f t="shared" si="0"/>
        <v>0</v>
      </c>
      <c r="K58" s="15">
        <f t="shared" si="1"/>
        <v>1</v>
      </c>
      <c r="L58" s="3" t="str">
        <f t="shared" si="2"/>
        <v>Saturday</v>
      </c>
      <c r="M58" s="4" t="str">
        <f t="shared" si="3"/>
        <v>Normal Day</v>
      </c>
      <c r="N58" s="4" t="str">
        <f>TEXT(CleanedData[[#This Row],[DAY]], "mmm yyyy")</f>
        <v>Jan 2024</v>
      </c>
    </row>
    <row r="59" spans="1:14" x14ac:dyDescent="0.3">
      <c r="A59" s="5">
        <v>45304</v>
      </c>
      <c r="B59" s="12">
        <v>1830</v>
      </c>
      <c r="C59" s="12">
        <v>84</v>
      </c>
      <c r="D59" s="2" t="s">
        <v>6</v>
      </c>
      <c r="E59" s="2" t="s">
        <v>7</v>
      </c>
      <c r="F59" s="1">
        <v>548</v>
      </c>
      <c r="G59" s="13">
        <v>1714.5337037555207</v>
      </c>
      <c r="H59" s="14" t="b">
        <v>0</v>
      </c>
      <c r="I59" s="15">
        <f t="shared" si="0"/>
        <v>1830</v>
      </c>
      <c r="J59" s="15">
        <f t="shared" si="0"/>
        <v>84</v>
      </c>
      <c r="K59" s="15">
        <f t="shared" si="1"/>
        <v>1715</v>
      </c>
      <c r="L59" s="3" t="str">
        <f t="shared" si="2"/>
        <v>Saturday</v>
      </c>
      <c r="M59" s="4" t="str">
        <f t="shared" si="3"/>
        <v>Normal Day</v>
      </c>
      <c r="N59" s="4" t="str">
        <f>TEXT(CleanedData[[#This Row],[DAY]], "mmm yyyy")</f>
        <v>Jan 2024</v>
      </c>
    </row>
    <row r="60" spans="1:14" x14ac:dyDescent="0.3">
      <c r="A60" s="5">
        <v>45304</v>
      </c>
      <c r="B60" s="12">
        <v>2082</v>
      </c>
      <c r="C60" s="12">
        <v>84</v>
      </c>
      <c r="D60" s="2" t="s">
        <v>6</v>
      </c>
      <c r="E60" s="2" t="s">
        <v>8</v>
      </c>
      <c r="F60" s="1">
        <v>1051</v>
      </c>
      <c r="G60" s="13">
        <v>1884.0476610104486</v>
      </c>
      <c r="H60" s="14" t="b">
        <v>0</v>
      </c>
      <c r="I60" s="15">
        <f t="shared" si="0"/>
        <v>2082</v>
      </c>
      <c r="J60" s="15">
        <f t="shared" si="0"/>
        <v>84</v>
      </c>
      <c r="K60" s="15">
        <f t="shared" si="1"/>
        <v>1884</v>
      </c>
      <c r="L60" s="3" t="str">
        <f t="shared" si="2"/>
        <v>Saturday</v>
      </c>
      <c r="M60" s="4" t="str">
        <f t="shared" si="3"/>
        <v>Normal Day</v>
      </c>
      <c r="N60" s="4" t="str">
        <f>TEXT(CleanedData[[#This Row],[DAY]], "mmm yyyy")</f>
        <v>Jan 2024</v>
      </c>
    </row>
    <row r="61" spans="1:14" x14ac:dyDescent="0.3">
      <c r="A61" s="5">
        <v>45304</v>
      </c>
      <c r="B61" s="12">
        <v>5676</v>
      </c>
      <c r="C61" s="12">
        <v>147</v>
      </c>
      <c r="D61" s="2" t="s">
        <v>9</v>
      </c>
      <c r="E61" s="2" t="s">
        <v>8</v>
      </c>
      <c r="F61" s="1">
        <v>3545</v>
      </c>
      <c r="G61" s="13">
        <v>4912.6144993602356</v>
      </c>
      <c r="H61" s="14" t="b">
        <v>0</v>
      </c>
      <c r="I61" s="15">
        <f t="shared" si="0"/>
        <v>5676</v>
      </c>
      <c r="J61" s="15">
        <f t="shared" si="0"/>
        <v>147</v>
      </c>
      <c r="K61" s="15">
        <f t="shared" si="1"/>
        <v>4913</v>
      </c>
      <c r="L61" s="3" t="str">
        <f t="shared" si="2"/>
        <v>Saturday</v>
      </c>
      <c r="M61" s="4" t="str">
        <f t="shared" si="3"/>
        <v>Normal Day</v>
      </c>
      <c r="N61" s="4" t="str">
        <f>TEXT(CleanedData[[#This Row],[DAY]], "mmm yyyy")</f>
        <v>Jan 2024</v>
      </c>
    </row>
    <row r="62" spans="1:14" x14ac:dyDescent="0.3">
      <c r="A62" s="5">
        <v>45304</v>
      </c>
      <c r="B62" s="12">
        <v>8839.5</v>
      </c>
      <c r="C62" s="12">
        <v>76.5</v>
      </c>
      <c r="D62" s="2" t="s">
        <v>10</v>
      </c>
      <c r="E62" s="2" t="s">
        <v>7</v>
      </c>
      <c r="F62" s="1">
        <v>2268</v>
      </c>
      <c r="G62" s="13">
        <v>8234.4108477261216</v>
      </c>
      <c r="H62" s="14" t="b">
        <v>0</v>
      </c>
      <c r="I62" s="15">
        <f t="shared" si="0"/>
        <v>8840</v>
      </c>
      <c r="J62" s="15">
        <f t="shared" si="0"/>
        <v>77</v>
      </c>
      <c r="K62" s="15">
        <f t="shared" si="1"/>
        <v>8234</v>
      </c>
      <c r="L62" s="3" t="str">
        <f t="shared" si="2"/>
        <v>Saturday</v>
      </c>
      <c r="M62" s="4" t="str">
        <f t="shared" si="3"/>
        <v>Normal Day</v>
      </c>
      <c r="N62" s="4" t="str">
        <f>TEXT(CleanedData[[#This Row],[DAY]], "mmm yyyy")</f>
        <v>Jan 2024</v>
      </c>
    </row>
    <row r="63" spans="1:14" x14ac:dyDescent="0.3">
      <c r="A63" s="5">
        <v>45305</v>
      </c>
      <c r="B63" s="12">
        <v>1248</v>
      </c>
      <c r="C63" s="12">
        <v>45</v>
      </c>
      <c r="D63" s="2" t="s">
        <v>6</v>
      </c>
      <c r="E63" s="2" t="s">
        <v>7</v>
      </c>
      <c r="F63" s="1">
        <v>776</v>
      </c>
      <c r="G63" s="13">
        <v>1130.3290622500438</v>
      </c>
      <c r="H63" s="14" t="b">
        <v>0</v>
      </c>
      <c r="I63" s="15">
        <f t="shared" si="0"/>
        <v>1248</v>
      </c>
      <c r="J63" s="15">
        <f t="shared" si="0"/>
        <v>45</v>
      </c>
      <c r="K63" s="15">
        <f t="shared" si="1"/>
        <v>1130</v>
      </c>
      <c r="L63" s="3" t="str">
        <f t="shared" si="2"/>
        <v>Sunday</v>
      </c>
      <c r="M63" s="4" t="str">
        <f t="shared" si="3"/>
        <v>Normal Day</v>
      </c>
      <c r="N63" s="4" t="str">
        <f>TEXT(CleanedData[[#This Row],[DAY]], "mmm yyyy")</f>
        <v>Jan 2024</v>
      </c>
    </row>
    <row r="64" spans="1:14" x14ac:dyDescent="0.3">
      <c r="A64" s="5">
        <v>45305</v>
      </c>
      <c r="B64" s="12">
        <v>1786.5</v>
      </c>
      <c r="C64" s="12">
        <v>45</v>
      </c>
      <c r="D64" s="2" t="s">
        <v>6</v>
      </c>
      <c r="E64" s="2" t="s">
        <v>8</v>
      </c>
      <c r="F64" s="1">
        <v>371</v>
      </c>
      <c r="G64" s="13">
        <v>1584.3388512810131</v>
      </c>
      <c r="H64" s="14" t="b">
        <v>0</v>
      </c>
      <c r="I64" s="15">
        <f t="shared" si="0"/>
        <v>1787</v>
      </c>
      <c r="J64" s="15">
        <f t="shared" si="0"/>
        <v>45</v>
      </c>
      <c r="K64" s="15">
        <f t="shared" si="1"/>
        <v>1584</v>
      </c>
      <c r="L64" s="3" t="str">
        <f t="shared" si="2"/>
        <v>Sunday</v>
      </c>
      <c r="M64" s="4" t="str">
        <f t="shared" si="3"/>
        <v>Normal Day</v>
      </c>
      <c r="N64" s="4" t="str">
        <f>TEXT(CleanedData[[#This Row],[DAY]], "mmm yyyy")</f>
        <v>Jan 2024</v>
      </c>
    </row>
    <row r="65" spans="1:14" x14ac:dyDescent="0.3">
      <c r="A65" s="5">
        <v>45305</v>
      </c>
      <c r="B65" s="12">
        <v>5508</v>
      </c>
      <c r="C65" s="12">
        <v>238.5</v>
      </c>
      <c r="D65" s="2" t="s">
        <v>9</v>
      </c>
      <c r="E65" s="2" t="s">
        <v>8</v>
      </c>
      <c r="F65" s="1">
        <v>1874</v>
      </c>
      <c r="G65" s="13">
        <v>4908.0142093654131</v>
      </c>
      <c r="H65" s="14" t="b">
        <v>0</v>
      </c>
      <c r="I65" s="15">
        <f t="shared" si="0"/>
        <v>5508</v>
      </c>
      <c r="J65" s="15">
        <f t="shared" si="0"/>
        <v>239</v>
      </c>
      <c r="K65" s="15">
        <f t="shared" si="1"/>
        <v>4908</v>
      </c>
      <c r="L65" s="3" t="str">
        <f t="shared" si="2"/>
        <v>Sunday</v>
      </c>
      <c r="M65" s="4" t="str">
        <f t="shared" si="3"/>
        <v>Normal Day</v>
      </c>
      <c r="N65" s="4" t="str">
        <f>TEXT(CleanedData[[#This Row],[DAY]], "mmm yyyy")</f>
        <v>Jan 2024</v>
      </c>
    </row>
    <row r="66" spans="1:14" x14ac:dyDescent="0.3">
      <c r="A66" s="5">
        <v>45305</v>
      </c>
      <c r="B66" s="12">
        <v>9114</v>
      </c>
      <c r="C66" s="12">
        <v>549</v>
      </c>
      <c r="D66" s="2" t="s">
        <v>10</v>
      </c>
      <c r="E66" s="2" t="s">
        <v>7</v>
      </c>
      <c r="F66" s="1">
        <v>4933</v>
      </c>
      <c r="G66" s="13">
        <v>9067.0596422617782</v>
      </c>
      <c r="H66" s="14" t="b">
        <v>0</v>
      </c>
      <c r="I66" s="15">
        <f t="shared" ref="I66:J129" si="4">ROUND(B66, 0)</f>
        <v>9114</v>
      </c>
      <c r="J66" s="15">
        <f t="shared" si="4"/>
        <v>549</v>
      </c>
      <c r="K66" s="15">
        <f t="shared" ref="K66:K129" si="5">ROUND(G66, 0)</f>
        <v>9067</v>
      </c>
      <c r="L66" s="3" t="str">
        <f t="shared" si="2"/>
        <v>Sunday</v>
      </c>
      <c r="M66" s="4" t="str">
        <f t="shared" si="3"/>
        <v>Normal Day</v>
      </c>
      <c r="N66" s="4" t="str">
        <f>TEXT(CleanedData[[#This Row],[DAY]], "mmm yyyy")</f>
        <v>Jan 2024</v>
      </c>
    </row>
    <row r="67" spans="1:14" x14ac:dyDescent="0.3">
      <c r="A67" s="5">
        <v>45306</v>
      </c>
      <c r="B67" s="12">
        <v>1.5</v>
      </c>
      <c r="C67" s="12">
        <v>0</v>
      </c>
      <c r="D67" s="2" t="s">
        <v>10</v>
      </c>
      <c r="E67" s="2" t="s">
        <v>8</v>
      </c>
      <c r="F67" s="1">
        <v>1</v>
      </c>
      <c r="G67" s="13">
        <v>1.2115028971608466</v>
      </c>
      <c r="H67" s="14" t="b">
        <v>1</v>
      </c>
      <c r="I67" s="15">
        <f t="shared" si="4"/>
        <v>2</v>
      </c>
      <c r="J67" s="15">
        <f t="shared" si="4"/>
        <v>0</v>
      </c>
      <c r="K67" s="15">
        <f t="shared" si="5"/>
        <v>1</v>
      </c>
      <c r="L67" s="3" t="str">
        <f t="shared" ref="L67:L130" si="6">TEXT(A67,"dddd")</f>
        <v>Monday</v>
      </c>
      <c r="M67" s="4" t="str">
        <f t="shared" ref="M67:M130" si="7">IF(H67=TRUE, "Outage Day", "Normal Day")</f>
        <v>Outage Day</v>
      </c>
      <c r="N67" s="4" t="str">
        <f>TEXT(CleanedData[[#This Row],[DAY]], "mmm yyyy")</f>
        <v>Jan 2024</v>
      </c>
    </row>
    <row r="68" spans="1:14" x14ac:dyDescent="0.3">
      <c r="A68" s="5">
        <v>45306</v>
      </c>
      <c r="B68" s="12">
        <v>1.5</v>
      </c>
      <c r="C68" s="12">
        <v>0</v>
      </c>
      <c r="D68" s="2" t="s">
        <v>9</v>
      </c>
      <c r="E68" s="2" t="s">
        <v>7</v>
      </c>
      <c r="F68" s="1">
        <v>1</v>
      </c>
      <c r="G68" s="13">
        <v>1.3150509968934345</v>
      </c>
      <c r="H68" s="14" t="b">
        <v>0</v>
      </c>
      <c r="I68" s="15">
        <f t="shared" si="4"/>
        <v>2</v>
      </c>
      <c r="J68" s="15">
        <f t="shared" si="4"/>
        <v>0</v>
      </c>
      <c r="K68" s="15">
        <f t="shared" si="5"/>
        <v>1</v>
      </c>
      <c r="L68" s="3" t="str">
        <f t="shared" si="6"/>
        <v>Monday</v>
      </c>
      <c r="M68" s="4" t="str">
        <f t="shared" si="7"/>
        <v>Normal Day</v>
      </c>
      <c r="N68" s="4" t="str">
        <f>TEXT(CleanedData[[#This Row],[DAY]], "mmm yyyy")</f>
        <v>Jan 2024</v>
      </c>
    </row>
    <row r="69" spans="1:14" x14ac:dyDescent="0.3">
      <c r="A69" s="5">
        <v>45306</v>
      </c>
      <c r="B69" s="12">
        <v>805.5</v>
      </c>
      <c r="C69" s="12">
        <v>28.5</v>
      </c>
      <c r="D69" s="2" t="s">
        <v>6</v>
      </c>
      <c r="E69" s="2" t="s">
        <v>7</v>
      </c>
      <c r="F69" s="1">
        <v>234</v>
      </c>
      <c r="G69" s="13">
        <v>728.99422560318897</v>
      </c>
      <c r="H69" s="14" t="b">
        <v>0</v>
      </c>
      <c r="I69" s="15">
        <f t="shared" si="4"/>
        <v>806</v>
      </c>
      <c r="J69" s="15">
        <f t="shared" si="4"/>
        <v>29</v>
      </c>
      <c r="K69" s="15">
        <f t="shared" si="5"/>
        <v>729</v>
      </c>
      <c r="L69" s="3" t="str">
        <f t="shared" si="6"/>
        <v>Monday</v>
      </c>
      <c r="M69" s="4" t="str">
        <f t="shared" si="7"/>
        <v>Normal Day</v>
      </c>
      <c r="N69" s="4" t="str">
        <f>TEXT(CleanedData[[#This Row],[DAY]], "mmm yyyy")</f>
        <v>Jan 2024</v>
      </c>
    </row>
    <row r="70" spans="1:14" x14ac:dyDescent="0.3">
      <c r="A70" s="5">
        <v>45306</v>
      </c>
      <c r="B70" s="12">
        <v>1372.5</v>
      </c>
      <c r="C70" s="12">
        <v>28.5</v>
      </c>
      <c r="D70" s="2" t="s">
        <v>6</v>
      </c>
      <c r="E70" s="2" t="s">
        <v>8</v>
      </c>
      <c r="F70" s="1">
        <v>765</v>
      </c>
      <c r="G70" s="13">
        <v>1243.0509741556064</v>
      </c>
      <c r="H70" s="14" t="b">
        <v>0</v>
      </c>
      <c r="I70" s="15">
        <f t="shared" si="4"/>
        <v>1373</v>
      </c>
      <c r="J70" s="15">
        <f t="shared" si="4"/>
        <v>29</v>
      </c>
      <c r="K70" s="15">
        <f t="shared" si="5"/>
        <v>1243</v>
      </c>
      <c r="L70" s="3" t="str">
        <f t="shared" si="6"/>
        <v>Monday</v>
      </c>
      <c r="M70" s="4" t="str">
        <f t="shared" si="7"/>
        <v>Normal Day</v>
      </c>
      <c r="N70" s="4" t="str">
        <f>TEXT(CleanedData[[#This Row],[DAY]], "mmm yyyy")</f>
        <v>Jan 2024</v>
      </c>
    </row>
    <row r="71" spans="1:14" x14ac:dyDescent="0.3">
      <c r="A71" s="5">
        <v>45306</v>
      </c>
      <c r="B71" s="12">
        <v>5523</v>
      </c>
      <c r="C71" s="12">
        <v>129</v>
      </c>
      <c r="D71" s="2" t="s">
        <v>9</v>
      </c>
      <c r="E71" s="2" t="s">
        <v>8</v>
      </c>
      <c r="F71" s="1">
        <v>2865</v>
      </c>
      <c r="G71" s="13">
        <v>4944.4185711920718</v>
      </c>
      <c r="H71" s="14" t="b">
        <v>0</v>
      </c>
      <c r="I71" s="15">
        <f t="shared" si="4"/>
        <v>5523</v>
      </c>
      <c r="J71" s="15">
        <f t="shared" si="4"/>
        <v>129</v>
      </c>
      <c r="K71" s="15">
        <f t="shared" si="5"/>
        <v>4944</v>
      </c>
      <c r="L71" s="3" t="str">
        <f t="shared" si="6"/>
        <v>Monday</v>
      </c>
      <c r="M71" s="4" t="str">
        <f t="shared" si="7"/>
        <v>Normal Day</v>
      </c>
      <c r="N71" s="4" t="str">
        <f>TEXT(CleanedData[[#This Row],[DAY]], "mmm yyyy")</f>
        <v>Jan 2024</v>
      </c>
    </row>
    <row r="72" spans="1:14" x14ac:dyDescent="0.3">
      <c r="A72" s="5">
        <v>45306</v>
      </c>
      <c r="B72" s="12">
        <v>8619</v>
      </c>
      <c r="C72" s="12">
        <v>367.5</v>
      </c>
      <c r="D72" s="2" t="s">
        <v>10</v>
      </c>
      <c r="E72" s="2" t="s">
        <v>7</v>
      </c>
      <c r="F72" s="1">
        <v>5042</v>
      </c>
      <c r="G72" s="13">
        <v>7962.1912249588459</v>
      </c>
      <c r="H72" s="14" t="b">
        <v>0</v>
      </c>
      <c r="I72" s="15">
        <f t="shared" si="4"/>
        <v>8619</v>
      </c>
      <c r="J72" s="15">
        <f t="shared" si="4"/>
        <v>368</v>
      </c>
      <c r="K72" s="15">
        <f t="shared" si="5"/>
        <v>7962</v>
      </c>
      <c r="L72" s="3" t="str">
        <f t="shared" si="6"/>
        <v>Monday</v>
      </c>
      <c r="M72" s="4" t="str">
        <f t="shared" si="7"/>
        <v>Normal Day</v>
      </c>
      <c r="N72" s="4" t="str">
        <f>TEXT(CleanedData[[#This Row],[DAY]], "mmm yyyy")</f>
        <v>Jan 2024</v>
      </c>
    </row>
    <row r="73" spans="1:14" x14ac:dyDescent="0.3">
      <c r="A73" s="5">
        <v>45307</v>
      </c>
      <c r="B73" s="12">
        <v>1401</v>
      </c>
      <c r="C73" s="12">
        <v>129</v>
      </c>
      <c r="D73" s="2" t="s">
        <v>6</v>
      </c>
      <c r="E73" s="2" t="s">
        <v>8</v>
      </c>
      <c r="F73" s="1">
        <v>867</v>
      </c>
      <c r="G73" s="13">
        <v>1319.9259492945243</v>
      </c>
      <c r="H73" s="14" t="b">
        <v>0</v>
      </c>
      <c r="I73" s="15">
        <f t="shared" si="4"/>
        <v>1401</v>
      </c>
      <c r="J73" s="15">
        <f t="shared" si="4"/>
        <v>129</v>
      </c>
      <c r="K73" s="15">
        <f t="shared" si="5"/>
        <v>1320</v>
      </c>
      <c r="L73" s="3" t="str">
        <f t="shared" si="6"/>
        <v>Tuesday</v>
      </c>
      <c r="M73" s="4" t="str">
        <f t="shared" si="7"/>
        <v>Normal Day</v>
      </c>
      <c r="N73" s="4" t="str">
        <f>TEXT(CleanedData[[#This Row],[DAY]], "mmm yyyy")</f>
        <v>Jan 2024</v>
      </c>
    </row>
    <row r="74" spans="1:14" x14ac:dyDescent="0.3">
      <c r="A74" s="5">
        <v>45307</v>
      </c>
      <c r="B74" s="12">
        <v>2869.5</v>
      </c>
      <c r="C74" s="12">
        <v>129</v>
      </c>
      <c r="D74" s="2" t="s">
        <v>6</v>
      </c>
      <c r="E74" s="2" t="s">
        <v>7</v>
      </c>
      <c r="F74" s="1">
        <v>390</v>
      </c>
      <c r="G74" s="13">
        <v>2713.0023070697248</v>
      </c>
      <c r="H74" s="14" t="b">
        <v>0</v>
      </c>
      <c r="I74" s="15">
        <f t="shared" si="4"/>
        <v>2870</v>
      </c>
      <c r="J74" s="15">
        <f t="shared" si="4"/>
        <v>129</v>
      </c>
      <c r="K74" s="15">
        <f t="shared" si="5"/>
        <v>2713</v>
      </c>
      <c r="L74" s="3" t="str">
        <f t="shared" si="6"/>
        <v>Tuesday</v>
      </c>
      <c r="M74" s="4" t="str">
        <f t="shared" si="7"/>
        <v>Normal Day</v>
      </c>
      <c r="N74" s="4" t="str">
        <f>TEXT(CleanedData[[#This Row],[DAY]], "mmm yyyy")</f>
        <v>Jan 2024</v>
      </c>
    </row>
    <row r="75" spans="1:14" x14ac:dyDescent="0.3">
      <c r="A75" s="5">
        <v>45307</v>
      </c>
      <c r="B75" s="12">
        <v>3754.5</v>
      </c>
      <c r="C75" s="12">
        <v>117</v>
      </c>
      <c r="D75" s="2" t="s">
        <v>9</v>
      </c>
      <c r="E75" s="2" t="s">
        <v>8</v>
      </c>
      <c r="F75" s="1">
        <v>988</v>
      </c>
      <c r="G75" s="13">
        <v>3304.6856961107342</v>
      </c>
      <c r="H75" s="14" t="b">
        <v>0</v>
      </c>
      <c r="I75" s="15">
        <f t="shared" si="4"/>
        <v>3755</v>
      </c>
      <c r="J75" s="15">
        <f t="shared" si="4"/>
        <v>117</v>
      </c>
      <c r="K75" s="15">
        <f t="shared" si="5"/>
        <v>3305</v>
      </c>
      <c r="L75" s="3" t="str">
        <f t="shared" si="6"/>
        <v>Tuesday</v>
      </c>
      <c r="M75" s="4" t="str">
        <f t="shared" si="7"/>
        <v>Normal Day</v>
      </c>
      <c r="N75" s="4" t="str">
        <f>TEXT(CleanedData[[#This Row],[DAY]], "mmm yyyy")</f>
        <v>Jan 2024</v>
      </c>
    </row>
    <row r="76" spans="1:14" x14ac:dyDescent="0.3">
      <c r="A76" s="5">
        <v>45307</v>
      </c>
      <c r="B76" s="12">
        <v>6999</v>
      </c>
      <c r="C76" s="12">
        <v>36</v>
      </c>
      <c r="D76" s="2" t="s">
        <v>10</v>
      </c>
      <c r="E76" s="2" t="s">
        <v>7</v>
      </c>
      <c r="F76" s="1">
        <v>1202</v>
      </c>
      <c r="G76" s="13">
        <v>6206.9516646711527</v>
      </c>
      <c r="H76" s="14" t="b">
        <v>0</v>
      </c>
      <c r="I76" s="15">
        <f t="shared" si="4"/>
        <v>6999</v>
      </c>
      <c r="J76" s="15">
        <f t="shared" si="4"/>
        <v>36</v>
      </c>
      <c r="K76" s="15">
        <f t="shared" si="5"/>
        <v>6207</v>
      </c>
      <c r="L76" s="3" t="str">
        <f t="shared" si="6"/>
        <v>Tuesday</v>
      </c>
      <c r="M76" s="4" t="str">
        <f t="shared" si="7"/>
        <v>Normal Day</v>
      </c>
      <c r="N76" s="4" t="str">
        <f>TEXT(CleanedData[[#This Row],[DAY]], "mmm yyyy")</f>
        <v>Jan 2024</v>
      </c>
    </row>
    <row r="77" spans="1:14" x14ac:dyDescent="0.3">
      <c r="A77" s="5">
        <v>45308</v>
      </c>
      <c r="B77" s="12">
        <v>1.5</v>
      </c>
      <c r="C77" s="12">
        <v>0</v>
      </c>
      <c r="D77" s="2" t="s">
        <v>9</v>
      </c>
      <c r="E77" s="2" t="s">
        <v>7</v>
      </c>
      <c r="F77" s="1">
        <v>1</v>
      </c>
      <c r="G77" s="13">
        <v>1.383750171884262</v>
      </c>
      <c r="H77" s="14" t="b">
        <v>0</v>
      </c>
      <c r="I77" s="15">
        <f t="shared" si="4"/>
        <v>2</v>
      </c>
      <c r="J77" s="15">
        <f t="shared" si="4"/>
        <v>0</v>
      </c>
      <c r="K77" s="15">
        <f t="shared" si="5"/>
        <v>1</v>
      </c>
      <c r="L77" s="3" t="str">
        <f t="shared" si="6"/>
        <v>Wednesday</v>
      </c>
      <c r="M77" s="4" t="str">
        <f t="shared" si="7"/>
        <v>Normal Day</v>
      </c>
      <c r="N77" s="4" t="str">
        <f>TEXT(CleanedData[[#This Row],[DAY]], "mmm yyyy")</f>
        <v>Jan 2024</v>
      </c>
    </row>
    <row r="78" spans="1:14" x14ac:dyDescent="0.3">
      <c r="A78" s="5">
        <v>45308</v>
      </c>
      <c r="B78" s="12">
        <v>594</v>
      </c>
      <c r="C78" s="12">
        <v>39</v>
      </c>
      <c r="D78" s="2" t="s">
        <v>6</v>
      </c>
      <c r="E78" s="2" t="s">
        <v>7</v>
      </c>
      <c r="F78" s="1">
        <v>339</v>
      </c>
      <c r="G78" s="13">
        <v>570.21327819894657</v>
      </c>
      <c r="H78" s="14" t="b">
        <v>0</v>
      </c>
      <c r="I78" s="15">
        <f t="shared" si="4"/>
        <v>594</v>
      </c>
      <c r="J78" s="15">
        <f t="shared" si="4"/>
        <v>39</v>
      </c>
      <c r="K78" s="15">
        <f t="shared" si="5"/>
        <v>570</v>
      </c>
      <c r="L78" s="3" t="str">
        <f t="shared" si="6"/>
        <v>Wednesday</v>
      </c>
      <c r="M78" s="4" t="str">
        <f t="shared" si="7"/>
        <v>Normal Day</v>
      </c>
      <c r="N78" s="4" t="str">
        <f>TEXT(CleanedData[[#This Row],[DAY]], "mmm yyyy")</f>
        <v>Jan 2024</v>
      </c>
    </row>
    <row r="79" spans="1:14" x14ac:dyDescent="0.3">
      <c r="A79" s="5">
        <v>45308</v>
      </c>
      <c r="B79" s="12">
        <v>681</v>
      </c>
      <c r="C79" s="12">
        <v>39</v>
      </c>
      <c r="D79" s="2" t="s">
        <v>6</v>
      </c>
      <c r="E79" s="2" t="s">
        <v>8</v>
      </c>
      <c r="F79" s="1">
        <v>141</v>
      </c>
      <c r="G79" s="13">
        <v>625.4415212779511</v>
      </c>
      <c r="H79" s="14" t="b">
        <v>0</v>
      </c>
      <c r="I79" s="15">
        <f t="shared" si="4"/>
        <v>681</v>
      </c>
      <c r="J79" s="15">
        <f t="shared" si="4"/>
        <v>39</v>
      </c>
      <c r="K79" s="15">
        <f t="shared" si="5"/>
        <v>625</v>
      </c>
      <c r="L79" s="3" t="str">
        <f t="shared" si="6"/>
        <v>Wednesday</v>
      </c>
      <c r="M79" s="4" t="str">
        <f t="shared" si="7"/>
        <v>Normal Day</v>
      </c>
      <c r="N79" s="4" t="str">
        <f>TEXT(CleanedData[[#This Row],[DAY]], "mmm yyyy")</f>
        <v>Jan 2024</v>
      </c>
    </row>
    <row r="80" spans="1:14" x14ac:dyDescent="0.3">
      <c r="A80" s="5">
        <v>45308</v>
      </c>
      <c r="B80" s="12">
        <v>4933.5</v>
      </c>
      <c r="C80" s="12">
        <v>42</v>
      </c>
      <c r="D80" s="2" t="s">
        <v>9</v>
      </c>
      <c r="E80" s="2" t="s">
        <v>8</v>
      </c>
      <c r="F80" s="1">
        <v>2250</v>
      </c>
      <c r="G80" s="13">
        <v>4265.1127056049299</v>
      </c>
      <c r="H80" s="14" t="b">
        <v>0</v>
      </c>
      <c r="I80" s="15">
        <f t="shared" si="4"/>
        <v>4934</v>
      </c>
      <c r="J80" s="15">
        <f t="shared" si="4"/>
        <v>42</v>
      </c>
      <c r="K80" s="15">
        <f t="shared" si="5"/>
        <v>4265</v>
      </c>
      <c r="L80" s="3" t="str">
        <f t="shared" si="6"/>
        <v>Wednesday</v>
      </c>
      <c r="M80" s="4" t="str">
        <f t="shared" si="7"/>
        <v>Normal Day</v>
      </c>
      <c r="N80" s="4" t="str">
        <f>TEXT(CleanedData[[#This Row],[DAY]], "mmm yyyy")</f>
        <v>Jan 2024</v>
      </c>
    </row>
    <row r="81" spans="1:14" x14ac:dyDescent="0.3">
      <c r="A81" s="5">
        <v>45308</v>
      </c>
      <c r="B81" s="12">
        <v>9771</v>
      </c>
      <c r="C81" s="12">
        <v>199.5</v>
      </c>
      <c r="D81" s="2" t="s">
        <v>10</v>
      </c>
      <c r="E81" s="2" t="s">
        <v>7</v>
      </c>
      <c r="F81" s="1">
        <v>320</v>
      </c>
      <c r="G81" s="13">
        <v>9278.7302234827639</v>
      </c>
      <c r="H81" s="14" t="b">
        <v>0</v>
      </c>
      <c r="I81" s="15">
        <f t="shared" si="4"/>
        <v>9771</v>
      </c>
      <c r="J81" s="15">
        <f t="shared" si="4"/>
        <v>200</v>
      </c>
      <c r="K81" s="15">
        <f t="shared" si="5"/>
        <v>9279</v>
      </c>
      <c r="L81" s="3" t="str">
        <f t="shared" si="6"/>
        <v>Wednesday</v>
      </c>
      <c r="M81" s="4" t="str">
        <f t="shared" si="7"/>
        <v>Normal Day</v>
      </c>
      <c r="N81" s="4" t="str">
        <f>TEXT(CleanedData[[#This Row],[DAY]], "mmm yyyy")</f>
        <v>Jan 2024</v>
      </c>
    </row>
    <row r="82" spans="1:14" x14ac:dyDescent="0.3">
      <c r="A82" s="5">
        <v>45309</v>
      </c>
      <c r="B82" s="12">
        <v>1.5</v>
      </c>
      <c r="C82" s="12">
        <v>0</v>
      </c>
      <c r="D82" s="2" t="s">
        <v>9</v>
      </c>
      <c r="E82" s="2" t="s">
        <v>7</v>
      </c>
      <c r="F82" s="1">
        <v>1</v>
      </c>
      <c r="G82" s="13">
        <v>1.4033903676196995</v>
      </c>
      <c r="H82" s="14" t="b">
        <v>0</v>
      </c>
      <c r="I82" s="15">
        <f t="shared" si="4"/>
        <v>2</v>
      </c>
      <c r="J82" s="15">
        <f t="shared" si="4"/>
        <v>0</v>
      </c>
      <c r="K82" s="15">
        <f t="shared" si="5"/>
        <v>1</v>
      </c>
      <c r="L82" s="3" t="str">
        <f t="shared" si="6"/>
        <v>Thursday</v>
      </c>
      <c r="M82" s="4" t="str">
        <f t="shared" si="7"/>
        <v>Normal Day</v>
      </c>
      <c r="N82" s="4" t="str">
        <f>TEXT(CleanedData[[#This Row],[DAY]], "mmm yyyy")</f>
        <v>Jan 2024</v>
      </c>
    </row>
    <row r="83" spans="1:14" x14ac:dyDescent="0.3">
      <c r="A83" s="5">
        <v>45309</v>
      </c>
      <c r="B83" s="12">
        <v>1176</v>
      </c>
      <c r="C83" s="12">
        <v>13.5</v>
      </c>
      <c r="D83" s="2" t="s">
        <v>6</v>
      </c>
      <c r="E83" s="2" t="s">
        <v>8</v>
      </c>
      <c r="F83" s="1">
        <v>6</v>
      </c>
      <c r="G83" s="13">
        <v>991.85875355701637</v>
      </c>
      <c r="H83" s="14" t="b">
        <v>0</v>
      </c>
      <c r="I83" s="15">
        <f t="shared" si="4"/>
        <v>1176</v>
      </c>
      <c r="J83" s="15">
        <f t="shared" si="4"/>
        <v>14</v>
      </c>
      <c r="K83" s="15">
        <f t="shared" si="5"/>
        <v>992</v>
      </c>
      <c r="L83" s="3" t="str">
        <f t="shared" si="6"/>
        <v>Thursday</v>
      </c>
      <c r="M83" s="4" t="str">
        <f t="shared" si="7"/>
        <v>Normal Day</v>
      </c>
      <c r="N83" s="4" t="str">
        <f>TEXT(CleanedData[[#This Row],[DAY]], "mmm yyyy")</f>
        <v>Jan 2024</v>
      </c>
    </row>
    <row r="84" spans="1:14" x14ac:dyDescent="0.3">
      <c r="A84" s="5">
        <v>45309</v>
      </c>
      <c r="B84" s="12">
        <v>1492.5</v>
      </c>
      <c r="C84" s="12">
        <v>13.5</v>
      </c>
      <c r="D84" s="2" t="s">
        <v>6</v>
      </c>
      <c r="E84" s="2" t="s">
        <v>7</v>
      </c>
      <c r="F84" s="1">
        <v>644</v>
      </c>
      <c r="G84" s="13">
        <v>1357.5770137313223</v>
      </c>
      <c r="H84" s="14" t="b">
        <v>0</v>
      </c>
      <c r="I84" s="15">
        <f t="shared" si="4"/>
        <v>1493</v>
      </c>
      <c r="J84" s="15">
        <f t="shared" si="4"/>
        <v>14</v>
      </c>
      <c r="K84" s="15">
        <f t="shared" si="5"/>
        <v>1358</v>
      </c>
      <c r="L84" s="3" t="str">
        <f t="shared" si="6"/>
        <v>Thursday</v>
      </c>
      <c r="M84" s="4" t="str">
        <f t="shared" si="7"/>
        <v>Normal Day</v>
      </c>
      <c r="N84" s="4" t="str">
        <f>TEXT(CleanedData[[#This Row],[DAY]], "mmm yyyy")</f>
        <v>Jan 2024</v>
      </c>
    </row>
    <row r="85" spans="1:14" x14ac:dyDescent="0.3">
      <c r="A85" s="5">
        <v>45309</v>
      </c>
      <c r="B85" s="12">
        <v>4758</v>
      </c>
      <c r="C85" s="12">
        <v>175.5</v>
      </c>
      <c r="D85" s="2" t="s">
        <v>9</v>
      </c>
      <c r="E85" s="2" t="s">
        <v>8</v>
      </c>
      <c r="F85" s="1">
        <v>2200</v>
      </c>
      <c r="G85" s="13">
        <v>4303.1850747513554</v>
      </c>
      <c r="H85" s="14" t="b">
        <v>0</v>
      </c>
      <c r="I85" s="15">
        <f t="shared" si="4"/>
        <v>4758</v>
      </c>
      <c r="J85" s="15">
        <f t="shared" si="4"/>
        <v>176</v>
      </c>
      <c r="K85" s="15">
        <f t="shared" si="5"/>
        <v>4303</v>
      </c>
      <c r="L85" s="3" t="str">
        <f t="shared" si="6"/>
        <v>Thursday</v>
      </c>
      <c r="M85" s="4" t="str">
        <f t="shared" si="7"/>
        <v>Normal Day</v>
      </c>
      <c r="N85" s="4" t="str">
        <f>TEXT(CleanedData[[#This Row],[DAY]], "mmm yyyy")</f>
        <v>Jan 2024</v>
      </c>
    </row>
    <row r="86" spans="1:14" x14ac:dyDescent="0.3">
      <c r="A86" s="5">
        <v>45309</v>
      </c>
      <c r="B86" s="12">
        <v>8883</v>
      </c>
      <c r="C86" s="12">
        <v>277.5</v>
      </c>
      <c r="D86" s="2" t="s">
        <v>10</v>
      </c>
      <c r="E86" s="2" t="s">
        <v>7</v>
      </c>
      <c r="F86" s="1">
        <v>4950</v>
      </c>
      <c r="G86" s="13">
        <v>8031.2519594617988</v>
      </c>
      <c r="H86" s="14" t="b">
        <v>0</v>
      </c>
      <c r="I86" s="15">
        <f t="shared" si="4"/>
        <v>8883</v>
      </c>
      <c r="J86" s="15">
        <f t="shared" si="4"/>
        <v>278</v>
      </c>
      <c r="K86" s="15">
        <f t="shared" si="5"/>
        <v>8031</v>
      </c>
      <c r="L86" s="3" t="str">
        <f t="shared" si="6"/>
        <v>Thursday</v>
      </c>
      <c r="M86" s="4" t="str">
        <f t="shared" si="7"/>
        <v>Normal Day</v>
      </c>
      <c r="N86" s="4" t="str">
        <f>TEXT(CleanedData[[#This Row],[DAY]], "mmm yyyy")</f>
        <v>Jan 2024</v>
      </c>
    </row>
    <row r="87" spans="1:14" x14ac:dyDescent="0.3">
      <c r="A87" s="5">
        <v>45310</v>
      </c>
      <c r="B87" s="12">
        <v>1239</v>
      </c>
      <c r="C87" s="12">
        <v>76.5</v>
      </c>
      <c r="D87" s="2" t="s">
        <v>6</v>
      </c>
      <c r="E87" s="2" t="s">
        <v>7</v>
      </c>
      <c r="F87" s="1">
        <v>362</v>
      </c>
      <c r="G87" s="13">
        <v>1191.5606785433654</v>
      </c>
      <c r="H87" s="14" t="b">
        <v>0</v>
      </c>
      <c r="I87" s="15">
        <f t="shared" si="4"/>
        <v>1239</v>
      </c>
      <c r="J87" s="15">
        <f t="shared" si="4"/>
        <v>77</v>
      </c>
      <c r="K87" s="15">
        <f t="shared" si="5"/>
        <v>1192</v>
      </c>
      <c r="L87" s="3" t="str">
        <f t="shared" si="6"/>
        <v>Friday</v>
      </c>
      <c r="M87" s="4" t="str">
        <f t="shared" si="7"/>
        <v>Normal Day</v>
      </c>
      <c r="N87" s="4" t="str">
        <f>TEXT(CleanedData[[#This Row],[DAY]], "mmm yyyy")</f>
        <v>Jan 2024</v>
      </c>
    </row>
    <row r="88" spans="1:14" x14ac:dyDescent="0.3">
      <c r="A88" s="5">
        <v>45310</v>
      </c>
      <c r="B88" s="12">
        <v>1473</v>
      </c>
      <c r="C88" s="12">
        <v>76.5</v>
      </c>
      <c r="D88" s="2" t="s">
        <v>6</v>
      </c>
      <c r="E88" s="2" t="s">
        <v>8</v>
      </c>
      <c r="F88" s="1">
        <v>250</v>
      </c>
      <c r="G88" s="13">
        <v>1306.5375758946875</v>
      </c>
      <c r="H88" s="14" t="b">
        <v>0</v>
      </c>
      <c r="I88" s="15">
        <f t="shared" si="4"/>
        <v>1473</v>
      </c>
      <c r="J88" s="15">
        <f t="shared" si="4"/>
        <v>77</v>
      </c>
      <c r="K88" s="15">
        <f t="shared" si="5"/>
        <v>1307</v>
      </c>
      <c r="L88" s="3" t="str">
        <f t="shared" si="6"/>
        <v>Friday</v>
      </c>
      <c r="M88" s="4" t="str">
        <f t="shared" si="7"/>
        <v>Normal Day</v>
      </c>
      <c r="N88" s="4" t="str">
        <f>TEXT(CleanedData[[#This Row],[DAY]], "mmm yyyy")</f>
        <v>Jan 2024</v>
      </c>
    </row>
    <row r="89" spans="1:14" x14ac:dyDescent="0.3">
      <c r="A89" s="5">
        <v>45310</v>
      </c>
      <c r="B89" s="12">
        <v>5226</v>
      </c>
      <c r="C89" s="12">
        <v>231</v>
      </c>
      <c r="D89" s="2" t="s">
        <v>9</v>
      </c>
      <c r="E89" s="2" t="s">
        <v>8</v>
      </c>
      <c r="F89" s="1">
        <v>2948</v>
      </c>
      <c r="G89" s="13">
        <v>4465.3398406988326</v>
      </c>
      <c r="H89" s="14" t="b">
        <v>0</v>
      </c>
      <c r="I89" s="15">
        <f t="shared" si="4"/>
        <v>5226</v>
      </c>
      <c r="J89" s="15">
        <f t="shared" si="4"/>
        <v>231</v>
      </c>
      <c r="K89" s="15">
        <f t="shared" si="5"/>
        <v>4465</v>
      </c>
      <c r="L89" s="3" t="str">
        <f t="shared" si="6"/>
        <v>Friday</v>
      </c>
      <c r="M89" s="4" t="str">
        <f t="shared" si="7"/>
        <v>Normal Day</v>
      </c>
      <c r="N89" s="4" t="str">
        <f>TEXT(CleanedData[[#This Row],[DAY]], "mmm yyyy")</f>
        <v>Jan 2024</v>
      </c>
    </row>
    <row r="90" spans="1:14" x14ac:dyDescent="0.3">
      <c r="A90" s="5">
        <v>45310</v>
      </c>
      <c r="B90" s="12">
        <v>8775</v>
      </c>
      <c r="C90" s="12">
        <v>252</v>
      </c>
      <c r="D90" s="2" t="s">
        <v>10</v>
      </c>
      <c r="E90" s="2" t="s">
        <v>7</v>
      </c>
      <c r="F90" s="1">
        <v>168</v>
      </c>
      <c r="G90" s="13">
        <v>7872.1951617437899</v>
      </c>
      <c r="H90" s="14" t="b">
        <v>0</v>
      </c>
      <c r="I90" s="15">
        <f t="shared" si="4"/>
        <v>8775</v>
      </c>
      <c r="J90" s="15">
        <f t="shared" si="4"/>
        <v>252</v>
      </c>
      <c r="K90" s="15">
        <f t="shared" si="5"/>
        <v>7872</v>
      </c>
      <c r="L90" s="3" t="str">
        <f t="shared" si="6"/>
        <v>Friday</v>
      </c>
      <c r="M90" s="4" t="str">
        <f t="shared" si="7"/>
        <v>Normal Day</v>
      </c>
      <c r="N90" s="4" t="str">
        <f>TEXT(CleanedData[[#This Row],[DAY]], "mmm yyyy")</f>
        <v>Jan 2024</v>
      </c>
    </row>
    <row r="91" spans="1:14" x14ac:dyDescent="0.3">
      <c r="A91" s="5">
        <v>45311</v>
      </c>
      <c r="B91" s="12">
        <v>1.5</v>
      </c>
      <c r="C91" s="12">
        <v>0</v>
      </c>
      <c r="D91" s="2" t="s">
        <v>10</v>
      </c>
      <c r="E91" s="2" t="s">
        <v>8</v>
      </c>
      <c r="F91" s="1">
        <v>1</v>
      </c>
      <c r="G91" s="13">
        <v>1.3220758836285436</v>
      </c>
      <c r="H91" s="14" t="b">
        <v>0</v>
      </c>
      <c r="I91" s="15">
        <f t="shared" si="4"/>
        <v>2</v>
      </c>
      <c r="J91" s="15">
        <f t="shared" si="4"/>
        <v>0</v>
      </c>
      <c r="K91" s="15">
        <f t="shared" si="5"/>
        <v>1</v>
      </c>
      <c r="L91" s="3" t="str">
        <f t="shared" si="6"/>
        <v>Saturday</v>
      </c>
      <c r="M91" s="4" t="str">
        <f t="shared" si="7"/>
        <v>Normal Day</v>
      </c>
      <c r="N91" s="4" t="str">
        <f>TEXT(CleanedData[[#This Row],[DAY]], "mmm yyyy")</f>
        <v>Jan 2024</v>
      </c>
    </row>
    <row r="92" spans="1:14" x14ac:dyDescent="0.3">
      <c r="A92" s="5">
        <v>45311</v>
      </c>
      <c r="B92" s="12">
        <v>1.5</v>
      </c>
      <c r="C92" s="12">
        <v>0</v>
      </c>
      <c r="D92" s="2" t="s">
        <v>9</v>
      </c>
      <c r="E92" s="2" t="s">
        <v>7</v>
      </c>
      <c r="F92" s="1">
        <v>1</v>
      </c>
      <c r="G92" s="13">
        <v>1.3698958401795647</v>
      </c>
      <c r="H92" s="14" t="b">
        <v>0</v>
      </c>
      <c r="I92" s="15">
        <f t="shared" si="4"/>
        <v>2</v>
      </c>
      <c r="J92" s="15">
        <f t="shared" si="4"/>
        <v>0</v>
      </c>
      <c r="K92" s="15">
        <f t="shared" si="5"/>
        <v>1</v>
      </c>
      <c r="L92" s="3" t="str">
        <f t="shared" si="6"/>
        <v>Saturday</v>
      </c>
      <c r="M92" s="4" t="str">
        <f t="shared" si="7"/>
        <v>Normal Day</v>
      </c>
      <c r="N92" s="4" t="str">
        <f>TEXT(CleanedData[[#This Row],[DAY]], "mmm yyyy")</f>
        <v>Jan 2024</v>
      </c>
    </row>
    <row r="93" spans="1:14" x14ac:dyDescent="0.3">
      <c r="A93" s="5">
        <v>45311</v>
      </c>
      <c r="B93" s="12">
        <v>904.5</v>
      </c>
      <c r="C93" s="12">
        <v>48</v>
      </c>
      <c r="D93" s="2" t="s">
        <v>6</v>
      </c>
      <c r="E93" s="2" t="s">
        <v>7</v>
      </c>
      <c r="F93" s="1">
        <v>209</v>
      </c>
      <c r="G93" s="13">
        <v>880.18507813768758</v>
      </c>
      <c r="H93" s="14" t="b">
        <v>0</v>
      </c>
      <c r="I93" s="15">
        <f t="shared" si="4"/>
        <v>905</v>
      </c>
      <c r="J93" s="15">
        <f t="shared" si="4"/>
        <v>48</v>
      </c>
      <c r="K93" s="15">
        <f t="shared" si="5"/>
        <v>880</v>
      </c>
      <c r="L93" s="3" t="str">
        <f t="shared" si="6"/>
        <v>Saturday</v>
      </c>
      <c r="M93" s="4" t="str">
        <f t="shared" si="7"/>
        <v>Normal Day</v>
      </c>
      <c r="N93" s="4" t="str">
        <f>TEXT(CleanedData[[#This Row],[DAY]], "mmm yyyy")</f>
        <v>Jan 2024</v>
      </c>
    </row>
    <row r="94" spans="1:14" x14ac:dyDescent="0.3">
      <c r="A94" s="5">
        <v>45311</v>
      </c>
      <c r="B94" s="12">
        <v>1011</v>
      </c>
      <c r="C94" s="12">
        <v>48</v>
      </c>
      <c r="D94" s="2" t="s">
        <v>6</v>
      </c>
      <c r="E94" s="2" t="s">
        <v>8</v>
      </c>
      <c r="F94" s="1">
        <v>323</v>
      </c>
      <c r="G94" s="13">
        <v>852.76334408516016</v>
      </c>
      <c r="H94" s="14" t="b">
        <v>0</v>
      </c>
      <c r="I94" s="15">
        <f t="shared" si="4"/>
        <v>1011</v>
      </c>
      <c r="J94" s="15">
        <f t="shared" si="4"/>
        <v>48</v>
      </c>
      <c r="K94" s="15">
        <f t="shared" si="5"/>
        <v>853</v>
      </c>
      <c r="L94" s="3" t="str">
        <f t="shared" si="6"/>
        <v>Saturday</v>
      </c>
      <c r="M94" s="4" t="str">
        <f t="shared" si="7"/>
        <v>Normal Day</v>
      </c>
      <c r="N94" s="4" t="str">
        <f>TEXT(CleanedData[[#This Row],[DAY]], "mmm yyyy")</f>
        <v>Jan 2024</v>
      </c>
    </row>
    <row r="95" spans="1:14" x14ac:dyDescent="0.3">
      <c r="A95" s="5">
        <v>45311</v>
      </c>
      <c r="B95" s="12">
        <v>6649.5</v>
      </c>
      <c r="C95" s="12">
        <v>81</v>
      </c>
      <c r="D95" s="2" t="s">
        <v>9</v>
      </c>
      <c r="E95" s="2" t="s">
        <v>8</v>
      </c>
      <c r="F95" s="1">
        <v>4134</v>
      </c>
      <c r="G95" s="13">
        <v>5410.8148651323072</v>
      </c>
      <c r="H95" s="14" t="b">
        <v>0</v>
      </c>
      <c r="I95" s="15">
        <f t="shared" si="4"/>
        <v>6650</v>
      </c>
      <c r="J95" s="15">
        <f t="shared" si="4"/>
        <v>81</v>
      </c>
      <c r="K95" s="15">
        <f t="shared" si="5"/>
        <v>5411</v>
      </c>
      <c r="L95" s="3" t="str">
        <f t="shared" si="6"/>
        <v>Saturday</v>
      </c>
      <c r="M95" s="4" t="str">
        <f t="shared" si="7"/>
        <v>Normal Day</v>
      </c>
      <c r="N95" s="4" t="str">
        <f>TEXT(CleanedData[[#This Row],[DAY]], "mmm yyyy")</f>
        <v>Jan 2024</v>
      </c>
    </row>
    <row r="96" spans="1:14" x14ac:dyDescent="0.3">
      <c r="A96" s="5">
        <v>45311</v>
      </c>
      <c r="B96" s="12">
        <v>9886.5</v>
      </c>
      <c r="C96" s="12">
        <v>57</v>
      </c>
      <c r="D96" s="2" t="s">
        <v>10</v>
      </c>
      <c r="E96" s="2" t="s">
        <v>7</v>
      </c>
      <c r="F96" s="1">
        <v>2245</v>
      </c>
      <c r="G96" s="13">
        <v>9308.6267749447634</v>
      </c>
      <c r="H96" s="14" t="b">
        <v>0</v>
      </c>
      <c r="I96" s="15">
        <f t="shared" si="4"/>
        <v>9887</v>
      </c>
      <c r="J96" s="15">
        <f t="shared" si="4"/>
        <v>57</v>
      </c>
      <c r="K96" s="15">
        <f t="shared" si="5"/>
        <v>9309</v>
      </c>
      <c r="L96" s="3" t="str">
        <f t="shared" si="6"/>
        <v>Saturday</v>
      </c>
      <c r="M96" s="4" t="str">
        <f t="shared" si="7"/>
        <v>Normal Day</v>
      </c>
      <c r="N96" s="4" t="str">
        <f>TEXT(CleanedData[[#This Row],[DAY]], "mmm yyyy")</f>
        <v>Jan 2024</v>
      </c>
    </row>
    <row r="97" spans="1:14" x14ac:dyDescent="0.3">
      <c r="A97" s="5">
        <v>45312</v>
      </c>
      <c r="B97" s="12">
        <v>1.5</v>
      </c>
      <c r="C97" s="12">
        <v>0</v>
      </c>
      <c r="D97" s="2" t="s">
        <v>10</v>
      </c>
      <c r="E97" s="2" t="s">
        <v>8</v>
      </c>
      <c r="F97" s="1">
        <v>1</v>
      </c>
      <c r="G97" s="13">
        <v>1.206766988836806</v>
      </c>
      <c r="H97" s="14" t="b">
        <v>1</v>
      </c>
      <c r="I97" s="15">
        <f t="shared" si="4"/>
        <v>2</v>
      </c>
      <c r="J97" s="15">
        <f t="shared" si="4"/>
        <v>0</v>
      </c>
      <c r="K97" s="15">
        <f t="shared" si="5"/>
        <v>1</v>
      </c>
      <c r="L97" s="3" t="str">
        <f t="shared" si="6"/>
        <v>Sunday</v>
      </c>
      <c r="M97" s="4" t="str">
        <f t="shared" si="7"/>
        <v>Outage Day</v>
      </c>
      <c r="N97" s="4" t="str">
        <f>TEXT(CleanedData[[#This Row],[DAY]], "mmm yyyy")</f>
        <v>Jan 2024</v>
      </c>
    </row>
    <row r="98" spans="1:14" x14ac:dyDescent="0.3">
      <c r="A98" s="5">
        <v>45312</v>
      </c>
      <c r="B98" s="12">
        <v>484.5</v>
      </c>
      <c r="C98" s="12">
        <v>25.5</v>
      </c>
      <c r="D98" s="2" t="s">
        <v>6</v>
      </c>
      <c r="E98" s="2" t="s">
        <v>7</v>
      </c>
      <c r="F98" s="1">
        <v>131</v>
      </c>
      <c r="G98" s="13">
        <v>447.21593685955207</v>
      </c>
      <c r="H98" s="14" t="b">
        <v>0</v>
      </c>
      <c r="I98" s="15">
        <f t="shared" si="4"/>
        <v>485</v>
      </c>
      <c r="J98" s="15">
        <f t="shared" si="4"/>
        <v>26</v>
      </c>
      <c r="K98" s="15">
        <f t="shared" si="5"/>
        <v>447</v>
      </c>
      <c r="L98" s="3" t="str">
        <f t="shared" si="6"/>
        <v>Sunday</v>
      </c>
      <c r="M98" s="4" t="str">
        <f t="shared" si="7"/>
        <v>Normal Day</v>
      </c>
      <c r="N98" s="4" t="str">
        <f>TEXT(CleanedData[[#This Row],[DAY]], "mmm yyyy")</f>
        <v>Jan 2024</v>
      </c>
    </row>
    <row r="99" spans="1:14" x14ac:dyDescent="0.3">
      <c r="A99" s="5">
        <v>45312</v>
      </c>
      <c r="B99" s="12">
        <v>1066.5</v>
      </c>
      <c r="C99" s="12">
        <v>25.5</v>
      </c>
      <c r="D99" s="2" t="s">
        <v>6</v>
      </c>
      <c r="E99" s="2" t="s">
        <v>8</v>
      </c>
      <c r="F99" s="1">
        <v>280</v>
      </c>
      <c r="G99" s="13">
        <v>966.72653441377759</v>
      </c>
      <c r="H99" s="14" t="b">
        <v>0</v>
      </c>
      <c r="I99" s="15">
        <f t="shared" si="4"/>
        <v>1067</v>
      </c>
      <c r="J99" s="15">
        <f t="shared" si="4"/>
        <v>26</v>
      </c>
      <c r="K99" s="15">
        <f t="shared" si="5"/>
        <v>967</v>
      </c>
      <c r="L99" s="3" t="str">
        <f t="shared" si="6"/>
        <v>Sunday</v>
      </c>
      <c r="M99" s="4" t="str">
        <f t="shared" si="7"/>
        <v>Normal Day</v>
      </c>
      <c r="N99" s="4" t="str">
        <f>TEXT(CleanedData[[#This Row],[DAY]], "mmm yyyy")</f>
        <v>Jan 2024</v>
      </c>
    </row>
    <row r="100" spans="1:14" x14ac:dyDescent="0.3">
      <c r="A100" s="5">
        <v>45312</v>
      </c>
      <c r="B100" s="12">
        <v>5695.5</v>
      </c>
      <c r="C100" s="12">
        <v>219</v>
      </c>
      <c r="D100" s="2" t="s">
        <v>9</v>
      </c>
      <c r="E100" s="2" t="s">
        <v>8</v>
      </c>
      <c r="F100" s="1">
        <v>413</v>
      </c>
      <c r="G100" s="13">
        <v>5076.0282953652686</v>
      </c>
      <c r="H100" s="14" t="b">
        <v>0</v>
      </c>
      <c r="I100" s="15">
        <f t="shared" si="4"/>
        <v>5696</v>
      </c>
      <c r="J100" s="15">
        <f t="shared" si="4"/>
        <v>219</v>
      </c>
      <c r="K100" s="15">
        <f t="shared" si="5"/>
        <v>5076</v>
      </c>
      <c r="L100" s="3" t="str">
        <f t="shared" si="6"/>
        <v>Sunday</v>
      </c>
      <c r="M100" s="4" t="str">
        <f t="shared" si="7"/>
        <v>Normal Day</v>
      </c>
      <c r="N100" s="4" t="str">
        <f>TEXT(CleanedData[[#This Row],[DAY]], "mmm yyyy")</f>
        <v>Jan 2024</v>
      </c>
    </row>
    <row r="101" spans="1:14" x14ac:dyDescent="0.3">
      <c r="A101" s="5">
        <v>45312</v>
      </c>
      <c r="B101" s="12">
        <v>8665.5</v>
      </c>
      <c r="C101" s="12">
        <v>91.5</v>
      </c>
      <c r="D101" s="2" t="s">
        <v>10</v>
      </c>
      <c r="E101" s="2" t="s">
        <v>7</v>
      </c>
      <c r="F101" s="1">
        <v>2256</v>
      </c>
      <c r="G101" s="13">
        <v>7758.9011432447915</v>
      </c>
      <c r="H101" s="14" t="b">
        <v>0</v>
      </c>
      <c r="I101" s="15">
        <f t="shared" si="4"/>
        <v>8666</v>
      </c>
      <c r="J101" s="15">
        <f t="shared" si="4"/>
        <v>92</v>
      </c>
      <c r="K101" s="15">
        <f t="shared" si="5"/>
        <v>7759</v>
      </c>
      <c r="L101" s="3" t="str">
        <f t="shared" si="6"/>
        <v>Sunday</v>
      </c>
      <c r="M101" s="4" t="str">
        <f t="shared" si="7"/>
        <v>Normal Day</v>
      </c>
      <c r="N101" s="4" t="str">
        <f>TEXT(CleanedData[[#This Row],[DAY]], "mmm yyyy")</f>
        <v>Jan 2024</v>
      </c>
    </row>
    <row r="102" spans="1:14" x14ac:dyDescent="0.3">
      <c r="A102" s="5">
        <v>45313</v>
      </c>
      <c r="B102" s="12">
        <v>1.5</v>
      </c>
      <c r="C102" s="12">
        <v>0</v>
      </c>
      <c r="D102" s="2" t="s">
        <v>10</v>
      </c>
      <c r="E102" s="2" t="s">
        <v>8</v>
      </c>
      <c r="F102" s="1">
        <v>1</v>
      </c>
      <c r="G102" s="13">
        <v>1.2844909643134934</v>
      </c>
      <c r="H102" s="14" t="b">
        <v>0</v>
      </c>
      <c r="I102" s="15">
        <f t="shared" si="4"/>
        <v>2</v>
      </c>
      <c r="J102" s="15">
        <f t="shared" si="4"/>
        <v>0</v>
      </c>
      <c r="K102" s="15">
        <f t="shared" si="5"/>
        <v>1</v>
      </c>
      <c r="L102" s="3" t="str">
        <f t="shared" si="6"/>
        <v>Monday</v>
      </c>
      <c r="M102" s="4" t="str">
        <f t="shared" si="7"/>
        <v>Normal Day</v>
      </c>
      <c r="N102" s="4" t="str">
        <f>TEXT(CleanedData[[#This Row],[DAY]], "mmm yyyy")</f>
        <v>Jan 2024</v>
      </c>
    </row>
    <row r="103" spans="1:14" x14ac:dyDescent="0.3">
      <c r="A103" s="5">
        <v>45313</v>
      </c>
      <c r="B103" s="12">
        <v>817.5</v>
      </c>
      <c r="C103" s="12">
        <v>33</v>
      </c>
      <c r="D103" s="2" t="s">
        <v>6</v>
      </c>
      <c r="E103" s="2" t="s">
        <v>8</v>
      </c>
      <c r="F103" s="1">
        <v>409</v>
      </c>
      <c r="G103" s="13">
        <v>704.8410730958509</v>
      </c>
      <c r="H103" s="14" t="b">
        <v>0</v>
      </c>
      <c r="I103" s="15">
        <f t="shared" si="4"/>
        <v>818</v>
      </c>
      <c r="J103" s="15">
        <f t="shared" si="4"/>
        <v>33</v>
      </c>
      <c r="K103" s="15">
        <f t="shared" si="5"/>
        <v>705</v>
      </c>
      <c r="L103" s="3" t="str">
        <f t="shared" si="6"/>
        <v>Monday</v>
      </c>
      <c r="M103" s="4" t="str">
        <f t="shared" si="7"/>
        <v>Normal Day</v>
      </c>
      <c r="N103" s="4" t="str">
        <f>TEXT(CleanedData[[#This Row],[DAY]], "mmm yyyy")</f>
        <v>Jan 2024</v>
      </c>
    </row>
    <row r="104" spans="1:14" x14ac:dyDescent="0.3">
      <c r="A104" s="5">
        <v>45313</v>
      </c>
      <c r="B104" s="12">
        <v>925.5</v>
      </c>
      <c r="C104" s="12">
        <v>33</v>
      </c>
      <c r="D104" s="2" t="s">
        <v>6</v>
      </c>
      <c r="E104" s="2" t="s">
        <v>7</v>
      </c>
      <c r="F104" s="1">
        <v>7</v>
      </c>
      <c r="G104" s="13">
        <v>842.65359793976995</v>
      </c>
      <c r="H104" s="14" t="b">
        <v>0</v>
      </c>
      <c r="I104" s="15">
        <f t="shared" si="4"/>
        <v>926</v>
      </c>
      <c r="J104" s="15">
        <f t="shared" si="4"/>
        <v>33</v>
      </c>
      <c r="K104" s="15">
        <f t="shared" si="5"/>
        <v>843</v>
      </c>
      <c r="L104" s="3" t="str">
        <f t="shared" si="6"/>
        <v>Monday</v>
      </c>
      <c r="M104" s="4" t="str">
        <f t="shared" si="7"/>
        <v>Normal Day</v>
      </c>
      <c r="N104" s="4" t="str">
        <f>TEXT(CleanedData[[#This Row],[DAY]], "mmm yyyy")</f>
        <v>Jan 2024</v>
      </c>
    </row>
    <row r="105" spans="1:14" x14ac:dyDescent="0.3">
      <c r="A105" s="5">
        <v>45313</v>
      </c>
      <c r="B105" s="12">
        <v>4543.5</v>
      </c>
      <c r="C105" s="12">
        <v>46.5</v>
      </c>
      <c r="D105" s="2" t="s">
        <v>9</v>
      </c>
      <c r="E105" s="2" t="s">
        <v>8</v>
      </c>
      <c r="F105" s="1">
        <v>2633</v>
      </c>
      <c r="G105" s="13">
        <v>3813.0981835271418</v>
      </c>
      <c r="H105" s="14" t="b">
        <v>0</v>
      </c>
      <c r="I105" s="15">
        <f t="shared" si="4"/>
        <v>4544</v>
      </c>
      <c r="J105" s="15">
        <f t="shared" si="4"/>
        <v>47</v>
      </c>
      <c r="K105" s="15">
        <f t="shared" si="5"/>
        <v>3813</v>
      </c>
      <c r="L105" s="3" t="str">
        <f t="shared" si="6"/>
        <v>Monday</v>
      </c>
      <c r="M105" s="4" t="str">
        <f t="shared" si="7"/>
        <v>Normal Day</v>
      </c>
      <c r="N105" s="4" t="str">
        <f>TEXT(CleanedData[[#This Row],[DAY]], "mmm yyyy")</f>
        <v>Jan 2024</v>
      </c>
    </row>
    <row r="106" spans="1:14" x14ac:dyDescent="0.3">
      <c r="A106" s="5">
        <v>45313</v>
      </c>
      <c r="B106" s="12">
        <v>7492.5</v>
      </c>
      <c r="C106" s="12">
        <v>415.5</v>
      </c>
      <c r="D106" s="2" t="s">
        <v>10</v>
      </c>
      <c r="E106" s="2" t="s">
        <v>7</v>
      </c>
      <c r="F106" s="1">
        <v>3241</v>
      </c>
      <c r="G106" s="13">
        <v>7127.5681900514237</v>
      </c>
      <c r="H106" s="14" t="b">
        <v>0</v>
      </c>
      <c r="I106" s="15">
        <f t="shared" si="4"/>
        <v>7493</v>
      </c>
      <c r="J106" s="15">
        <f t="shared" si="4"/>
        <v>416</v>
      </c>
      <c r="K106" s="15">
        <f t="shared" si="5"/>
        <v>7128</v>
      </c>
      <c r="L106" s="3" t="str">
        <f t="shared" si="6"/>
        <v>Monday</v>
      </c>
      <c r="M106" s="4" t="str">
        <f t="shared" si="7"/>
        <v>Normal Day</v>
      </c>
      <c r="N106" s="4" t="str">
        <f>TEXT(CleanedData[[#This Row],[DAY]], "mmm yyyy")</f>
        <v>Jan 2024</v>
      </c>
    </row>
    <row r="107" spans="1:14" x14ac:dyDescent="0.3">
      <c r="A107" s="5">
        <v>45314</v>
      </c>
      <c r="B107" s="12">
        <v>381</v>
      </c>
      <c r="C107" s="12">
        <v>6</v>
      </c>
      <c r="D107" s="2" t="s">
        <v>6</v>
      </c>
      <c r="E107" s="2" t="s">
        <v>7</v>
      </c>
      <c r="F107" s="1">
        <v>136</v>
      </c>
      <c r="G107" s="13">
        <v>337.37978541319848</v>
      </c>
      <c r="H107" s="14" t="b">
        <v>0</v>
      </c>
      <c r="I107" s="15">
        <f t="shared" si="4"/>
        <v>381</v>
      </c>
      <c r="J107" s="15">
        <f t="shared" si="4"/>
        <v>6</v>
      </c>
      <c r="K107" s="15">
        <f t="shared" si="5"/>
        <v>337</v>
      </c>
      <c r="L107" s="3" t="str">
        <f t="shared" si="6"/>
        <v>Tuesday</v>
      </c>
      <c r="M107" s="4" t="str">
        <f t="shared" si="7"/>
        <v>Normal Day</v>
      </c>
      <c r="N107" s="4" t="str">
        <f>TEXT(CleanedData[[#This Row],[DAY]], "mmm yyyy")</f>
        <v>Jan 2024</v>
      </c>
    </row>
    <row r="108" spans="1:14" x14ac:dyDescent="0.3">
      <c r="A108" s="5">
        <v>45314</v>
      </c>
      <c r="B108" s="12">
        <v>439.5</v>
      </c>
      <c r="C108" s="12">
        <v>6</v>
      </c>
      <c r="D108" s="2" t="s">
        <v>6</v>
      </c>
      <c r="E108" s="2" t="s">
        <v>8</v>
      </c>
      <c r="F108" s="1">
        <v>95</v>
      </c>
      <c r="G108" s="13">
        <v>364.29058600306519</v>
      </c>
      <c r="H108" s="14" t="b">
        <v>0</v>
      </c>
      <c r="I108" s="15">
        <f t="shared" si="4"/>
        <v>440</v>
      </c>
      <c r="J108" s="15">
        <f t="shared" si="4"/>
        <v>6</v>
      </c>
      <c r="K108" s="15">
        <f t="shared" si="5"/>
        <v>364</v>
      </c>
      <c r="L108" s="3" t="str">
        <f t="shared" si="6"/>
        <v>Tuesday</v>
      </c>
      <c r="M108" s="4" t="str">
        <f t="shared" si="7"/>
        <v>Normal Day</v>
      </c>
      <c r="N108" s="4" t="str">
        <f>TEXT(CleanedData[[#This Row],[DAY]], "mmm yyyy")</f>
        <v>Jan 2024</v>
      </c>
    </row>
    <row r="109" spans="1:14" x14ac:dyDescent="0.3">
      <c r="A109" s="5">
        <v>45314</v>
      </c>
      <c r="B109" s="12">
        <v>6121.5</v>
      </c>
      <c r="C109" s="12">
        <v>304.5</v>
      </c>
      <c r="D109" s="2" t="s">
        <v>9</v>
      </c>
      <c r="E109" s="2" t="s">
        <v>8</v>
      </c>
      <c r="F109" s="1">
        <v>2543</v>
      </c>
      <c r="G109" s="13">
        <v>5297.2289479055435</v>
      </c>
      <c r="H109" s="14" t="b">
        <v>0</v>
      </c>
      <c r="I109" s="15">
        <f t="shared" si="4"/>
        <v>6122</v>
      </c>
      <c r="J109" s="15">
        <f t="shared" si="4"/>
        <v>305</v>
      </c>
      <c r="K109" s="15">
        <f t="shared" si="5"/>
        <v>5297</v>
      </c>
      <c r="L109" s="3" t="str">
        <f t="shared" si="6"/>
        <v>Tuesday</v>
      </c>
      <c r="M109" s="4" t="str">
        <f t="shared" si="7"/>
        <v>Normal Day</v>
      </c>
      <c r="N109" s="4" t="str">
        <f>TEXT(CleanedData[[#This Row],[DAY]], "mmm yyyy")</f>
        <v>Jan 2024</v>
      </c>
    </row>
    <row r="110" spans="1:14" x14ac:dyDescent="0.3">
      <c r="A110" s="5">
        <v>45314</v>
      </c>
      <c r="B110" s="12">
        <v>7152</v>
      </c>
      <c r="C110" s="12">
        <v>334.5</v>
      </c>
      <c r="D110" s="2" t="s">
        <v>10</v>
      </c>
      <c r="E110" s="2" t="s">
        <v>7</v>
      </c>
      <c r="F110" s="1">
        <v>2377</v>
      </c>
      <c r="G110" s="13">
        <v>6814.6518556180808</v>
      </c>
      <c r="H110" s="14" t="b">
        <v>1</v>
      </c>
      <c r="I110" s="15">
        <f t="shared" si="4"/>
        <v>7152</v>
      </c>
      <c r="J110" s="15">
        <f t="shared" si="4"/>
        <v>335</v>
      </c>
      <c r="K110" s="15">
        <f t="shared" si="5"/>
        <v>6815</v>
      </c>
      <c r="L110" s="3" t="str">
        <f t="shared" si="6"/>
        <v>Tuesday</v>
      </c>
      <c r="M110" s="4" t="str">
        <f t="shared" si="7"/>
        <v>Outage Day</v>
      </c>
      <c r="N110" s="4" t="str">
        <f>TEXT(CleanedData[[#This Row],[DAY]], "mmm yyyy")</f>
        <v>Jan 2024</v>
      </c>
    </row>
    <row r="111" spans="1:14" x14ac:dyDescent="0.3">
      <c r="A111" s="5">
        <v>45315</v>
      </c>
      <c r="B111" s="12">
        <v>1039.5</v>
      </c>
      <c r="C111" s="12">
        <v>36</v>
      </c>
      <c r="D111" s="2" t="s">
        <v>6</v>
      </c>
      <c r="E111" s="2" t="s">
        <v>7</v>
      </c>
      <c r="F111" s="1">
        <v>639</v>
      </c>
      <c r="G111" s="13">
        <v>956.1668353469862</v>
      </c>
      <c r="H111" s="14" t="b">
        <v>0</v>
      </c>
      <c r="I111" s="15">
        <f t="shared" si="4"/>
        <v>1040</v>
      </c>
      <c r="J111" s="15">
        <f t="shared" si="4"/>
        <v>36</v>
      </c>
      <c r="K111" s="15">
        <f t="shared" si="5"/>
        <v>956</v>
      </c>
      <c r="L111" s="3" t="str">
        <f t="shared" si="6"/>
        <v>Wednesday</v>
      </c>
      <c r="M111" s="4" t="str">
        <f t="shared" si="7"/>
        <v>Normal Day</v>
      </c>
      <c r="N111" s="4" t="str">
        <f>TEXT(CleanedData[[#This Row],[DAY]], "mmm yyyy")</f>
        <v>Jan 2024</v>
      </c>
    </row>
    <row r="112" spans="1:14" x14ac:dyDescent="0.3">
      <c r="A112" s="5">
        <v>45315</v>
      </c>
      <c r="B112" s="12">
        <v>1371</v>
      </c>
      <c r="C112" s="12">
        <v>36</v>
      </c>
      <c r="D112" s="2" t="s">
        <v>6</v>
      </c>
      <c r="E112" s="2" t="s">
        <v>8</v>
      </c>
      <c r="F112" s="1">
        <v>250</v>
      </c>
      <c r="G112" s="13">
        <v>1156.2839593738054</v>
      </c>
      <c r="H112" s="14" t="b">
        <v>0</v>
      </c>
      <c r="I112" s="15">
        <f t="shared" si="4"/>
        <v>1371</v>
      </c>
      <c r="J112" s="15">
        <f t="shared" si="4"/>
        <v>36</v>
      </c>
      <c r="K112" s="15">
        <f t="shared" si="5"/>
        <v>1156</v>
      </c>
      <c r="L112" s="3" t="str">
        <f t="shared" si="6"/>
        <v>Wednesday</v>
      </c>
      <c r="M112" s="4" t="str">
        <f t="shared" si="7"/>
        <v>Normal Day</v>
      </c>
      <c r="N112" s="4" t="str">
        <f>TEXT(CleanedData[[#This Row],[DAY]], "mmm yyyy")</f>
        <v>Jan 2024</v>
      </c>
    </row>
    <row r="113" spans="1:14" x14ac:dyDescent="0.3">
      <c r="A113" s="5">
        <v>45315</v>
      </c>
      <c r="B113" s="12">
        <v>4861.5</v>
      </c>
      <c r="C113" s="12">
        <v>28.5</v>
      </c>
      <c r="D113" s="2" t="s">
        <v>9</v>
      </c>
      <c r="E113" s="2" t="s">
        <v>8</v>
      </c>
      <c r="F113" s="1">
        <v>1719</v>
      </c>
      <c r="G113" s="13">
        <v>4013.9192848592597</v>
      </c>
      <c r="H113" s="14" t="b">
        <v>0</v>
      </c>
      <c r="I113" s="15">
        <f t="shared" si="4"/>
        <v>4862</v>
      </c>
      <c r="J113" s="15">
        <f t="shared" si="4"/>
        <v>29</v>
      </c>
      <c r="K113" s="15">
        <f t="shared" si="5"/>
        <v>4014</v>
      </c>
      <c r="L113" s="3" t="str">
        <f t="shared" si="6"/>
        <v>Wednesday</v>
      </c>
      <c r="M113" s="4" t="str">
        <f t="shared" si="7"/>
        <v>Normal Day</v>
      </c>
      <c r="N113" s="4" t="str">
        <f>TEXT(CleanedData[[#This Row],[DAY]], "mmm yyyy")</f>
        <v>Jan 2024</v>
      </c>
    </row>
    <row r="114" spans="1:14" x14ac:dyDescent="0.3">
      <c r="A114" s="5">
        <v>45315</v>
      </c>
      <c r="B114" s="12">
        <v>8308.5</v>
      </c>
      <c r="C114" s="12">
        <v>436.5</v>
      </c>
      <c r="D114" s="2" t="s">
        <v>10</v>
      </c>
      <c r="E114" s="2" t="s">
        <v>7</v>
      </c>
      <c r="F114" s="1">
        <v>5412</v>
      </c>
      <c r="G114" s="13">
        <v>7763.3714314167855</v>
      </c>
      <c r="H114" s="14" t="b">
        <v>0</v>
      </c>
      <c r="I114" s="15">
        <f t="shared" si="4"/>
        <v>8309</v>
      </c>
      <c r="J114" s="15">
        <f t="shared" si="4"/>
        <v>437</v>
      </c>
      <c r="K114" s="15">
        <f t="shared" si="5"/>
        <v>7763</v>
      </c>
      <c r="L114" s="3" t="str">
        <f t="shared" si="6"/>
        <v>Wednesday</v>
      </c>
      <c r="M114" s="4" t="str">
        <f t="shared" si="7"/>
        <v>Normal Day</v>
      </c>
      <c r="N114" s="4" t="str">
        <f>TEXT(CleanedData[[#This Row],[DAY]], "mmm yyyy")</f>
        <v>Jan 2024</v>
      </c>
    </row>
    <row r="115" spans="1:14" x14ac:dyDescent="0.3">
      <c r="A115" s="5">
        <v>45316</v>
      </c>
      <c r="B115" s="12">
        <v>1.5</v>
      </c>
      <c r="C115" s="12">
        <v>0</v>
      </c>
      <c r="D115" s="2" t="s">
        <v>10</v>
      </c>
      <c r="E115" s="2" t="s">
        <v>8</v>
      </c>
      <c r="F115" s="1">
        <v>1</v>
      </c>
      <c r="G115" s="13">
        <v>1.2989025573418169</v>
      </c>
      <c r="H115" s="14" t="b">
        <v>0</v>
      </c>
      <c r="I115" s="15">
        <f t="shared" si="4"/>
        <v>2</v>
      </c>
      <c r="J115" s="15">
        <f t="shared" si="4"/>
        <v>0</v>
      </c>
      <c r="K115" s="15">
        <f t="shared" si="5"/>
        <v>1</v>
      </c>
      <c r="L115" s="3" t="str">
        <f t="shared" si="6"/>
        <v>Thursday</v>
      </c>
      <c r="M115" s="4" t="str">
        <f t="shared" si="7"/>
        <v>Normal Day</v>
      </c>
      <c r="N115" s="4" t="str">
        <f>TEXT(CleanedData[[#This Row],[DAY]], "mmm yyyy")</f>
        <v>Jan 2024</v>
      </c>
    </row>
    <row r="116" spans="1:14" x14ac:dyDescent="0.3">
      <c r="A116" s="5">
        <v>45316</v>
      </c>
      <c r="B116" s="12">
        <v>582</v>
      </c>
      <c r="C116" s="12">
        <v>40.5</v>
      </c>
      <c r="D116" s="2" t="s">
        <v>6</v>
      </c>
      <c r="E116" s="2" t="s">
        <v>8</v>
      </c>
      <c r="F116" s="1">
        <v>231</v>
      </c>
      <c r="G116" s="13">
        <v>535.54122643149356</v>
      </c>
      <c r="H116" s="14" t="b">
        <v>0</v>
      </c>
      <c r="I116" s="15">
        <f t="shared" si="4"/>
        <v>582</v>
      </c>
      <c r="J116" s="15">
        <f t="shared" si="4"/>
        <v>41</v>
      </c>
      <c r="K116" s="15">
        <f t="shared" si="5"/>
        <v>536</v>
      </c>
      <c r="L116" s="3" t="str">
        <f t="shared" si="6"/>
        <v>Thursday</v>
      </c>
      <c r="M116" s="4" t="str">
        <f t="shared" si="7"/>
        <v>Normal Day</v>
      </c>
      <c r="N116" s="4" t="str">
        <f>TEXT(CleanedData[[#This Row],[DAY]], "mmm yyyy")</f>
        <v>Jan 2024</v>
      </c>
    </row>
    <row r="117" spans="1:14" x14ac:dyDescent="0.3">
      <c r="A117" s="5">
        <v>45316</v>
      </c>
      <c r="B117" s="12">
        <v>613.5</v>
      </c>
      <c r="C117" s="12">
        <v>40.5</v>
      </c>
      <c r="D117" s="2" t="s">
        <v>6</v>
      </c>
      <c r="E117" s="2" t="s">
        <v>7</v>
      </c>
      <c r="F117" s="1">
        <v>113</v>
      </c>
      <c r="G117" s="13">
        <v>597.34759324667323</v>
      </c>
      <c r="H117" s="14" t="b">
        <v>0</v>
      </c>
      <c r="I117" s="15">
        <f t="shared" si="4"/>
        <v>614</v>
      </c>
      <c r="J117" s="15">
        <f t="shared" si="4"/>
        <v>41</v>
      </c>
      <c r="K117" s="15">
        <f t="shared" si="5"/>
        <v>597</v>
      </c>
      <c r="L117" s="3" t="str">
        <f t="shared" si="6"/>
        <v>Thursday</v>
      </c>
      <c r="M117" s="4" t="str">
        <f t="shared" si="7"/>
        <v>Normal Day</v>
      </c>
      <c r="N117" s="4" t="str">
        <f>TEXT(CleanedData[[#This Row],[DAY]], "mmm yyyy")</f>
        <v>Jan 2024</v>
      </c>
    </row>
    <row r="118" spans="1:14" x14ac:dyDescent="0.3">
      <c r="A118" s="5">
        <v>45316</v>
      </c>
      <c r="B118" s="12">
        <v>7107</v>
      </c>
      <c r="C118" s="12">
        <v>366</v>
      </c>
      <c r="D118" s="2" t="s">
        <v>10</v>
      </c>
      <c r="E118" s="2" t="s">
        <v>7</v>
      </c>
      <c r="F118" s="1">
        <v>1321</v>
      </c>
      <c r="G118" s="13">
        <v>6856.6347376340582</v>
      </c>
      <c r="H118" s="14" t="b">
        <v>0</v>
      </c>
      <c r="I118" s="15">
        <f t="shared" si="4"/>
        <v>7107</v>
      </c>
      <c r="J118" s="15">
        <f t="shared" si="4"/>
        <v>366</v>
      </c>
      <c r="K118" s="15">
        <f t="shared" si="5"/>
        <v>6857</v>
      </c>
      <c r="L118" s="3" t="str">
        <f t="shared" si="6"/>
        <v>Thursday</v>
      </c>
      <c r="M118" s="4" t="str">
        <f t="shared" si="7"/>
        <v>Normal Day</v>
      </c>
      <c r="N118" s="4" t="str">
        <f>TEXT(CleanedData[[#This Row],[DAY]], "mmm yyyy")</f>
        <v>Jan 2024</v>
      </c>
    </row>
    <row r="119" spans="1:14" x14ac:dyDescent="0.3">
      <c r="A119" s="5">
        <v>45316</v>
      </c>
      <c r="B119" s="12">
        <v>8112</v>
      </c>
      <c r="C119" s="12">
        <v>69</v>
      </c>
      <c r="D119" s="2" t="s">
        <v>9</v>
      </c>
      <c r="E119" s="2" t="s">
        <v>8</v>
      </c>
      <c r="F119" s="1">
        <v>2933</v>
      </c>
      <c r="G119" s="13">
        <v>7278.7739941879163</v>
      </c>
      <c r="H119" s="14" t="b">
        <v>0</v>
      </c>
      <c r="I119" s="15">
        <f t="shared" si="4"/>
        <v>8112</v>
      </c>
      <c r="J119" s="15">
        <f t="shared" si="4"/>
        <v>69</v>
      </c>
      <c r="K119" s="15">
        <f t="shared" si="5"/>
        <v>7279</v>
      </c>
      <c r="L119" s="3" t="str">
        <f t="shared" si="6"/>
        <v>Thursday</v>
      </c>
      <c r="M119" s="4" t="str">
        <f t="shared" si="7"/>
        <v>Normal Day</v>
      </c>
      <c r="N119" s="4" t="str">
        <f>TEXT(CleanedData[[#This Row],[DAY]], "mmm yyyy")</f>
        <v>Jan 2024</v>
      </c>
    </row>
    <row r="120" spans="1:14" x14ac:dyDescent="0.3">
      <c r="A120" s="5">
        <v>45317</v>
      </c>
      <c r="B120" s="12">
        <v>3</v>
      </c>
      <c r="C120" s="12">
        <v>0</v>
      </c>
      <c r="D120" s="2" t="s">
        <v>10</v>
      </c>
      <c r="E120" s="2" t="s">
        <v>8</v>
      </c>
      <c r="F120" s="1">
        <v>1</v>
      </c>
      <c r="G120" s="13">
        <v>2.6347701236513279</v>
      </c>
      <c r="H120" s="14" t="b">
        <v>0</v>
      </c>
      <c r="I120" s="15">
        <f t="shared" si="4"/>
        <v>3</v>
      </c>
      <c r="J120" s="15">
        <f t="shared" si="4"/>
        <v>0</v>
      </c>
      <c r="K120" s="15">
        <f t="shared" si="5"/>
        <v>3</v>
      </c>
      <c r="L120" s="3" t="str">
        <f t="shared" si="6"/>
        <v>Friday</v>
      </c>
      <c r="M120" s="4" t="str">
        <f t="shared" si="7"/>
        <v>Normal Day</v>
      </c>
      <c r="N120" s="4" t="str">
        <f>TEXT(CleanedData[[#This Row],[DAY]], "mmm yyyy")</f>
        <v>Jan 2024</v>
      </c>
    </row>
    <row r="121" spans="1:14" x14ac:dyDescent="0.3">
      <c r="A121" s="5">
        <v>45317</v>
      </c>
      <c r="B121" s="12">
        <v>1123.5</v>
      </c>
      <c r="C121" s="12">
        <v>76.5</v>
      </c>
      <c r="D121" s="2" t="s">
        <v>6</v>
      </c>
      <c r="E121" s="2" t="s">
        <v>8</v>
      </c>
      <c r="F121" s="1">
        <v>160</v>
      </c>
      <c r="G121" s="13">
        <v>1015.6580281133845</v>
      </c>
      <c r="H121" s="14" t="b">
        <v>0</v>
      </c>
      <c r="I121" s="15">
        <f t="shared" si="4"/>
        <v>1124</v>
      </c>
      <c r="J121" s="15">
        <f t="shared" si="4"/>
        <v>77</v>
      </c>
      <c r="K121" s="15">
        <f t="shared" si="5"/>
        <v>1016</v>
      </c>
      <c r="L121" s="3" t="str">
        <f t="shared" si="6"/>
        <v>Friday</v>
      </c>
      <c r="M121" s="4" t="str">
        <f t="shared" si="7"/>
        <v>Normal Day</v>
      </c>
      <c r="N121" s="4" t="str">
        <f>TEXT(CleanedData[[#This Row],[DAY]], "mmm yyyy")</f>
        <v>Jan 2024</v>
      </c>
    </row>
    <row r="122" spans="1:14" x14ac:dyDescent="0.3">
      <c r="A122" s="5">
        <v>45317</v>
      </c>
      <c r="B122" s="12">
        <v>1284</v>
      </c>
      <c r="C122" s="12">
        <v>76.5</v>
      </c>
      <c r="D122" s="2" t="s">
        <v>6</v>
      </c>
      <c r="E122" s="2" t="s">
        <v>7</v>
      </c>
      <c r="F122" s="1">
        <v>784</v>
      </c>
      <c r="G122" s="13">
        <v>1202.4899771998867</v>
      </c>
      <c r="H122" s="14" t="b">
        <v>0</v>
      </c>
      <c r="I122" s="15">
        <f t="shared" si="4"/>
        <v>1284</v>
      </c>
      <c r="J122" s="15">
        <f t="shared" si="4"/>
        <v>77</v>
      </c>
      <c r="K122" s="15">
        <f t="shared" si="5"/>
        <v>1202</v>
      </c>
      <c r="L122" s="3" t="str">
        <f t="shared" si="6"/>
        <v>Friday</v>
      </c>
      <c r="M122" s="4" t="str">
        <f t="shared" si="7"/>
        <v>Normal Day</v>
      </c>
      <c r="N122" s="4" t="str">
        <f>TEXT(CleanedData[[#This Row],[DAY]], "mmm yyyy")</f>
        <v>Jan 2024</v>
      </c>
    </row>
    <row r="123" spans="1:14" x14ac:dyDescent="0.3">
      <c r="A123" s="5">
        <v>45317</v>
      </c>
      <c r="B123" s="12">
        <v>7515</v>
      </c>
      <c r="C123" s="12">
        <v>240</v>
      </c>
      <c r="D123" s="2" t="s">
        <v>9</v>
      </c>
      <c r="E123" s="2" t="s">
        <v>8</v>
      </c>
      <c r="F123" s="1">
        <v>570</v>
      </c>
      <c r="G123" s="13">
        <v>6778.9271172479612</v>
      </c>
      <c r="H123" s="14" t="b">
        <v>1</v>
      </c>
      <c r="I123" s="15">
        <f t="shared" si="4"/>
        <v>7515</v>
      </c>
      <c r="J123" s="15">
        <f t="shared" si="4"/>
        <v>240</v>
      </c>
      <c r="K123" s="15">
        <f t="shared" si="5"/>
        <v>6779</v>
      </c>
      <c r="L123" s="3" t="str">
        <f t="shared" si="6"/>
        <v>Friday</v>
      </c>
      <c r="M123" s="4" t="str">
        <f t="shared" si="7"/>
        <v>Outage Day</v>
      </c>
      <c r="N123" s="4" t="str">
        <f>TEXT(CleanedData[[#This Row],[DAY]], "mmm yyyy")</f>
        <v>Jan 2024</v>
      </c>
    </row>
    <row r="124" spans="1:14" x14ac:dyDescent="0.3">
      <c r="A124" s="5">
        <v>45317</v>
      </c>
      <c r="B124" s="12">
        <v>8886</v>
      </c>
      <c r="C124" s="12">
        <v>459</v>
      </c>
      <c r="D124" s="2" t="s">
        <v>10</v>
      </c>
      <c r="E124" s="2" t="s">
        <v>7</v>
      </c>
      <c r="F124" s="1">
        <v>2097</v>
      </c>
      <c r="G124" s="13">
        <v>8309.8623376283304</v>
      </c>
      <c r="H124" s="14" t="b">
        <v>0</v>
      </c>
      <c r="I124" s="15">
        <f t="shared" si="4"/>
        <v>8886</v>
      </c>
      <c r="J124" s="15">
        <f t="shared" si="4"/>
        <v>459</v>
      </c>
      <c r="K124" s="15">
        <f t="shared" si="5"/>
        <v>8310</v>
      </c>
      <c r="L124" s="3" t="str">
        <f t="shared" si="6"/>
        <v>Friday</v>
      </c>
      <c r="M124" s="4" t="str">
        <f t="shared" si="7"/>
        <v>Normal Day</v>
      </c>
      <c r="N124" s="4" t="str">
        <f>TEXT(CleanedData[[#This Row],[DAY]], "mmm yyyy")</f>
        <v>Jan 2024</v>
      </c>
    </row>
    <row r="125" spans="1:14" x14ac:dyDescent="0.3">
      <c r="A125" s="5">
        <v>45318</v>
      </c>
      <c r="B125" s="12">
        <v>676.5</v>
      </c>
      <c r="C125" s="12">
        <v>66</v>
      </c>
      <c r="D125" s="2" t="s">
        <v>6</v>
      </c>
      <c r="E125" s="2" t="s">
        <v>8</v>
      </c>
      <c r="F125" s="1">
        <v>234</v>
      </c>
      <c r="G125" s="13">
        <v>645.62530392109977</v>
      </c>
      <c r="H125" s="14" t="b">
        <v>0</v>
      </c>
      <c r="I125" s="15">
        <f t="shared" si="4"/>
        <v>677</v>
      </c>
      <c r="J125" s="15">
        <f t="shared" si="4"/>
        <v>66</v>
      </c>
      <c r="K125" s="15">
        <f t="shared" si="5"/>
        <v>646</v>
      </c>
      <c r="L125" s="3" t="str">
        <f t="shared" si="6"/>
        <v>Saturday</v>
      </c>
      <c r="M125" s="4" t="str">
        <f t="shared" si="7"/>
        <v>Normal Day</v>
      </c>
      <c r="N125" s="4" t="str">
        <f>TEXT(CleanedData[[#This Row],[DAY]], "mmm yyyy")</f>
        <v>Jan 2024</v>
      </c>
    </row>
    <row r="126" spans="1:14" x14ac:dyDescent="0.3">
      <c r="A126" s="5">
        <v>45318</v>
      </c>
      <c r="B126" s="12">
        <v>1146</v>
      </c>
      <c r="C126" s="12">
        <v>66</v>
      </c>
      <c r="D126" s="2" t="s">
        <v>6</v>
      </c>
      <c r="E126" s="2" t="s">
        <v>7</v>
      </c>
      <c r="F126" s="1">
        <v>574</v>
      </c>
      <c r="G126" s="13">
        <v>1100.8487940615662</v>
      </c>
      <c r="H126" s="14" t="b">
        <v>0</v>
      </c>
      <c r="I126" s="15">
        <f t="shared" si="4"/>
        <v>1146</v>
      </c>
      <c r="J126" s="15">
        <f t="shared" si="4"/>
        <v>66</v>
      </c>
      <c r="K126" s="15">
        <f t="shared" si="5"/>
        <v>1101</v>
      </c>
      <c r="L126" s="3" t="str">
        <f t="shared" si="6"/>
        <v>Saturday</v>
      </c>
      <c r="M126" s="4" t="str">
        <f t="shared" si="7"/>
        <v>Normal Day</v>
      </c>
      <c r="N126" s="4" t="str">
        <f>TEXT(CleanedData[[#This Row],[DAY]], "mmm yyyy")</f>
        <v>Jan 2024</v>
      </c>
    </row>
    <row r="127" spans="1:14" x14ac:dyDescent="0.3">
      <c r="A127" s="5">
        <v>45318</v>
      </c>
      <c r="B127" s="12">
        <v>6238.5</v>
      </c>
      <c r="C127" s="12">
        <v>268.5</v>
      </c>
      <c r="D127" s="2" t="s">
        <v>9</v>
      </c>
      <c r="E127" s="2" t="s">
        <v>8</v>
      </c>
      <c r="F127" s="1">
        <v>1654</v>
      </c>
      <c r="G127" s="13">
        <v>5267.9913006841643</v>
      </c>
      <c r="H127" s="14" t="b">
        <v>0</v>
      </c>
      <c r="I127" s="15">
        <f t="shared" si="4"/>
        <v>6239</v>
      </c>
      <c r="J127" s="15">
        <f t="shared" si="4"/>
        <v>269</v>
      </c>
      <c r="K127" s="15">
        <f t="shared" si="5"/>
        <v>5268</v>
      </c>
      <c r="L127" s="3" t="str">
        <f t="shared" si="6"/>
        <v>Saturday</v>
      </c>
      <c r="M127" s="4" t="str">
        <f t="shared" si="7"/>
        <v>Normal Day</v>
      </c>
      <c r="N127" s="4" t="str">
        <f>TEXT(CleanedData[[#This Row],[DAY]], "mmm yyyy")</f>
        <v>Jan 2024</v>
      </c>
    </row>
    <row r="128" spans="1:14" x14ac:dyDescent="0.3">
      <c r="A128" s="5">
        <v>45318</v>
      </c>
      <c r="B128" s="12">
        <v>10560</v>
      </c>
      <c r="C128" s="12">
        <v>669</v>
      </c>
      <c r="D128" s="2" t="s">
        <v>10</v>
      </c>
      <c r="E128" s="2" t="s">
        <v>7</v>
      </c>
      <c r="F128" s="1">
        <v>6229</v>
      </c>
      <c r="G128" s="13">
        <v>10340.718390727572</v>
      </c>
      <c r="H128" s="14" t="b">
        <v>1</v>
      </c>
      <c r="I128" s="15">
        <f t="shared" si="4"/>
        <v>10560</v>
      </c>
      <c r="J128" s="15">
        <f t="shared" si="4"/>
        <v>669</v>
      </c>
      <c r="K128" s="15">
        <f t="shared" si="5"/>
        <v>10341</v>
      </c>
      <c r="L128" s="3" t="str">
        <f t="shared" si="6"/>
        <v>Saturday</v>
      </c>
      <c r="M128" s="4" t="str">
        <f t="shared" si="7"/>
        <v>Outage Day</v>
      </c>
      <c r="N128" s="4" t="str">
        <f>TEXT(CleanedData[[#This Row],[DAY]], "mmm yyyy")</f>
        <v>Jan 2024</v>
      </c>
    </row>
    <row r="129" spans="1:14" x14ac:dyDescent="0.3">
      <c r="A129" s="5">
        <v>45319</v>
      </c>
      <c r="B129" s="12">
        <v>1.5</v>
      </c>
      <c r="C129" s="12">
        <v>0</v>
      </c>
      <c r="D129" s="2" t="s">
        <v>10</v>
      </c>
      <c r="E129" s="2" t="s">
        <v>8</v>
      </c>
      <c r="F129" s="1">
        <v>1</v>
      </c>
      <c r="G129" s="13">
        <v>1.2458775217494569</v>
      </c>
      <c r="H129" s="14" t="b">
        <v>1</v>
      </c>
      <c r="I129" s="15">
        <f t="shared" si="4"/>
        <v>2</v>
      </c>
      <c r="J129" s="15">
        <f t="shared" si="4"/>
        <v>0</v>
      </c>
      <c r="K129" s="15">
        <f t="shared" si="5"/>
        <v>1</v>
      </c>
      <c r="L129" s="3" t="str">
        <f t="shared" si="6"/>
        <v>Sunday</v>
      </c>
      <c r="M129" s="4" t="str">
        <f t="shared" si="7"/>
        <v>Outage Day</v>
      </c>
      <c r="N129" s="4" t="str">
        <f>TEXT(CleanedData[[#This Row],[DAY]], "mmm yyyy")</f>
        <v>Jan 2024</v>
      </c>
    </row>
    <row r="130" spans="1:14" x14ac:dyDescent="0.3">
      <c r="A130" s="5">
        <v>45319</v>
      </c>
      <c r="B130" s="12">
        <v>807</v>
      </c>
      <c r="C130" s="12">
        <v>12</v>
      </c>
      <c r="D130" s="2" t="s">
        <v>6</v>
      </c>
      <c r="E130" s="2" t="s">
        <v>8</v>
      </c>
      <c r="F130" s="1">
        <v>98</v>
      </c>
      <c r="G130" s="13">
        <v>725.52968280979314</v>
      </c>
      <c r="H130" s="14" t="b">
        <v>1</v>
      </c>
      <c r="I130" s="15">
        <f t="shared" ref="I130:J193" si="8">ROUND(B130, 0)</f>
        <v>807</v>
      </c>
      <c r="J130" s="15">
        <f t="shared" si="8"/>
        <v>12</v>
      </c>
      <c r="K130" s="15">
        <f t="shared" ref="K130:K193" si="9">ROUND(G130, 0)</f>
        <v>726</v>
      </c>
      <c r="L130" s="3" t="str">
        <f t="shared" si="6"/>
        <v>Sunday</v>
      </c>
      <c r="M130" s="4" t="str">
        <f t="shared" si="7"/>
        <v>Outage Day</v>
      </c>
      <c r="N130" s="4" t="str">
        <f>TEXT(CleanedData[[#This Row],[DAY]], "mmm yyyy")</f>
        <v>Jan 2024</v>
      </c>
    </row>
    <row r="131" spans="1:14" x14ac:dyDescent="0.3">
      <c r="A131" s="5">
        <v>45319</v>
      </c>
      <c r="B131" s="12">
        <v>1074</v>
      </c>
      <c r="C131" s="12">
        <v>12</v>
      </c>
      <c r="D131" s="2" t="s">
        <v>6</v>
      </c>
      <c r="E131" s="2" t="s">
        <v>7</v>
      </c>
      <c r="F131" s="1">
        <v>615</v>
      </c>
      <c r="G131" s="13">
        <v>1009.0664265769295</v>
      </c>
      <c r="H131" s="14" t="b">
        <v>1</v>
      </c>
      <c r="I131" s="15">
        <f t="shared" si="8"/>
        <v>1074</v>
      </c>
      <c r="J131" s="15">
        <f t="shared" si="8"/>
        <v>12</v>
      </c>
      <c r="K131" s="15">
        <f t="shared" si="9"/>
        <v>1009</v>
      </c>
      <c r="L131" s="3" t="str">
        <f t="shared" ref="L131:L194" si="10">TEXT(A131,"dddd")</f>
        <v>Sunday</v>
      </c>
      <c r="M131" s="4" t="str">
        <f t="shared" ref="M131:M194" si="11">IF(H131=TRUE, "Outage Day", "Normal Day")</f>
        <v>Outage Day</v>
      </c>
      <c r="N131" s="4" t="str">
        <f>TEXT(CleanedData[[#This Row],[DAY]], "mmm yyyy")</f>
        <v>Jan 2024</v>
      </c>
    </row>
    <row r="132" spans="1:14" x14ac:dyDescent="0.3">
      <c r="A132" s="5">
        <v>45319</v>
      </c>
      <c r="B132" s="12">
        <v>7423.5</v>
      </c>
      <c r="C132" s="12">
        <v>102</v>
      </c>
      <c r="D132" s="2" t="s">
        <v>9</v>
      </c>
      <c r="E132" s="2" t="s">
        <v>8</v>
      </c>
      <c r="F132" s="1">
        <v>142</v>
      </c>
      <c r="G132" s="13">
        <v>6414.6590310599122</v>
      </c>
      <c r="H132" s="14" t="b">
        <v>1</v>
      </c>
      <c r="I132" s="15">
        <f t="shared" si="8"/>
        <v>7424</v>
      </c>
      <c r="J132" s="15">
        <f t="shared" si="8"/>
        <v>102</v>
      </c>
      <c r="K132" s="15">
        <f t="shared" si="9"/>
        <v>6415</v>
      </c>
      <c r="L132" s="3" t="str">
        <f t="shared" si="10"/>
        <v>Sunday</v>
      </c>
      <c r="M132" s="4" t="str">
        <f t="shared" si="11"/>
        <v>Outage Day</v>
      </c>
      <c r="N132" s="4" t="str">
        <f>TEXT(CleanedData[[#This Row],[DAY]], "mmm yyyy")</f>
        <v>Jan 2024</v>
      </c>
    </row>
    <row r="133" spans="1:14" x14ac:dyDescent="0.3">
      <c r="A133" s="5">
        <v>45319</v>
      </c>
      <c r="B133" s="12">
        <v>8586</v>
      </c>
      <c r="C133" s="12">
        <v>118.5</v>
      </c>
      <c r="D133" s="2" t="s">
        <v>10</v>
      </c>
      <c r="E133" s="2" t="s">
        <v>7</v>
      </c>
      <c r="F133" s="1">
        <v>254</v>
      </c>
      <c r="G133" s="13">
        <v>7764.3235287333609</v>
      </c>
      <c r="H133" s="14" t="b">
        <v>1</v>
      </c>
      <c r="I133" s="15">
        <f t="shared" si="8"/>
        <v>8586</v>
      </c>
      <c r="J133" s="15">
        <f t="shared" si="8"/>
        <v>119</v>
      </c>
      <c r="K133" s="15">
        <f t="shared" si="9"/>
        <v>7764</v>
      </c>
      <c r="L133" s="3" t="str">
        <f t="shared" si="10"/>
        <v>Sunday</v>
      </c>
      <c r="M133" s="4" t="str">
        <f t="shared" si="11"/>
        <v>Outage Day</v>
      </c>
      <c r="N133" s="4" t="str">
        <f>TEXT(CleanedData[[#This Row],[DAY]], "mmm yyyy")</f>
        <v>Jan 2024</v>
      </c>
    </row>
    <row r="134" spans="1:14" x14ac:dyDescent="0.3">
      <c r="A134" s="5">
        <v>45320</v>
      </c>
      <c r="B134" s="12">
        <v>1.5</v>
      </c>
      <c r="C134" s="12">
        <v>0</v>
      </c>
      <c r="D134" s="2" t="s">
        <v>10</v>
      </c>
      <c r="E134" s="2" t="s">
        <v>8</v>
      </c>
      <c r="F134" s="1">
        <v>1</v>
      </c>
      <c r="G134" s="13">
        <v>1.3126315416231855</v>
      </c>
      <c r="H134" s="14" t="b">
        <v>0</v>
      </c>
      <c r="I134" s="15">
        <f t="shared" si="8"/>
        <v>2</v>
      </c>
      <c r="J134" s="15">
        <f t="shared" si="8"/>
        <v>0</v>
      </c>
      <c r="K134" s="15">
        <f t="shared" si="9"/>
        <v>1</v>
      </c>
      <c r="L134" s="3" t="str">
        <f t="shared" si="10"/>
        <v>Monday</v>
      </c>
      <c r="M134" s="4" t="str">
        <f t="shared" si="11"/>
        <v>Normal Day</v>
      </c>
      <c r="N134" s="4" t="str">
        <f>TEXT(CleanedData[[#This Row],[DAY]], "mmm yyyy")</f>
        <v>Jan 2024</v>
      </c>
    </row>
    <row r="135" spans="1:14" x14ac:dyDescent="0.3">
      <c r="A135" s="5">
        <v>45320</v>
      </c>
      <c r="B135" s="12">
        <v>706.5</v>
      </c>
      <c r="C135" s="12">
        <v>21</v>
      </c>
      <c r="D135" s="2" t="s">
        <v>6</v>
      </c>
      <c r="E135" s="2" t="s">
        <v>8</v>
      </c>
      <c r="F135" s="1">
        <v>65</v>
      </c>
      <c r="G135" s="13">
        <v>588.12682775421058</v>
      </c>
      <c r="H135" s="14" t="b">
        <v>0</v>
      </c>
      <c r="I135" s="15">
        <f t="shared" si="8"/>
        <v>707</v>
      </c>
      <c r="J135" s="15">
        <f t="shared" si="8"/>
        <v>21</v>
      </c>
      <c r="K135" s="15">
        <f t="shared" si="9"/>
        <v>588</v>
      </c>
      <c r="L135" s="3" t="str">
        <f t="shared" si="10"/>
        <v>Monday</v>
      </c>
      <c r="M135" s="4" t="str">
        <f t="shared" si="11"/>
        <v>Normal Day</v>
      </c>
      <c r="N135" s="4" t="str">
        <f>TEXT(CleanedData[[#This Row],[DAY]], "mmm yyyy")</f>
        <v>Jan 2024</v>
      </c>
    </row>
    <row r="136" spans="1:14" x14ac:dyDescent="0.3">
      <c r="A136" s="5">
        <v>45320</v>
      </c>
      <c r="B136" s="12">
        <v>715.5</v>
      </c>
      <c r="C136" s="12">
        <v>21</v>
      </c>
      <c r="D136" s="2" t="s">
        <v>6</v>
      </c>
      <c r="E136" s="2" t="s">
        <v>7</v>
      </c>
      <c r="F136" s="1">
        <v>32</v>
      </c>
      <c r="G136" s="13">
        <v>641.04937247538305</v>
      </c>
      <c r="H136" s="14" t="b">
        <v>1</v>
      </c>
      <c r="I136" s="15">
        <f t="shared" si="8"/>
        <v>716</v>
      </c>
      <c r="J136" s="15">
        <f t="shared" si="8"/>
        <v>21</v>
      </c>
      <c r="K136" s="15">
        <f t="shared" si="9"/>
        <v>641</v>
      </c>
      <c r="L136" s="3" t="str">
        <f t="shared" si="10"/>
        <v>Monday</v>
      </c>
      <c r="M136" s="4" t="str">
        <f t="shared" si="11"/>
        <v>Outage Day</v>
      </c>
      <c r="N136" s="4" t="str">
        <f>TEXT(CleanedData[[#This Row],[DAY]], "mmm yyyy")</f>
        <v>Jan 2024</v>
      </c>
    </row>
    <row r="137" spans="1:14" x14ac:dyDescent="0.3">
      <c r="A137" s="5">
        <v>45320</v>
      </c>
      <c r="B137" s="12">
        <v>6721.5</v>
      </c>
      <c r="C137" s="12">
        <v>79.5</v>
      </c>
      <c r="D137" s="2" t="s">
        <v>9</v>
      </c>
      <c r="E137" s="2" t="s">
        <v>8</v>
      </c>
      <c r="F137" s="1">
        <v>3751</v>
      </c>
      <c r="G137" s="13">
        <v>5586.4112240032127</v>
      </c>
      <c r="H137" s="14" t="b">
        <v>0</v>
      </c>
      <c r="I137" s="15">
        <f t="shared" si="8"/>
        <v>6722</v>
      </c>
      <c r="J137" s="15">
        <f t="shared" si="8"/>
        <v>80</v>
      </c>
      <c r="K137" s="15">
        <f t="shared" si="9"/>
        <v>5586</v>
      </c>
      <c r="L137" s="3" t="str">
        <f t="shared" si="10"/>
        <v>Monday</v>
      </c>
      <c r="M137" s="4" t="str">
        <f t="shared" si="11"/>
        <v>Normal Day</v>
      </c>
      <c r="N137" s="4" t="str">
        <f>TEXT(CleanedData[[#This Row],[DAY]], "mmm yyyy")</f>
        <v>Jan 2024</v>
      </c>
    </row>
    <row r="138" spans="1:14" x14ac:dyDescent="0.3">
      <c r="A138" s="5">
        <v>45320</v>
      </c>
      <c r="B138" s="12">
        <v>7839</v>
      </c>
      <c r="C138" s="12">
        <v>33</v>
      </c>
      <c r="D138" s="2" t="s">
        <v>10</v>
      </c>
      <c r="E138" s="2" t="s">
        <v>7</v>
      </c>
      <c r="F138" s="1">
        <v>2483</v>
      </c>
      <c r="G138" s="13">
        <v>7342.6442190790458</v>
      </c>
      <c r="H138" s="14" t="b">
        <v>0</v>
      </c>
      <c r="I138" s="15">
        <f t="shared" si="8"/>
        <v>7839</v>
      </c>
      <c r="J138" s="15">
        <f t="shared" si="8"/>
        <v>33</v>
      </c>
      <c r="K138" s="15">
        <f t="shared" si="9"/>
        <v>7343</v>
      </c>
      <c r="L138" s="3" t="str">
        <f t="shared" si="10"/>
        <v>Monday</v>
      </c>
      <c r="M138" s="4" t="str">
        <f t="shared" si="11"/>
        <v>Normal Day</v>
      </c>
      <c r="N138" s="4" t="str">
        <f>TEXT(CleanedData[[#This Row],[DAY]], "mmm yyyy")</f>
        <v>Jan 2024</v>
      </c>
    </row>
    <row r="139" spans="1:14" x14ac:dyDescent="0.3">
      <c r="A139" s="5">
        <v>45321</v>
      </c>
      <c r="B139" s="12">
        <v>1.5</v>
      </c>
      <c r="C139" s="12">
        <v>0</v>
      </c>
      <c r="D139" s="2" t="s">
        <v>10</v>
      </c>
      <c r="E139" s="2" t="s">
        <v>8</v>
      </c>
      <c r="F139" s="1">
        <v>1</v>
      </c>
      <c r="G139" s="13">
        <v>1.3244074372065764</v>
      </c>
      <c r="H139" s="14" t="b">
        <v>1</v>
      </c>
      <c r="I139" s="15">
        <f t="shared" si="8"/>
        <v>2</v>
      </c>
      <c r="J139" s="15">
        <f t="shared" si="8"/>
        <v>0</v>
      </c>
      <c r="K139" s="15">
        <f t="shared" si="9"/>
        <v>1</v>
      </c>
      <c r="L139" s="3" t="str">
        <f t="shared" si="10"/>
        <v>Tuesday</v>
      </c>
      <c r="M139" s="4" t="str">
        <f t="shared" si="11"/>
        <v>Outage Day</v>
      </c>
      <c r="N139" s="4" t="str">
        <f>TEXT(CleanedData[[#This Row],[DAY]], "mmm yyyy")</f>
        <v>Jan 2024</v>
      </c>
    </row>
    <row r="140" spans="1:14" x14ac:dyDescent="0.3">
      <c r="A140" s="5">
        <v>45321</v>
      </c>
      <c r="B140" s="12">
        <v>486</v>
      </c>
      <c r="C140" s="12">
        <v>12</v>
      </c>
      <c r="D140" s="2" t="s">
        <v>6</v>
      </c>
      <c r="E140" s="2" t="s">
        <v>7</v>
      </c>
      <c r="F140" s="1">
        <v>253</v>
      </c>
      <c r="G140" s="13">
        <v>445.52039614748304</v>
      </c>
      <c r="H140" s="14" t="b">
        <v>1</v>
      </c>
      <c r="I140" s="15">
        <f t="shared" si="8"/>
        <v>486</v>
      </c>
      <c r="J140" s="15">
        <f t="shared" si="8"/>
        <v>12</v>
      </c>
      <c r="K140" s="15">
        <f t="shared" si="9"/>
        <v>446</v>
      </c>
      <c r="L140" s="3" t="str">
        <f t="shared" si="10"/>
        <v>Tuesday</v>
      </c>
      <c r="M140" s="4" t="str">
        <f t="shared" si="11"/>
        <v>Outage Day</v>
      </c>
      <c r="N140" s="4" t="str">
        <f>TEXT(CleanedData[[#This Row],[DAY]], "mmm yyyy")</f>
        <v>Jan 2024</v>
      </c>
    </row>
    <row r="141" spans="1:14" x14ac:dyDescent="0.3">
      <c r="A141" s="5">
        <v>45321</v>
      </c>
      <c r="B141" s="12">
        <v>505.5</v>
      </c>
      <c r="C141" s="12">
        <v>12</v>
      </c>
      <c r="D141" s="2" t="s">
        <v>6</v>
      </c>
      <c r="E141" s="2" t="s">
        <v>8</v>
      </c>
      <c r="F141" s="1">
        <v>207</v>
      </c>
      <c r="G141" s="13">
        <v>423.81770106874177</v>
      </c>
      <c r="H141" s="14" t="b">
        <v>1</v>
      </c>
      <c r="I141" s="15">
        <f t="shared" si="8"/>
        <v>506</v>
      </c>
      <c r="J141" s="15">
        <f t="shared" si="8"/>
        <v>12</v>
      </c>
      <c r="K141" s="15">
        <f t="shared" si="9"/>
        <v>424</v>
      </c>
      <c r="L141" s="3" t="str">
        <f t="shared" si="10"/>
        <v>Tuesday</v>
      </c>
      <c r="M141" s="4" t="str">
        <f t="shared" si="11"/>
        <v>Outage Day</v>
      </c>
      <c r="N141" s="4" t="str">
        <f>TEXT(CleanedData[[#This Row],[DAY]], "mmm yyyy")</f>
        <v>Jan 2024</v>
      </c>
    </row>
    <row r="142" spans="1:14" x14ac:dyDescent="0.3">
      <c r="A142" s="5">
        <v>45321</v>
      </c>
      <c r="B142" s="12">
        <v>7263</v>
      </c>
      <c r="C142" s="12">
        <v>187.5</v>
      </c>
      <c r="D142" s="2" t="s">
        <v>9</v>
      </c>
      <c r="E142" s="2" t="s">
        <v>8</v>
      </c>
      <c r="F142" s="1">
        <v>4766</v>
      </c>
      <c r="G142" s="13">
        <v>6583.3250687156042</v>
      </c>
      <c r="H142" s="14" t="b">
        <v>1</v>
      </c>
      <c r="I142" s="15">
        <f t="shared" si="8"/>
        <v>7263</v>
      </c>
      <c r="J142" s="15">
        <f t="shared" si="8"/>
        <v>188</v>
      </c>
      <c r="K142" s="15">
        <f t="shared" si="9"/>
        <v>6583</v>
      </c>
      <c r="L142" s="3" t="str">
        <f t="shared" si="10"/>
        <v>Tuesday</v>
      </c>
      <c r="M142" s="4" t="str">
        <f t="shared" si="11"/>
        <v>Outage Day</v>
      </c>
      <c r="N142" s="4" t="str">
        <f>TEXT(CleanedData[[#This Row],[DAY]], "mmm yyyy")</f>
        <v>Jan 2024</v>
      </c>
    </row>
    <row r="143" spans="1:14" x14ac:dyDescent="0.3">
      <c r="A143" s="5">
        <v>45321</v>
      </c>
      <c r="B143" s="12">
        <v>8128.5</v>
      </c>
      <c r="C143" s="12">
        <v>526.5</v>
      </c>
      <c r="D143" s="2" t="s">
        <v>10</v>
      </c>
      <c r="E143" s="2" t="s">
        <v>7</v>
      </c>
      <c r="F143" s="1">
        <v>1664</v>
      </c>
      <c r="G143" s="13">
        <v>7714.1359696924173</v>
      </c>
      <c r="H143" s="14" t="b">
        <v>1</v>
      </c>
      <c r="I143" s="15">
        <f t="shared" si="8"/>
        <v>8129</v>
      </c>
      <c r="J143" s="15">
        <f t="shared" si="8"/>
        <v>527</v>
      </c>
      <c r="K143" s="15">
        <f t="shared" si="9"/>
        <v>7714</v>
      </c>
      <c r="L143" s="3" t="str">
        <f t="shared" si="10"/>
        <v>Tuesday</v>
      </c>
      <c r="M143" s="4" t="str">
        <f t="shared" si="11"/>
        <v>Outage Day</v>
      </c>
      <c r="N143" s="4" t="str">
        <f>TEXT(CleanedData[[#This Row],[DAY]], "mmm yyyy")</f>
        <v>Jan 2024</v>
      </c>
    </row>
    <row r="144" spans="1:14" x14ac:dyDescent="0.3">
      <c r="A144" s="5">
        <v>45322</v>
      </c>
      <c r="B144" s="12">
        <v>4.5</v>
      </c>
      <c r="C144" s="12">
        <v>1.5</v>
      </c>
      <c r="D144" s="2" t="s">
        <v>10</v>
      </c>
      <c r="E144" s="2" t="s">
        <v>8</v>
      </c>
      <c r="F144" s="1">
        <v>1</v>
      </c>
      <c r="G144" s="13">
        <v>5.0523346931492759</v>
      </c>
      <c r="H144" s="14" t="b">
        <v>0</v>
      </c>
      <c r="I144" s="15">
        <f t="shared" si="8"/>
        <v>5</v>
      </c>
      <c r="J144" s="15">
        <f t="shared" si="8"/>
        <v>2</v>
      </c>
      <c r="K144" s="15">
        <f t="shared" si="9"/>
        <v>5</v>
      </c>
      <c r="L144" s="3" t="str">
        <f t="shared" si="10"/>
        <v>Wednesday</v>
      </c>
      <c r="M144" s="4" t="str">
        <f t="shared" si="11"/>
        <v>Normal Day</v>
      </c>
      <c r="N144" s="4" t="str">
        <f>TEXT(CleanedData[[#This Row],[DAY]], "mmm yyyy")</f>
        <v>Jan 2024</v>
      </c>
    </row>
    <row r="145" spans="1:14" x14ac:dyDescent="0.3">
      <c r="A145" s="5">
        <v>45322</v>
      </c>
      <c r="B145" s="12">
        <v>1564.5</v>
      </c>
      <c r="C145" s="12">
        <v>33</v>
      </c>
      <c r="D145" s="2" t="s">
        <v>6</v>
      </c>
      <c r="E145" s="2" t="s">
        <v>8</v>
      </c>
      <c r="F145" s="1">
        <v>102</v>
      </c>
      <c r="G145" s="13">
        <v>1368.2728097899669</v>
      </c>
      <c r="H145" s="14" t="b">
        <v>0</v>
      </c>
      <c r="I145" s="15">
        <f t="shared" si="8"/>
        <v>1565</v>
      </c>
      <c r="J145" s="15">
        <f t="shared" si="8"/>
        <v>33</v>
      </c>
      <c r="K145" s="15">
        <f t="shared" si="9"/>
        <v>1368</v>
      </c>
      <c r="L145" s="3" t="str">
        <f t="shared" si="10"/>
        <v>Wednesday</v>
      </c>
      <c r="M145" s="4" t="str">
        <f t="shared" si="11"/>
        <v>Normal Day</v>
      </c>
      <c r="N145" s="4" t="str">
        <f>TEXT(CleanedData[[#This Row],[DAY]], "mmm yyyy")</f>
        <v>Jan 2024</v>
      </c>
    </row>
    <row r="146" spans="1:14" x14ac:dyDescent="0.3">
      <c r="A146" s="5">
        <v>45322</v>
      </c>
      <c r="B146" s="12">
        <v>1735.5</v>
      </c>
      <c r="C146" s="12">
        <v>33</v>
      </c>
      <c r="D146" s="2" t="s">
        <v>6</v>
      </c>
      <c r="E146" s="2" t="s">
        <v>7</v>
      </c>
      <c r="F146" s="1">
        <v>32</v>
      </c>
      <c r="G146" s="13">
        <v>1592.1438670374275</v>
      </c>
      <c r="H146" s="14" t="b">
        <v>0</v>
      </c>
      <c r="I146" s="15">
        <f t="shared" si="8"/>
        <v>1736</v>
      </c>
      <c r="J146" s="15">
        <f t="shared" si="8"/>
        <v>33</v>
      </c>
      <c r="K146" s="15">
        <f t="shared" si="9"/>
        <v>1592</v>
      </c>
      <c r="L146" s="3" t="str">
        <f t="shared" si="10"/>
        <v>Wednesday</v>
      </c>
      <c r="M146" s="4" t="str">
        <f t="shared" si="11"/>
        <v>Normal Day</v>
      </c>
      <c r="N146" s="4" t="str">
        <f>TEXT(CleanedData[[#This Row],[DAY]], "mmm yyyy")</f>
        <v>Jan 2024</v>
      </c>
    </row>
    <row r="147" spans="1:14" x14ac:dyDescent="0.3">
      <c r="A147" s="5">
        <v>45322</v>
      </c>
      <c r="B147" s="12">
        <v>4983</v>
      </c>
      <c r="C147" s="12">
        <v>64.5</v>
      </c>
      <c r="D147" s="2" t="s">
        <v>9</v>
      </c>
      <c r="E147" s="2" t="s">
        <v>8</v>
      </c>
      <c r="F147" s="1">
        <v>3214</v>
      </c>
      <c r="G147" s="13">
        <v>4263.6883961425538</v>
      </c>
      <c r="H147" s="14" t="b">
        <v>0</v>
      </c>
      <c r="I147" s="15">
        <f t="shared" si="8"/>
        <v>4983</v>
      </c>
      <c r="J147" s="15">
        <f t="shared" si="8"/>
        <v>65</v>
      </c>
      <c r="K147" s="15">
        <f t="shared" si="9"/>
        <v>4264</v>
      </c>
      <c r="L147" s="3" t="str">
        <f t="shared" si="10"/>
        <v>Wednesday</v>
      </c>
      <c r="M147" s="4" t="str">
        <f t="shared" si="11"/>
        <v>Normal Day</v>
      </c>
      <c r="N147" s="4" t="str">
        <f>TEXT(CleanedData[[#This Row],[DAY]], "mmm yyyy")</f>
        <v>Jan 2024</v>
      </c>
    </row>
    <row r="148" spans="1:14" x14ac:dyDescent="0.3">
      <c r="A148" s="5">
        <v>45322</v>
      </c>
      <c r="B148" s="12">
        <v>9741</v>
      </c>
      <c r="C148" s="12">
        <v>183</v>
      </c>
      <c r="D148" s="2" t="s">
        <v>10</v>
      </c>
      <c r="E148" s="2" t="s">
        <v>7</v>
      </c>
      <c r="F148" s="1">
        <v>3808</v>
      </c>
      <c r="G148" s="13">
        <v>9229.5485314130474</v>
      </c>
      <c r="H148" s="14" t="b">
        <v>0</v>
      </c>
      <c r="I148" s="15">
        <f t="shared" si="8"/>
        <v>9741</v>
      </c>
      <c r="J148" s="15">
        <f t="shared" si="8"/>
        <v>183</v>
      </c>
      <c r="K148" s="15">
        <f t="shared" si="9"/>
        <v>9230</v>
      </c>
      <c r="L148" s="3" t="str">
        <f t="shared" si="10"/>
        <v>Wednesday</v>
      </c>
      <c r="M148" s="4" t="str">
        <f t="shared" si="11"/>
        <v>Normal Day</v>
      </c>
      <c r="N148" s="4" t="str">
        <f>TEXT(CleanedData[[#This Row],[DAY]], "mmm yyyy")</f>
        <v>Jan 2024</v>
      </c>
    </row>
    <row r="149" spans="1:14" x14ac:dyDescent="0.3">
      <c r="A149" s="5">
        <v>45323</v>
      </c>
      <c r="B149" s="12">
        <v>13.5</v>
      </c>
      <c r="C149" s="12">
        <v>3</v>
      </c>
      <c r="D149" s="2" t="s">
        <v>10</v>
      </c>
      <c r="E149" s="2" t="s">
        <v>8</v>
      </c>
      <c r="F149" s="1">
        <v>9</v>
      </c>
      <c r="G149" s="13">
        <v>14.371071025507797</v>
      </c>
      <c r="H149" s="14" t="b">
        <v>0</v>
      </c>
      <c r="I149" s="15">
        <f t="shared" si="8"/>
        <v>14</v>
      </c>
      <c r="J149" s="15">
        <f t="shared" si="8"/>
        <v>3</v>
      </c>
      <c r="K149" s="15">
        <f t="shared" si="9"/>
        <v>14</v>
      </c>
      <c r="L149" s="3" t="str">
        <f t="shared" si="10"/>
        <v>Thursday</v>
      </c>
      <c r="M149" s="4" t="str">
        <f t="shared" si="11"/>
        <v>Normal Day</v>
      </c>
      <c r="N149" s="4" t="str">
        <f>TEXT(CleanedData[[#This Row],[DAY]], "mmm yyyy")</f>
        <v>Feb 2024</v>
      </c>
    </row>
    <row r="150" spans="1:14" x14ac:dyDescent="0.3">
      <c r="A150" s="5">
        <v>45323</v>
      </c>
      <c r="B150" s="12">
        <v>610.5</v>
      </c>
      <c r="C150" s="12">
        <v>33</v>
      </c>
      <c r="D150" s="2" t="s">
        <v>6</v>
      </c>
      <c r="E150" s="2" t="s">
        <v>7</v>
      </c>
      <c r="F150" s="1">
        <v>39</v>
      </c>
      <c r="G150" s="13">
        <v>573.5842662174955</v>
      </c>
      <c r="H150" s="14" t="b">
        <v>0</v>
      </c>
      <c r="I150" s="15">
        <f t="shared" si="8"/>
        <v>611</v>
      </c>
      <c r="J150" s="15">
        <f t="shared" si="8"/>
        <v>33</v>
      </c>
      <c r="K150" s="15">
        <f t="shared" si="9"/>
        <v>574</v>
      </c>
      <c r="L150" s="3" t="str">
        <f t="shared" si="10"/>
        <v>Thursday</v>
      </c>
      <c r="M150" s="4" t="str">
        <f t="shared" si="11"/>
        <v>Normal Day</v>
      </c>
      <c r="N150" s="4" t="str">
        <f>TEXT(CleanedData[[#This Row],[DAY]], "mmm yyyy")</f>
        <v>Feb 2024</v>
      </c>
    </row>
    <row r="151" spans="1:14" x14ac:dyDescent="0.3">
      <c r="A151" s="5">
        <v>45323</v>
      </c>
      <c r="B151" s="12">
        <v>1036.5</v>
      </c>
      <c r="C151" s="12">
        <v>33</v>
      </c>
      <c r="D151" s="2" t="s">
        <v>6</v>
      </c>
      <c r="E151" s="2" t="s">
        <v>8</v>
      </c>
      <c r="F151" s="1">
        <v>297</v>
      </c>
      <c r="G151" s="13">
        <v>855.93185226544085</v>
      </c>
      <c r="H151" s="14" t="b">
        <v>0</v>
      </c>
      <c r="I151" s="15">
        <f t="shared" si="8"/>
        <v>1037</v>
      </c>
      <c r="J151" s="15">
        <f t="shared" si="8"/>
        <v>33</v>
      </c>
      <c r="K151" s="15">
        <f t="shared" si="9"/>
        <v>856</v>
      </c>
      <c r="L151" s="3" t="str">
        <f t="shared" si="10"/>
        <v>Thursday</v>
      </c>
      <c r="M151" s="4" t="str">
        <f t="shared" si="11"/>
        <v>Normal Day</v>
      </c>
      <c r="N151" s="4" t="str">
        <f>TEXT(CleanedData[[#This Row],[DAY]], "mmm yyyy")</f>
        <v>Feb 2024</v>
      </c>
    </row>
    <row r="152" spans="1:14" x14ac:dyDescent="0.3">
      <c r="A152" s="5">
        <v>45323</v>
      </c>
      <c r="B152" s="12">
        <v>7771.5</v>
      </c>
      <c r="C152" s="12">
        <v>97.5</v>
      </c>
      <c r="D152" s="2" t="s">
        <v>9</v>
      </c>
      <c r="E152" s="2" t="s">
        <v>8</v>
      </c>
      <c r="F152" s="1">
        <v>4489</v>
      </c>
      <c r="G152" s="13">
        <v>6755.0674592190107</v>
      </c>
      <c r="H152" s="14" t="b">
        <v>0</v>
      </c>
      <c r="I152" s="15">
        <f t="shared" si="8"/>
        <v>7772</v>
      </c>
      <c r="J152" s="15">
        <f t="shared" si="8"/>
        <v>98</v>
      </c>
      <c r="K152" s="15">
        <f t="shared" si="9"/>
        <v>6755</v>
      </c>
      <c r="L152" s="3" t="str">
        <f t="shared" si="10"/>
        <v>Thursday</v>
      </c>
      <c r="M152" s="4" t="str">
        <f t="shared" si="11"/>
        <v>Normal Day</v>
      </c>
      <c r="N152" s="4" t="str">
        <f>TEXT(CleanedData[[#This Row],[DAY]], "mmm yyyy")</f>
        <v>Feb 2024</v>
      </c>
    </row>
    <row r="153" spans="1:14" x14ac:dyDescent="0.3">
      <c r="A153" s="5">
        <v>45323</v>
      </c>
      <c r="B153" s="12">
        <v>10848</v>
      </c>
      <c r="C153" s="12">
        <v>640.5</v>
      </c>
      <c r="D153" s="2" t="s">
        <v>10</v>
      </c>
      <c r="E153" s="2" t="s">
        <v>7</v>
      </c>
      <c r="F153" s="1">
        <v>3346</v>
      </c>
      <c r="G153" s="13">
        <v>10669.552242145657</v>
      </c>
      <c r="H153" s="14" t="b">
        <v>0</v>
      </c>
      <c r="I153" s="15">
        <f t="shared" si="8"/>
        <v>10848</v>
      </c>
      <c r="J153" s="15">
        <f t="shared" si="8"/>
        <v>641</v>
      </c>
      <c r="K153" s="15">
        <f t="shared" si="9"/>
        <v>10670</v>
      </c>
      <c r="L153" s="3" t="str">
        <f t="shared" si="10"/>
        <v>Thursday</v>
      </c>
      <c r="M153" s="4" t="str">
        <f t="shared" si="11"/>
        <v>Normal Day</v>
      </c>
      <c r="N153" s="4" t="str">
        <f>TEXT(CleanedData[[#This Row],[DAY]], "mmm yyyy")</f>
        <v>Feb 2024</v>
      </c>
    </row>
    <row r="154" spans="1:14" x14ac:dyDescent="0.3">
      <c r="A154" s="5">
        <v>45324</v>
      </c>
      <c r="B154" s="12">
        <v>1.5</v>
      </c>
      <c r="C154" s="12">
        <v>0</v>
      </c>
      <c r="D154" s="2" t="s">
        <v>9</v>
      </c>
      <c r="E154" s="2" t="s">
        <v>7</v>
      </c>
      <c r="F154" s="1">
        <v>1</v>
      </c>
      <c r="G154" s="13">
        <v>1.3229536380199469</v>
      </c>
      <c r="H154" s="14" t="b">
        <v>0</v>
      </c>
      <c r="I154" s="15">
        <f t="shared" si="8"/>
        <v>2</v>
      </c>
      <c r="J154" s="15">
        <f t="shared" si="8"/>
        <v>0</v>
      </c>
      <c r="K154" s="15">
        <f t="shared" si="9"/>
        <v>1</v>
      </c>
      <c r="L154" s="3" t="str">
        <f t="shared" si="10"/>
        <v>Friday</v>
      </c>
      <c r="M154" s="4" t="str">
        <f t="shared" si="11"/>
        <v>Normal Day</v>
      </c>
      <c r="N154" s="4" t="str">
        <f>TEXT(CleanedData[[#This Row],[DAY]], "mmm yyyy")</f>
        <v>Feb 2024</v>
      </c>
    </row>
    <row r="155" spans="1:14" x14ac:dyDescent="0.3">
      <c r="A155" s="5">
        <v>45324</v>
      </c>
      <c r="B155" s="12">
        <v>1483.5</v>
      </c>
      <c r="C155" s="12">
        <v>25.5</v>
      </c>
      <c r="D155" s="2" t="s">
        <v>6</v>
      </c>
      <c r="E155" s="2" t="s">
        <v>7</v>
      </c>
      <c r="F155" s="1">
        <v>612</v>
      </c>
      <c r="G155" s="13">
        <v>1377.8998601314763</v>
      </c>
      <c r="H155" s="14" t="b">
        <v>0</v>
      </c>
      <c r="I155" s="15">
        <f t="shared" si="8"/>
        <v>1484</v>
      </c>
      <c r="J155" s="15">
        <f t="shared" si="8"/>
        <v>26</v>
      </c>
      <c r="K155" s="15">
        <f t="shared" si="9"/>
        <v>1378</v>
      </c>
      <c r="L155" s="3" t="str">
        <f t="shared" si="10"/>
        <v>Friday</v>
      </c>
      <c r="M155" s="4" t="str">
        <f t="shared" si="11"/>
        <v>Normal Day</v>
      </c>
      <c r="N155" s="4" t="str">
        <f>TEXT(CleanedData[[#This Row],[DAY]], "mmm yyyy")</f>
        <v>Feb 2024</v>
      </c>
    </row>
    <row r="156" spans="1:14" x14ac:dyDescent="0.3">
      <c r="A156" s="5">
        <v>45324</v>
      </c>
      <c r="B156" s="12">
        <v>1821</v>
      </c>
      <c r="C156" s="12">
        <v>25.5</v>
      </c>
      <c r="D156" s="2" t="s">
        <v>6</v>
      </c>
      <c r="E156" s="2" t="s">
        <v>8</v>
      </c>
      <c r="F156" s="1">
        <v>611</v>
      </c>
      <c r="G156" s="13">
        <v>1492.6792161913022</v>
      </c>
      <c r="H156" s="14" t="b">
        <v>0</v>
      </c>
      <c r="I156" s="15">
        <f t="shared" si="8"/>
        <v>1821</v>
      </c>
      <c r="J156" s="15">
        <f t="shared" si="8"/>
        <v>26</v>
      </c>
      <c r="K156" s="15">
        <f t="shared" si="9"/>
        <v>1493</v>
      </c>
      <c r="L156" s="3" t="str">
        <f t="shared" si="10"/>
        <v>Friday</v>
      </c>
      <c r="M156" s="4" t="str">
        <f t="shared" si="11"/>
        <v>Normal Day</v>
      </c>
      <c r="N156" s="4" t="str">
        <f>TEXT(CleanedData[[#This Row],[DAY]], "mmm yyyy")</f>
        <v>Feb 2024</v>
      </c>
    </row>
    <row r="157" spans="1:14" x14ac:dyDescent="0.3">
      <c r="A157" s="5">
        <v>45324</v>
      </c>
      <c r="B157" s="12">
        <v>6670.5</v>
      </c>
      <c r="C157" s="12">
        <v>249</v>
      </c>
      <c r="D157" s="2" t="s">
        <v>9</v>
      </c>
      <c r="E157" s="2" t="s">
        <v>8</v>
      </c>
      <c r="F157" s="1">
        <v>4367</v>
      </c>
      <c r="G157" s="13">
        <v>5805.0068657043921</v>
      </c>
      <c r="H157" s="14" t="b">
        <v>0</v>
      </c>
      <c r="I157" s="15">
        <f t="shared" si="8"/>
        <v>6671</v>
      </c>
      <c r="J157" s="15">
        <f t="shared" si="8"/>
        <v>249</v>
      </c>
      <c r="K157" s="15">
        <f t="shared" si="9"/>
        <v>5805</v>
      </c>
      <c r="L157" s="3" t="str">
        <f t="shared" si="10"/>
        <v>Friday</v>
      </c>
      <c r="M157" s="4" t="str">
        <f t="shared" si="11"/>
        <v>Normal Day</v>
      </c>
      <c r="N157" s="4" t="str">
        <f>TEXT(CleanedData[[#This Row],[DAY]], "mmm yyyy")</f>
        <v>Feb 2024</v>
      </c>
    </row>
    <row r="158" spans="1:14" x14ac:dyDescent="0.3">
      <c r="A158" s="5">
        <v>45324</v>
      </c>
      <c r="B158" s="12">
        <v>11436</v>
      </c>
      <c r="C158" s="12">
        <v>288</v>
      </c>
      <c r="D158" s="2" t="s">
        <v>10</v>
      </c>
      <c r="E158" s="2" t="s">
        <v>7</v>
      </c>
      <c r="F158" s="1">
        <v>7509</v>
      </c>
      <c r="G158" s="13">
        <v>10624.205446811146</v>
      </c>
      <c r="H158" s="14" t="b">
        <v>0</v>
      </c>
      <c r="I158" s="15">
        <f t="shared" si="8"/>
        <v>11436</v>
      </c>
      <c r="J158" s="15">
        <f t="shared" si="8"/>
        <v>288</v>
      </c>
      <c r="K158" s="15">
        <f t="shared" si="9"/>
        <v>10624</v>
      </c>
      <c r="L158" s="3" t="str">
        <f t="shared" si="10"/>
        <v>Friday</v>
      </c>
      <c r="M158" s="4" t="str">
        <f t="shared" si="11"/>
        <v>Normal Day</v>
      </c>
      <c r="N158" s="4" t="str">
        <f>TEXT(CleanedData[[#This Row],[DAY]], "mmm yyyy")</f>
        <v>Feb 2024</v>
      </c>
    </row>
    <row r="159" spans="1:14" x14ac:dyDescent="0.3">
      <c r="A159" s="5">
        <v>45325</v>
      </c>
      <c r="B159" s="12">
        <v>1.5</v>
      </c>
      <c r="C159" s="12">
        <v>0</v>
      </c>
      <c r="D159" s="2" t="s">
        <v>10</v>
      </c>
      <c r="E159" s="2" t="s">
        <v>8</v>
      </c>
      <c r="F159" s="1">
        <v>1</v>
      </c>
      <c r="G159" s="13">
        <v>1.2704727545949028</v>
      </c>
      <c r="H159" s="14" t="b">
        <v>0</v>
      </c>
      <c r="I159" s="15">
        <f t="shared" si="8"/>
        <v>2</v>
      </c>
      <c r="J159" s="15">
        <f t="shared" si="8"/>
        <v>0</v>
      </c>
      <c r="K159" s="15">
        <f t="shared" si="9"/>
        <v>1</v>
      </c>
      <c r="L159" s="3" t="str">
        <f t="shared" si="10"/>
        <v>Saturday</v>
      </c>
      <c r="M159" s="4" t="str">
        <f t="shared" si="11"/>
        <v>Normal Day</v>
      </c>
      <c r="N159" s="4" t="str">
        <f>TEXT(CleanedData[[#This Row],[DAY]], "mmm yyyy")</f>
        <v>Feb 2024</v>
      </c>
    </row>
    <row r="160" spans="1:14" x14ac:dyDescent="0.3">
      <c r="A160" s="5">
        <v>45325</v>
      </c>
      <c r="B160" s="12">
        <v>1134</v>
      </c>
      <c r="C160" s="12">
        <v>169.5</v>
      </c>
      <c r="D160" s="2" t="s">
        <v>6</v>
      </c>
      <c r="E160" s="2" t="s">
        <v>8</v>
      </c>
      <c r="F160" s="1">
        <v>552</v>
      </c>
      <c r="G160" s="13">
        <v>1144.2717038471665</v>
      </c>
      <c r="H160" s="14" t="b">
        <v>0</v>
      </c>
      <c r="I160" s="15">
        <f t="shared" si="8"/>
        <v>1134</v>
      </c>
      <c r="J160" s="15">
        <f t="shared" si="8"/>
        <v>170</v>
      </c>
      <c r="K160" s="15">
        <f t="shared" si="9"/>
        <v>1144</v>
      </c>
      <c r="L160" s="3" t="str">
        <f t="shared" si="10"/>
        <v>Saturday</v>
      </c>
      <c r="M160" s="4" t="str">
        <f t="shared" si="11"/>
        <v>Normal Day</v>
      </c>
      <c r="N160" s="4" t="str">
        <f>TEXT(CleanedData[[#This Row],[DAY]], "mmm yyyy")</f>
        <v>Feb 2024</v>
      </c>
    </row>
    <row r="161" spans="1:14" x14ac:dyDescent="0.3">
      <c r="A161" s="5">
        <v>45325</v>
      </c>
      <c r="B161" s="12">
        <v>1671</v>
      </c>
      <c r="C161" s="12">
        <v>61.5</v>
      </c>
      <c r="D161" s="2" t="s">
        <v>9</v>
      </c>
      <c r="E161" s="2" t="s">
        <v>8</v>
      </c>
      <c r="F161" s="1">
        <v>293</v>
      </c>
      <c r="G161" s="13">
        <v>1439.7914183768091</v>
      </c>
      <c r="H161" s="14" t="b">
        <v>0</v>
      </c>
      <c r="I161" s="15">
        <f t="shared" si="8"/>
        <v>1671</v>
      </c>
      <c r="J161" s="15">
        <f t="shared" si="8"/>
        <v>62</v>
      </c>
      <c r="K161" s="15">
        <f t="shared" si="9"/>
        <v>1440</v>
      </c>
      <c r="L161" s="3" t="str">
        <f t="shared" si="10"/>
        <v>Saturday</v>
      </c>
      <c r="M161" s="4" t="str">
        <f t="shared" si="11"/>
        <v>Normal Day</v>
      </c>
      <c r="N161" s="4" t="str">
        <f>TEXT(CleanedData[[#This Row],[DAY]], "mmm yyyy")</f>
        <v>Feb 2024</v>
      </c>
    </row>
    <row r="162" spans="1:14" x14ac:dyDescent="0.3">
      <c r="A162" s="5">
        <v>45325</v>
      </c>
      <c r="B162" s="12">
        <v>3220.5</v>
      </c>
      <c r="C162" s="12">
        <v>190.5</v>
      </c>
      <c r="D162" s="2" t="s">
        <v>10</v>
      </c>
      <c r="E162" s="2" t="s">
        <v>7</v>
      </c>
      <c r="F162" s="1">
        <v>2052</v>
      </c>
      <c r="G162" s="13">
        <v>3159.2184078616983</v>
      </c>
      <c r="H162" s="14" t="b">
        <v>0</v>
      </c>
      <c r="I162" s="15">
        <f t="shared" si="8"/>
        <v>3221</v>
      </c>
      <c r="J162" s="15">
        <f t="shared" si="8"/>
        <v>191</v>
      </c>
      <c r="K162" s="15">
        <f t="shared" si="9"/>
        <v>3159</v>
      </c>
      <c r="L162" s="3" t="str">
        <f t="shared" si="10"/>
        <v>Saturday</v>
      </c>
      <c r="M162" s="4" t="str">
        <f t="shared" si="11"/>
        <v>Normal Day</v>
      </c>
      <c r="N162" s="4" t="str">
        <f>TEXT(CleanedData[[#This Row],[DAY]], "mmm yyyy")</f>
        <v>Feb 2024</v>
      </c>
    </row>
    <row r="163" spans="1:14" x14ac:dyDescent="0.3">
      <c r="A163" s="5">
        <v>45325</v>
      </c>
      <c r="B163" s="12">
        <v>4039.5</v>
      </c>
      <c r="C163" s="12">
        <v>169.5</v>
      </c>
      <c r="D163" s="2" t="s">
        <v>6</v>
      </c>
      <c r="E163" s="2" t="s">
        <v>7</v>
      </c>
      <c r="F163" s="1">
        <v>1756</v>
      </c>
      <c r="G163" s="13">
        <v>3771.9467447019906</v>
      </c>
      <c r="H163" s="14" t="b">
        <v>0</v>
      </c>
      <c r="I163" s="15">
        <f t="shared" si="8"/>
        <v>4040</v>
      </c>
      <c r="J163" s="15">
        <f t="shared" si="8"/>
        <v>170</v>
      </c>
      <c r="K163" s="15">
        <f t="shared" si="9"/>
        <v>3772</v>
      </c>
      <c r="L163" s="3" t="str">
        <f t="shared" si="10"/>
        <v>Saturday</v>
      </c>
      <c r="M163" s="4" t="str">
        <f t="shared" si="11"/>
        <v>Normal Day</v>
      </c>
      <c r="N163" s="4" t="str">
        <f>TEXT(CleanedData[[#This Row],[DAY]], "mmm yyyy")</f>
        <v>Feb 2024</v>
      </c>
    </row>
    <row r="164" spans="1:14" x14ac:dyDescent="0.3">
      <c r="A164" s="5">
        <v>45326</v>
      </c>
      <c r="B164" s="12">
        <v>705</v>
      </c>
      <c r="C164" s="12">
        <v>9</v>
      </c>
      <c r="D164" s="2" t="s">
        <v>6</v>
      </c>
      <c r="E164" s="2" t="s">
        <v>8</v>
      </c>
      <c r="F164" s="1">
        <v>308</v>
      </c>
      <c r="G164" s="13">
        <v>599.80995269160201</v>
      </c>
      <c r="H164" s="14" t="b">
        <v>0</v>
      </c>
      <c r="I164" s="15">
        <f t="shared" si="8"/>
        <v>705</v>
      </c>
      <c r="J164" s="15">
        <f t="shared" si="8"/>
        <v>9</v>
      </c>
      <c r="K164" s="15">
        <f t="shared" si="9"/>
        <v>600</v>
      </c>
      <c r="L164" s="3" t="str">
        <f t="shared" si="10"/>
        <v>Sunday</v>
      </c>
      <c r="M164" s="4" t="str">
        <f t="shared" si="11"/>
        <v>Normal Day</v>
      </c>
      <c r="N164" s="4" t="str">
        <f>TEXT(CleanedData[[#This Row],[DAY]], "mmm yyyy")</f>
        <v>Feb 2024</v>
      </c>
    </row>
    <row r="165" spans="1:14" x14ac:dyDescent="0.3">
      <c r="A165" s="5">
        <v>45326</v>
      </c>
      <c r="B165" s="12">
        <v>2034</v>
      </c>
      <c r="C165" s="12">
        <v>37.5</v>
      </c>
      <c r="D165" s="2" t="s">
        <v>9</v>
      </c>
      <c r="E165" s="2" t="s">
        <v>8</v>
      </c>
      <c r="F165" s="1">
        <v>963</v>
      </c>
      <c r="G165" s="13">
        <v>1760.1625074582325</v>
      </c>
      <c r="H165" s="14" t="b">
        <v>0</v>
      </c>
      <c r="I165" s="15">
        <f t="shared" si="8"/>
        <v>2034</v>
      </c>
      <c r="J165" s="15">
        <f t="shared" si="8"/>
        <v>38</v>
      </c>
      <c r="K165" s="15">
        <f t="shared" si="9"/>
        <v>1760</v>
      </c>
      <c r="L165" s="3" t="str">
        <f t="shared" si="10"/>
        <v>Sunday</v>
      </c>
      <c r="M165" s="4" t="str">
        <f t="shared" si="11"/>
        <v>Normal Day</v>
      </c>
      <c r="N165" s="4" t="str">
        <f>TEXT(CleanedData[[#This Row],[DAY]], "mmm yyyy")</f>
        <v>Feb 2024</v>
      </c>
    </row>
    <row r="166" spans="1:14" x14ac:dyDescent="0.3">
      <c r="A166" s="5">
        <v>45326</v>
      </c>
      <c r="B166" s="12">
        <v>2124</v>
      </c>
      <c r="C166" s="12">
        <v>9</v>
      </c>
      <c r="D166" s="2" t="s">
        <v>6</v>
      </c>
      <c r="E166" s="2" t="s">
        <v>7</v>
      </c>
      <c r="F166" s="1">
        <v>1305</v>
      </c>
      <c r="G166" s="13">
        <v>1906.1452154550775</v>
      </c>
      <c r="H166" s="14" t="b">
        <v>0</v>
      </c>
      <c r="I166" s="15">
        <f t="shared" si="8"/>
        <v>2124</v>
      </c>
      <c r="J166" s="15">
        <f t="shared" si="8"/>
        <v>9</v>
      </c>
      <c r="K166" s="15">
        <f t="shared" si="9"/>
        <v>1906</v>
      </c>
      <c r="L166" s="3" t="str">
        <f t="shared" si="10"/>
        <v>Sunday</v>
      </c>
      <c r="M166" s="4" t="str">
        <f t="shared" si="11"/>
        <v>Normal Day</v>
      </c>
      <c r="N166" s="4" t="str">
        <f>TEXT(CleanedData[[#This Row],[DAY]], "mmm yyyy")</f>
        <v>Feb 2024</v>
      </c>
    </row>
    <row r="167" spans="1:14" x14ac:dyDescent="0.3">
      <c r="A167" s="5">
        <v>45326</v>
      </c>
      <c r="B167" s="12">
        <v>4650</v>
      </c>
      <c r="C167" s="12">
        <v>121.5</v>
      </c>
      <c r="D167" s="2" t="s">
        <v>10</v>
      </c>
      <c r="E167" s="2" t="s">
        <v>7</v>
      </c>
      <c r="F167" s="1">
        <v>2568</v>
      </c>
      <c r="G167" s="13">
        <v>4400.7064102671457</v>
      </c>
      <c r="H167" s="14" t="b">
        <v>0</v>
      </c>
      <c r="I167" s="15">
        <f t="shared" si="8"/>
        <v>4650</v>
      </c>
      <c r="J167" s="15">
        <f t="shared" si="8"/>
        <v>122</v>
      </c>
      <c r="K167" s="15">
        <f t="shared" si="9"/>
        <v>4401</v>
      </c>
      <c r="L167" s="3" t="str">
        <f t="shared" si="10"/>
        <v>Sunday</v>
      </c>
      <c r="M167" s="4" t="str">
        <f t="shared" si="11"/>
        <v>Normal Day</v>
      </c>
      <c r="N167" s="4" t="str">
        <f>TEXT(CleanedData[[#This Row],[DAY]], "mmm yyyy")</f>
        <v>Feb 2024</v>
      </c>
    </row>
    <row r="168" spans="1:14" x14ac:dyDescent="0.3">
      <c r="A168" s="5">
        <v>45327</v>
      </c>
      <c r="B168" s="12">
        <v>1.5</v>
      </c>
      <c r="C168" s="12">
        <v>0</v>
      </c>
      <c r="D168" s="2" t="s">
        <v>10</v>
      </c>
      <c r="E168" s="2" t="s">
        <v>8</v>
      </c>
      <c r="F168" s="1">
        <v>1</v>
      </c>
      <c r="G168" s="13">
        <v>1.2509731164110489</v>
      </c>
      <c r="H168" s="14" t="b">
        <v>0</v>
      </c>
      <c r="I168" s="15">
        <f t="shared" si="8"/>
        <v>2</v>
      </c>
      <c r="J168" s="15">
        <f t="shared" si="8"/>
        <v>0</v>
      </c>
      <c r="K168" s="15">
        <f t="shared" si="9"/>
        <v>1</v>
      </c>
      <c r="L168" s="3" t="str">
        <f t="shared" si="10"/>
        <v>Monday</v>
      </c>
      <c r="M168" s="4" t="str">
        <f t="shared" si="11"/>
        <v>Normal Day</v>
      </c>
      <c r="N168" s="4" t="str">
        <f>TEXT(CleanedData[[#This Row],[DAY]], "mmm yyyy")</f>
        <v>Feb 2024</v>
      </c>
    </row>
    <row r="169" spans="1:14" x14ac:dyDescent="0.3">
      <c r="A169" s="5">
        <v>45327</v>
      </c>
      <c r="B169" s="12">
        <v>1594.5</v>
      </c>
      <c r="C169" s="12">
        <v>21</v>
      </c>
      <c r="D169" s="2" t="s">
        <v>6</v>
      </c>
      <c r="E169" s="2" t="s">
        <v>7</v>
      </c>
      <c r="F169" s="1">
        <v>281</v>
      </c>
      <c r="G169" s="13">
        <v>1407.9264986136416</v>
      </c>
      <c r="H169" s="14" t="b">
        <v>0</v>
      </c>
      <c r="I169" s="15">
        <f t="shared" si="8"/>
        <v>1595</v>
      </c>
      <c r="J169" s="15">
        <f t="shared" si="8"/>
        <v>21</v>
      </c>
      <c r="K169" s="15">
        <f t="shared" si="9"/>
        <v>1408</v>
      </c>
      <c r="L169" s="3" t="str">
        <f t="shared" si="10"/>
        <v>Monday</v>
      </c>
      <c r="M169" s="4" t="str">
        <f t="shared" si="11"/>
        <v>Normal Day</v>
      </c>
      <c r="N169" s="4" t="str">
        <f>TEXT(CleanedData[[#This Row],[DAY]], "mmm yyyy")</f>
        <v>Feb 2024</v>
      </c>
    </row>
    <row r="170" spans="1:14" x14ac:dyDescent="0.3">
      <c r="A170" s="5">
        <v>45327</v>
      </c>
      <c r="B170" s="12">
        <v>1906.5</v>
      </c>
      <c r="C170" s="12">
        <v>67.5</v>
      </c>
      <c r="D170" s="2" t="s">
        <v>9</v>
      </c>
      <c r="E170" s="2" t="s">
        <v>8</v>
      </c>
      <c r="F170" s="1">
        <v>466</v>
      </c>
      <c r="G170" s="13">
        <v>1659.3168288829086</v>
      </c>
      <c r="H170" s="14" t="b">
        <v>0</v>
      </c>
      <c r="I170" s="15">
        <f t="shared" si="8"/>
        <v>1907</v>
      </c>
      <c r="J170" s="15">
        <f t="shared" si="8"/>
        <v>68</v>
      </c>
      <c r="K170" s="15">
        <f t="shared" si="9"/>
        <v>1659</v>
      </c>
      <c r="L170" s="3" t="str">
        <f t="shared" si="10"/>
        <v>Monday</v>
      </c>
      <c r="M170" s="4" t="str">
        <f t="shared" si="11"/>
        <v>Normal Day</v>
      </c>
      <c r="N170" s="4" t="str">
        <f>TEXT(CleanedData[[#This Row],[DAY]], "mmm yyyy")</f>
        <v>Feb 2024</v>
      </c>
    </row>
    <row r="171" spans="1:14" x14ac:dyDescent="0.3">
      <c r="A171" s="5">
        <v>45327</v>
      </c>
      <c r="B171" s="12">
        <v>2106</v>
      </c>
      <c r="C171" s="12">
        <v>21</v>
      </c>
      <c r="D171" s="2" t="s">
        <v>6</v>
      </c>
      <c r="E171" s="2" t="s">
        <v>8</v>
      </c>
      <c r="F171" s="1">
        <v>1057</v>
      </c>
      <c r="G171" s="13">
        <v>1741.6144970598771</v>
      </c>
      <c r="H171" s="14" t="b">
        <v>0</v>
      </c>
      <c r="I171" s="15">
        <f t="shared" si="8"/>
        <v>2106</v>
      </c>
      <c r="J171" s="15">
        <f t="shared" si="8"/>
        <v>21</v>
      </c>
      <c r="K171" s="15">
        <f t="shared" si="9"/>
        <v>1742</v>
      </c>
      <c r="L171" s="3" t="str">
        <f t="shared" si="10"/>
        <v>Monday</v>
      </c>
      <c r="M171" s="4" t="str">
        <f t="shared" si="11"/>
        <v>Normal Day</v>
      </c>
      <c r="N171" s="4" t="str">
        <f>TEXT(CleanedData[[#This Row],[DAY]], "mmm yyyy")</f>
        <v>Feb 2024</v>
      </c>
    </row>
    <row r="172" spans="1:14" x14ac:dyDescent="0.3">
      <c r="A172" s="5">
        <v>45327</v>
      </c>
      <c r="B172" s="12">
        <v>6789</v>
      </c>
      <c r="C172" s="12">
        <v>171</v>
      </c>
      <c r="D172" s="2" t="s">
        <v>10</v>
      </c>
      <c r="E172" s="2" t="s">
        <v>7</v>
      </c>
      <c r="F172" s="1">
        <v>4411</v>
      </c>
      <c r="G172" s="13">
        <v>6518.9193869906558</v>
      </c>
      <c r="H172" s="14" t="b">
        <v>0</v>
      </c>
      <c r="I172" s="15">
        <f t="shared" si="8"/>
        <v>6789</v>
      </c>
      <c r="J172" s="15">
        <f t="shared" si="8"/>
        <v>171</v>
      </c>
      <c r="K172" s="15">
        <f t="shared" si="9"/>
        <v>6519</v>
      </c>
      <c r="L172" s="3" t="str">
        <f t="shared" si="10"/>
        <v>Monday</v>
      </c>
      <c r="M172" s="4" t="str">
        <f t="shared" si="11"/>
        <v>Normal Day</v>
      </c>
      <c r="N172" s="4" t="str">
        <f>TEXT(CleanedData[[#This Row],[DAY]], "mmm yyyy")</f>
        <v>Feb 2024</v>
      </c>
    </row>
    <row r="173" spans="1:14" x14ac:dyDescent="0.3">
      <c r="A173" s="5">
        <v>45328</v>
      </c>
      <c r="B173" s="12">
        <v>1.5</v>
      </c>
      <c r="C173" s="12">
        <v>0</v>
      </c>
      <c r="D173" s="2" t="s">
        <v>9</v>
      </c>
      <c r="E173" s="2" t="s">
        <v>7</v>
      </c>
      <c r="F173" s="1">
        <v>1</v>
      </c>
      <c r="G173" s="13">
        <v>1.380866247534468</v>
      </c>
      <c r="H173" s="14" t="b">
        <v>0</v>
      </c>
      <c r="I173" s="15">
        <f t="shared" si="8"/>
        <v>2</v>
      </c>
      <c r="J173" s="15">
        <f t="shared" si="8"/>
        <v>0</v>
      </c>
      <c r="K173" s="15">
        <f t="shared" si="9"/>
        <v>1</v>
      </c>
      <c r="L173" s="3" t="str">
        <f t="shared" si="10"/>
        <v>Tuesday</v>
      </c>
      <c r="M173" s="4" t="str">
        <f t="shared" si="11"/>
        <v>Normal Day</v>
      </c>
      <c r="N173" s="4" t="str">
        <f>TEXT(CleanedData[[#This Row],[DAY]], "mmm yyyy")</f>
        <v>Feb 2024</v>
      </c>
    </row>
    <row r="174" spans="1:14" x14ac:dyDescent="0.3">
      <c r="A174" s="5">
        <v>45328</v>
      </c>
      <c r="B174" s="12">
        <v>436.5</v>
      </c>
      <c r="C174" s="12">
        <v>42</v>
      </c>
      <c r="D174" s="2" t="s">
        <v>6</v>
      </c>
      <c r="E174" s="2" t="s">
        <v>8</v>
      </c>
      <c r="F174" s="1">
        <v>195</v>
      </c>
      <c r="G174" s="13">
        <v>405.32525446547817</v>
      </c>
      <c r="H174" s="14" t="b">
        <v>0</v>
      </c>
      <c r="I174" s="15">
        <f t="shared" si="8"/>
        <v>437</v>
      </c>
      <c r="J174" s="15">
        <f t="shared" si="8"/>
        <v>42</v>
      </c>
      <c r="K174" s="15">
        <f t="shared" si="9"/>
        <v>405</v>
      </c>
      <c r="L174" s="3" t="str">
        <f t="shared" si="10"/>
        <v>Tuesday</v>
      </c>
      <c r="M174" s="4" t="str">
        <f t="shared" si="11"/>
        <v>Normal Day</v>
      </c>
      <c r="N174" s="4" t="str">
        <f>TEXT(CleanedData[[#This Row],[DAY]], "mmm yyyy")</f>
        <v>Feb 2024</v>
      </c>
    </row>
    <row r="175" spans="1:14" x14ac:dyDescent="0.3">
      <c r="A175" s="5">
        <v>45328</v>
      </c>
      <c r="B175" s="12">
        <v>732</v>
      </c>
      <c r="C175" s="12">
        <v>42</v>
      </c>
      <c r="D175" s="2" t="s">
        <v>6</v>
      </c>
      <c r="E175" s="2" t="s">
        <v>7</v>
      </c>
      <c r="F175" s="1">
        <v>55</v>
      </c>
      <c r="G175" s="13">
        <v>707.55608682846093</v>
      </c>
      <c r="H175" s="14" t="b">
        <v>0</v>
      </c>
      <c r="I175" s="15">
        <f t="shared" si="8"/>
        <v>732</v>
      </c>
      <c r="J175" s="15">
        <f t="shared" si="8"/>
        <v>42</v>
      </c>
      <c r="K175" s="15">
        <f t="shared" si="9"/>
        <v>708</v>
      </c>
      <c r="L175" s="3" t="str">
        <f t="shared" si="10"/>
        <v>Tuesday</v>
      </c>
      <c r="M175" s="4" t="str">
        <f t="shared" si="11"/>
        <v>Normal Day</v>
      </c>
      <c r="N175" s="4" t="str">
        <f>TEXT(CleanedData[[#This Row],[DAY]], "mmm yyyy")</f>
        <v>Feb 2024</v>
      </c>
    </row>
    <row r="176" spans="1:14" x14ac:dyDescent="0.3">
      <c r="A176" s="5">
        <v>45328</v>
      </c>
      <c r="B176" s="12">
        <v>5049</v>
      </c>
      <c r="C176" s="12">
        <v>229.5</v>
      </c>
      <c r="D176" s="2" t="s">
        <v>9</v>
      </c>
      <c r="E176" s="2" t="s">
        <v>8</v>
      </c>
      <c r="F176" s="1">
        <v>3205</v>
      </c>
      <c r="G176" s="13">
        <v>4387.9789567083963</v>
      </c>
      <c r="H176" s="14" t="b">
        <v>0</v>
      </c>
      <c r="I176" s="15">
        <f t="shared" si="8"/>
        <v>5049</v>
      </c>
      <c r="J176" s="15">
        <f t="shared" si="8"/>
        <v>230</v>
      </c>
      <c r="K176" s="15">
        <f t="shared" si="9"/>
        <v>4388</v>
      </c>
      <c r="L176" s="3" t="str">
        <f t="shared" si="10"/>
        <v>Tuesday</v>
      </c>
      <c r="M176" s="4" t="str">
        <f t="shared" si="11"/>
        <v>Normal Day</v>
      </c>
      <c r="N176" s="4" t="str">
        <f>TEXT(CleanedData[[#This Row],[DAY]], "mmm yyyy")</f>
        <v>Feb 2024</v>
      </c>
    </row>
    <row r="177" spans="1:14" x14ac:dyDescent="0.3">
      <c r="A177" s="5">
        <v>45328</v>
      </c>
      <c r="B177" s="12">
        <v>5803.5</v>
      </c>
      <c r="C177" s="12">
        <v>382.5</v>
      </c>
      <c r="D177" s="2" t="s">
        <v>10</v>
      </c>
      <c r="E177" s="2" t="s">
        <v>7</v>
      </c>
      <c r="F177" s="1">
        <v>3683</v>
      </c>
      <c r="G177" s="13">
        <v>5443.2842246322771</v>
      </c>
      <c r="H177" s="14" t="b">
        <v>0</v>
      </c>
      <c r="I177" s="15">
        <f t="shared" si="8"/>
        <v>5804</v>
      </c>
      <c r="J177" s="15">
        <f t="shared" si="8"/>
        <v>383</v>
      </c>
      <c r="K177" s="15">
        <f t="shared" si="9"/>
        <v>5443</v>
      </c>
      <c r="L177" s="3" t="str">
        <f t="shared" si="10"/>
        <v>Tuesday</v>
      </c>
      <c r="M177" s="4" t="str">
        <f t="shared" si="11"/>
        <v>Normal Day</v>
      </c>
      <c r="N177" s="4" t="str">
        <f>TEXT(CleanedData[[#This Row],[DAY]], "mmm yyyy")</f>
        <v>Feb 2024</v>
      </c>
    </row>
    <row r="178" spans="1:14" x14ac:dyDescent="0.3">
      <c r="A178" s="5">
        <v>45329</v>
      </c>
      <c r="B178" s="12">
        <v>496.5</v>
      </c>
      <c r="C178" s="12">
        <v>34.5</v>
      </c>
      <c r="D178" s="2" t="s">
        <v>6</v>
      </c>
      <c r="E178" s="2" t="s">
        <v>8</v>
      </c>
      <c r="F178" s="1">
        <v>188</v>
      </c>
      <c r="G178" s="13">
        <v>462.59283925111583</v>
      </c>
      <c r="H178" s="14" t="b">
        <v>0</v>
      </c>
      <c r="I178" s="15">
        <f t="shared" si="8"/>
        <v>497</v>
      </c>
      <c r="J178" s="15">
        <f t="shared" si="8"/>
        <v>35</v>
      </c>
      <c r="K178" s="15">
        <f t="shared" si="9"/>
        <v>463</v>
      </c>
      <c r="L178" s="3" t="str">
        <f t="shared" si="10"/>
        <v>Wednesday</v>
      </c>
      <c r="M178" s="4" t="str">
        <f t="shared" si="11"/>
        <v>Normal Day</v>
      </c>
      <c r="N178" s="4" t="str">
        <f>TEXT(CleanedData[[#This Row],[DAY]], "mmm yyyy")</f>
        <v>Feb 2024</v>
      </c>
    </row>
    <row r="179" spans="1:14" x14ac:dyDescent="0.3">
      <c r="A179" s="5">
        <v>45329</v>
      </c>
      <c r="B179" s="12">
        <v>1018.5</v>
      </c>
      <c r="C179" s="12">
        <v>34.5</v>
      </c>
      <c r="D179" s="2" t="s">
        <v>6</v>
      </c>
      <c r="E179" s="2" t="s">
        <v>7</v>
      </c>
      <c r="F179" s="1">
        <v>506</v>
      </c>
      <c r="G179" s="13">
        <v>986.00519330904842</v>
      </c>
      <c r="H179" s="14" t="b">
        <v>0</v>
      </c>
      <c r="I179" s="15">
        <f t="shared" si="8"/>
        <v>1019</v>
      </c>
      <c r="J179" s="15">
        <f t="shared" si="8"/>
        <v>35</v>
      </c>
      <c r="K179" s="15">
        <f t="shared" si="9"/>
        <v>986</v>
      </c>
      <c r="L179" s="3" t="str">
        <f t="shared" si="10"/>
        <v>Wednesday</v>
      </c>
      <c r="M179" s="4" t="str">
        <f t="shared" si="11"/>
        <v>Normal Day</v>
      </c>
      <c r="N179" s="4" t="str">
        <f>TEXT(CleanedData[[#This Row],[DAY]], "mmm yyyy")</f>
        <v>Feb 2024</v>
      </c>
    </row>
    <row r="180" spans="1:14" x14ac:dyDescent="0.3">
      <c r="A180" s="5">
        <v>45329</v>
      </c>
      <c r="B180" s="12">
        <v>4851</v>
      </c>
      <c r="C180" s="12">
        <v>69</v>
      </c>
      <c r="D180" s="2" t="s">
        <v>9</v>
      </c>
      <c r="E180" s="2" t="s">
        <v>8</v>
      </c>
      <c r="F180" s="1">
        <v>2805</v>
      </c>
      <c r="G180" s="13">
        <v>4007.369803383921</v>
      </c>
      <c r="H180" s="14" t="b">
        <v>0</v>
      </c>
      <c r="I180" s="15">
        <f t="shared" si="8"/>
        <v>4851</v>
      </c>
      <c r="J180" s="15">
        <f t="shared" si="8"/>
        <v>69</v>
      </c>
      <c r="K180" s="15">
        <f t="shared" si="9"/>
        <v>4007</v>
      </c>
      <c r="L180" s="3" t="str">
        <f t="shared" si="10"/>
        <v>Wednesday</v>
      </c>
      <c r="M180" s="4" t="str">
        <f t="shared" si="11"/>
        <v>Normal Day</v>
      </c>
      <c r="N180" s="4" t="str">
        <f>TEXT(CleanedData[[#This Row],[DAY]], "mmm yyyy")</f>
        <v>Feb 2024</v>
      </c>
    </row>
    <row r="181" spans="1:14" x14ac:dyDescent="0.3">
      <c r="A181" s="5">
        <v>45329</v>
      </c>
      <c r="B181" s="12">
        <v>6066</v>
      </c>
      <c r="C181" s="12">
        <v>145.5</v>
      </c>
      <c r="D181" s="2" t="s">
        <v>10</v>
      </c>
      <c r="E181" s="2" t="s">
        <v>7</v>
      </c>
      <c r="F181" s="1">
        <v>1516</v>
      </c>
      <c r="G181" s="13">
        <v>5432.8884607908449</v>
      </c>
      <c r="H181" s="14" t="b">
        <v>0</v>
      </c>
      <c r="I181" s="15">
        <f t="shared" si="8"/>
        <v>6066</v>
      </c>
      <c r="J181" s="15">
        <f t="shared" si="8"/>
        <v>146</v>
      </c>
      <c r="K181" s="15">
        <f t="shared" si="9"/>
        <v>5433</v>
      </c>
      <c r="L181" s="3" t="str">
        <f t="shared" si="10"/>
        <v>Wednesday</v>
      </c>
      <c r="M181" s="4" t="str">
        <f t="shared" si="11"/>
        <v>Normal Day</v>
      </c>
      <c r="N181" s="4" t="str">
        <f>TEXT(CleanedData[[#This Row],[DAY]], "mmm yyyy")</f>
        <v>Feb 2024</v>
      </c>
    </row>
    <row r="182" spans="1:14" x14ac:dyDescent="0.3">
      <c r="A182" s="5">
        <v>45330</v>
      </c>
      <c r="B182" s="12">
        <v>1.5</v>
      </c>
      <c r="C182" s="12">
        <v>0</v>
      </c>
      <c r="D182" s="2" t="s">
        <v>9</v>
      </c>
      <c r="E182" s="2" t="s">
        <v>7</v>
      </c>
      <c r="F182" s="1">
        <v>1</v>
      </c>
      <c r="G182" s="13">
        <v>1.3781976499543349</v>
      </c>
      <c r="H182" s="14" t="b">
        <v>0</v>
      </c>
      <c r="I182" s="15">
        <f t="shared" si="8"/>
        <v>2</v>
      </c>
      <c r="J182" s="15">
        <f t="shared" si="8"/>
        <v>0</v>
      </c>
      <c r="K182" s="15">
        <f t="shared" si="9"/>
        <v>1</v>
      </c>
      <c r="L182" s="3" t="str">
        <f t="shared" si="10"/>
        <v>Thursday</v>
      </c>
      <c r="M182" s="4" t="str">
        <f t="shared" si="11"/>
        <v>Normal Day</v>
      </c>
      <c r="N182" s="4" t="str">
        <f>TEXT(CleanedData[[#This Row],[DAY]], "mmm yyyy")</f>
        <v>Feb 2024</v>
      </c>
    </row>
    <row r="183" spans="1:14" x14ac:dyDescent="0.3">
      <c r="A183" s="5">
        <v>45330</v>
      </c>
      <c r="B183" s="12">
        <v>3</v>
      </c>
      <c r="C183" s="12">
        <v>0</v>
      </c>
      <c r="D183" s="2" t="s">
        <v>10</v>
      </c>
      <c r="E183" s="2" t="s">
        <v>8</v>
      </c>
      <c r="F183" s="1">
        <v>2</v>
      </c>
      <c r="G183" s="13">
        <v>2.585183472339708</v>
      </c>
      <c r="H183" s="14" t="b">
        <v>0</v>
      </c>
      <c r="I183" s="15">
        <f t="shared" si="8"/>
        <v>3</v>
      </c>
      <c r="J183" s="15">
        <f t="shared" si="8"/>
        <v>0</v>
      </c>
      <c r="K183" s="15">
        <f t="shared" si="9"/>
        <v>3</v>
      </c>
      <c r="L183" s="3" t="str">
        <f t="shared" si="10"/>
        <v>Thursday</v>
      </c>
      <c r="M183" s="4" t="str">
        <f t="shared" si="11"/>
        <v>Normal Day</v>
      </c>
      <c r="N183" s="4" t="str">
        <f>TEXT(CleanedData[[#This Row],[DAY]], "mmm yyyy")</f>
        <v>Feb 2024</v>
      </c>
    </row>
    <row r="184" spans="1:14" x14ac:dyDescent="0.3">
      <c r="A184" s="5">
        <v>45330</v>
      </c>
      <c r="B184" s="12">
        <v>973.5</v>
      </c>
      <c r="C184" s="12">
        <v>24</v>
      </c>
      <c r="D184" s="2" t="s">
        <v>6</v>
      </c>
      <c r="E184" s="2" t="s">
        <v>7</v>
      </c>
      <c r="F184" s="1">
        <v>431</v>
      </c>
      <c r="G184" s="13">
        <v>896.24868028680021</v>
      </c>
      <c r="H184" s="14" t="b">
        <v>0</v>
      </c>
      <c r="I184" s="15">
        <f t="shared" si="8"/>
        <v>974</v>
      </c>
      <c r="J184" s="15">
        <f t="shared" si="8"/>
        <v>24</v>
      </c>
      <c r="K184" s="15">
        <f t="shared" si="9"/>
        <v>896</v>
      </c>
      <c r="L184" s="3" t="str">
        <f t="shared" si="10"/>
        <v>Thursday</v>
      </c>
      <c r="M184" s="4" t="str">
        <f t="shared" si="11"/>
        <v>Normal Day</v>
      </c>
      <c r="N184" s="4" t="str">
        <f>TEXT(CleanedData[[#This Row],[DAY]], "mmm yyyy")</f>
        <v>Feb 2024</v>
      </c>
    </row>
    <row r="185" spans="1:14" x14ac:dyDescent="0.3">
      <c r="A185" s="5">
        <v>45330</v>
      </c>
      <c r="B185" s="12">
        <v>1185</v>
      </c>
      <c r="C185" s="12">
        <v>24</v>
      </c>
      <c r="D185" s="2" t="s">
        <v>6</v>
      </c>
      <c r="E185" s="2" t="s">
        <v>8</v>
      </c>
      <c r="F185" s="1">
        <v>483</v>
      </c>
      <c r="G185" s="13">
        <v>1015.223568025067</v>
      </c>
      <c r="H185" s="14" t="b">
        <v>0</v>
      </c>
      <c r="I185" s="15">
        <f t="shared" si="8"/>
        <v>1185</v>
      </c>
      <c r="J185" s="15">
        <f t="shared" si="8"/>
        <v>24</v>
      </c>
      <c r="K185" s="15">
        <f t="shared" si="9"/>
        <v>1015</v>
      </c>
      <c r="L185" s="3" t="str">
        <f t="shared" si="10"/>
        <v>Thursday</v>
      </c>
      <c r="M185" s="4" t="str">
        <f t="shared" si="11"/>
        <v>Normal Day</v>
      </c>
      <c r="N185" s="4" t="str">
        <f>TEXT(CleanedData[[#This Row],[DAY]], "mmm yyyy")</f>
        <v>Feb 2024</v>
      </c>
    </row>
    <row r="186" spans="1:14" x14ac:dyDescent="0.3">
      <c r="A186" s="5">
        <v>45330</v>
      </c>
      <c r="B186" s="12">
        <v>5190</v>
      </c>
      <c r="C186" s="12">
        <v>183</v>
      </c>
      <c r="D186" s="2" t="s">
        <v>9</v>
      </c>
      <c r="E186" s="2" t="s">
        <v>8</v>
      </c>
      <c r="F186" s="1">
        <v>2318</v>
      </c>
      <c r="G186" s="13">
        <v>4372.8975838732749</v>
      </c>
      <c r="H186" s="14" t="b">
        <v>0</v>
      </c>
      <c r="I186" s="15">
        <f t="shared" si="8"/>
        <v>5190</v>
      </c>
      <c r="J186" s="15">
        <f t="shared" si="8"/>
        <v>183</v>
      </c>
      <c r="K186" s="15">
        <f t="shared" si="9"/>
        <v>4373</v>
      </c>
      <c r="L186" s="3" t="str">
        <f t="shared" si="10"/>
        <v>Thursday</v>
      </c>
      <c r="M186" s="4" t="str">
        <f t="shared" si="11"/>
        <v>Normal Day</v>
      </c>
      <c r="N186" s="4" t="str">
        <f>TEXT(CleanedData[[#This Row],[DAY]], "mmm yyyy")</f>
        <v>Feb 2024</v>
      </c>
    </row>
    <row r="187" spans="1:14" x14ac:dyDescent="0.3">
      <c r="A187" s="5">
        <v>45330</v>
      </c>
      <c r="B187" s="12">
        <v>5455.5</v>
      </c>
      <c r="C187" s="12">
        <v>160.5</v>
      </c>
      <c r="D187" s="2" t="s">
        <v>10</v>
      </c>
      <c r="E187" s="2" t="s">
        <v>7</v>
      </c>
      <c r="F187" s="1">
        <v>2584</v>
      </c>
      <c r="G187" s="13">
        <v>4893.505202429762</v>
      </c>
      <c r="H187" s="14" t="b">
        <v>1</v>
      </c>
      <c r="I187" s="15">
        <f t="shared" si="8"/>
        <v>5456</v>
      </c>
      <c r="J187" s="15">
        <f t="shared" si="8"/>
        <v>161</v>
      </c>
      <c r="K187" s="15">
        <f t="shared" si="9"/>
        <v>4894</v>
      </c>
      <c r="L187" s="3" t="str">
        <f t="shared" si="10"/>
        <v>Thursday</v>
      </c>
      <c r="M187" s="4" t="str">
        <f t="shared" si="11"/>
        <v>Outage Day</v>
      </c>
      <c r="N187" s="4" t="str">
        <f>TEXT(CleanedData[[#This Row],[DAY]], "mmm yyyy")</f>
        <v>Feb 2024</v>
      </c>
    </row>
    <row r="188" spans="1:14" x14ac:dyDescent="0.3">
      <c r="A188" s="5">
        <v>45331</v>
      </c>
      <c r="B188" s="12">
        <v>1.5</v>
      </c>
      <c r="C188" s="12">
        <v>0</v>
      </c>
      <c r="D188" s="2" t="s">
        <v>9</v>
      </c>
      <c r="E188" s="2" t="s">
        <v>7</v>
      </c>
      <c r="F188" s="1">
        <v>1</v>
      </c>
      <c r="G188" s="13">
        <v>1.314518822490657</v>
      </c>
      <c r="H188" s="14" t="b">
        <v>1</v>
      </c>
      <c r="I188" s="15">
        <f t="shared" si="8"/>
        <v>2</v>
      </c>
      <c r="J188" s="15">
        <f t="shared" si="8"/>
        <v>0</v>
      </c>
      <c r="K188" s="15">
        <f t="shared" si="9"/>
        <v>1</v>
      </c>
      <c r="L188" s="3" t="str">
        <f t="shared" si="10"/>
        <v>Friday</v>
      </c>
      <c r="M188" s="4" t="str">
        <f t="shared" si="11"/>
        <v>Outage Day</v>
      </c>
      <c r="N188" s="4" t="str">
        <f>TEXT(CleanedData[[#This Row],[DAY]], "mmm yyyy")</f>
        <v>Feb 2024</v>
      </c>
    </row>
    <row r="189" spans="1:14" x14ac:dyDescent="0.3">
      <c r="A189" s="5">
        <v>45331</v>
      </c>
      <c r="B189" s="12">
        <v>966</v>
      </c>
      <c r="C189" s="12">
        <v>69</v>
      </c>
      <c r="D189" s="2" t="s">
        <v>6</v>
      </c>
      <c r="E189" s="2" t="s">
        <v>8</v>
      </c>
      <c r="F189" s="1">
        <v>567</v>
      </c>
      <c r="G189" s="13">
        <v>832.78799418489314</v>
      </c>
      <c r="H189" s="14" t="b">
        <v>1</v>
      </c>
      <c r="I189" s="15">
        <f t="shared" si="8"/>
        <v>966</v>
      </c>
      <c r="J189" s="15">
        <f t="shared" si="8"/>
        <v>69</v>
      </c>
      <c r="K189" s="15">
        <f t="shared" si="9"/>
        <v>833</v>
      </c>
      <c r="L189" s="3" t="str">
        <f t="shared" si="10"/>
        <v>Friday</v>
      </c>
      <c r="M189" s="4" t="str">
        <f t="shared" si="11"/>
        <v>Outage Day</v>
      </c>
      <c r="N189" s="4" t="str">
        <f>TEXT(CleanedData[[#This Row],[DAY]], "mmm yyyy")</f>
        <v>Feb 2024</v>
      </c>
    </row>
    <row r="190" spans="1:14" x14ac:dyDescent="0.3">
      <c r="A190" s="5">
        <v>45331</v>
      </c>
      <c r="B190" s="12">
        <v>1203</v>
      </c>
      <c r="C190" s="12">
        <v>69</v>
      </c>
      <c r="D190" s="2" t="s">
        <v>6</v>
      </c>
      <c r="E190" s="2" t="s">
        <v>7</v>
      </c>
      <c r="F190" s="1">
        <v>192</v>
      </c>
      <c r="G190" s="13">
        <v>1171.1354912153897</v>
      </c>
      <c r="H190" s="14" t="b">
        <v>1</v>
      </c>
      <c r="I190" s="15">
        <f t="shared" si="8"/>
        <v>1203</v>
      </c>
      <c r="J190" s="15">
        <f t="shared" si="8"/>
        <v>69</v>
      </c>
      <c r="K190" s="15">
        <f t="shared" si="9"/>
        <v>1171</v>
      </c>
      <c r="L190" s="3" t="str">
        <f t="shared" si="10"/>
        <v>Friday</v>
      </c>
      <c r="M190" s="4" t="str">
        <f t="shared" si="11"/>
        <v>Outage Day</v>
      </c>
      <c r="N190" s="4" t="str">
        <f>TEXT(CleanedData[[#This Row],[DAY]], "mmm yyyy")</f>
        <v>Feb 2024</v>
      </c>
    </row>
    <row r="191" spans="1:14" x14ac:dyDescent="0.3">
      <c r="A191" s="5">
        <v>45331</v>
      </c>
      <c r="B191" s="12">
        <v>4632</v>
      </c>
      <c r="C191" s="12">
        <v>304.5</v>
      </c>
      <c r="D191" s="2" t="s">
        <v>10</v>
      </c>
      <c r="E191" s="2" t="s">
        <v>7</v>
      </c>
      <c r="F191" s="1">
        <v>2798</v>
      </c>
      <c r="G191" s="13">
        <v>4560.5308643227581</v>
      </c>
      <c r="H191" s="14" t="b">
        <v>1</v>
      </c>
      <c r="I191" s="15">
        <f t="shared" si="8"/>
        <v>4632</v>
      </c>
      <c r="J191" s="15">
        <f t="shared" si="8"/>
        <v>305</v>
      </c>
      <c r="K191" s="15">
        <f t="shared" si="9"/>
        <v>4561</v>
      </c>
      <c r="L191" s="3" t="str">
        <f t="shared" si="10"/>
        <v>Friday</v>
      </c>
      <c r="M191" s="4" t="str">
        <f t="shared" si="11"/>
        <v>Outage Day</v>
      </c>
      <c r="N191" s="4" t="str">
        <f>TEXT(CleanedData[[#This Row],[DAY]], "mmm yyyy")</f>
        <v>Feb 2024</v>
      </c>
    </row>
    <row r="192" spans="1:14" x14ac:dyDescent="0.3">
      <c r="A192" s="5">
        <v>45331</v>
      </c>
      <c r="B192" s="12">
        <v>6223.5</v>
      </c>
      <c r="C192" s="12">
        <v>73.5</v>
      </c>
      <c r="D192" s="2" t="s">
        <v>9</v>
      </c>
      <c r="E192" s="2" t="s">
        <v>8</v>
      </c>
      <c r="F192" s="1">
        <v>3832</v>
      </c>
      <c r="G192" s="13">
        <v>5140.1273391397872</v>
      </c>
      <c r="H192" s="14" t="b">
        <v>1</v>
      </c>
      <c r="I192" s="15">
        <f t="shared" si="8"/>
        <v>6224</v>
      </c>
      <c r="J192" s="15">
        <f t="shared" si="8"/>
        <v>74</v>
      </c>
      <c r="K192" s="15">
        <f t="shared" si="9"/>
        <v>5140</v>
      </c>
      <c r="L192" s="3" t="str">
        <f t="shared" si="10"/>
        <v>Friday</v>
      </c>
      <c r="M192" s="4" t="str">
        <f t="shared" si="11"/>
        <v>Outage Day</v>
      </c>
      <c r="N192" s="4" t="str">
        <f>TEXT(CleanedData[[#This Row],[DAY]], "mmm yyyy")</f>
        <v>Feb 2024</v>
      </c>
    </row>
    <row r="193" spans="1:14" x14ac:dyDescent="0.3">
      <c r="A193" s="5">
        <v>45332</v>
      </c>
      <c r="B193" s="12">
        <v>1581</v>
      </c>
      <c r="C193" s="12">
        <v>37.5</v>
      </c>
      <c r="D193" s="2" t="s">
        <v>6</v>
      </c>
      <c r="E193" s="2" t="s">
        <v>7</v>
      </c>
      <c r="F193" s="1">
        <v>890</v>
      </c>
      <c r="G193" s="13">
        <v>1491.290156865578</v>
      </c>
      <c r="H193" s="14" t="b">
        <v>0</v>
      </c>
      <c r="I193" s="15">
        <f t="shared" si="8"/>
        <v>1581</v>
      </c>
      <c r="J193" s="15">
        <f t="shared" si="8"/>
        <v>38</v>
      </c>
      <c r="K193" s="15">
        <f t="shared" si="9"/>
        <v>1491</v>
      </c>
      <c r="L193" s="3" t="str">
        <f t="shared" si="10"/>
        <v>Saturday</v>
      </c>
      <c r="M193" s="4" t="str">
        <f t="shared" si="11"/>
        <v>Normal Day</v>
      </c>
      <c r="N193" s="4" t="str">
        <f>TEXT(CleanedData[[#This Row],[DAY]], "mmm yyyy")</f>
        <v>Feb 2024</v>
      </c>
    </row>
    <row r="194" spans="1:14" x14ac:dyDescent="0.3">
      <c r="A194" s="5">
        <v>45332</v>
      </c>
      <c r="B194" s="12">
        <v>1903.5</v>
      </c>
      <c r="C194" s="12">
        <v>37.5</v>
      </c>
      <c r="D194" s="2" t="s">
        <v>6</v>
      </c>
      <c r="E194" s="2" t="s">
        <v>8</v>
      </c>
      <c r="F194" s="1">
        <v>499</v>
      </c>
      <c r="G194" s="13">
        <v>1685.5668695809227</v>
      </c>
      <c r="H194" s="14" t="b">
        <v>0</v>
      </c>
      <c r="I194" s="15">
        <f t="shared" ref="I194:J257" si="12">ROUND(B194, 0)</f>
        <v>1904</v>
      </c>
      <c r="J194" s="15">
        <f t="shared" si="12"/>
        <v>38</v>
      </c>
      <c r="K194" s="15">
        <f t="shared" ref="K194:K257" si="13">ROUND(G194, 0)</f>
        <v>1686</v>
      </c>
      <c r="L194" s="3" t="str">
        <f t="shared" si="10"/>
        <v>Saturday</v>
      </c>
      <c r="M194" s="4" t="str">
        <f t="shared" si="11"/>
        <v>Normal Day</v>
      </c>
      <c r="N194" s="4" t="str">
        <f>TEXT(CleanedData[[#This Row],[DAY]], "mmm yyyy")</f>
        <v>Feb 2024</v>
      </c>
    </row>
    <row r="195" spans="1:14" x14ac:dyDescent="0.3">
      <c r="A195" s="5">
        <v>45332</v>
      </c>
      <c r="B195" s="12">
        <v>6111</v>
      </c>
      <c r="C195" s="12">
        <v>165</v>
      </c>
      <c r="D195" s="2" t="s">
        <v>9</v>
      </c>
      <c r="E195" s="2" t="s">
        <v>8</v>
      </c>
      <c r="F195" s="1">
        <v>2596</v>
      </c>
      <c r="G195" s="13">
        <v>5291.522868916637</v>
      </c>
      <c r="H195" s="14" t="b">
        <v>0</v>
      </c>
      <c r="I195" s="15">
        <f t="shared" si="12"/>
        <v>6111</v>
      </c>
      <c r="J195" s="15">
        <f t="shared" si="12"/>
        <v>165</v>
      </c>
      <c r="K195" s="15">
        <f t="shared" si="13"/>
        <v>5292</v>
      </c>
      <c r="L195" s="3" t="str">
        <f t="shared" ref="L195:L258" si="14">TEXT(A195,"dddd")</f>
        <v>Saturday</v>
      </c>
      <c r="M195" s="4" t="str">
        <f t="shared" ref="M195:M258" si="15">IF(H195=TRUE, "Outage Day", "Normal Day")</f>
        <v>Normal Day</v>
      </c>
      <c r="N195" s="4" t="str">
        <f>TEXT(CleanedData[[#This Row],[DAY]], "mmm yyyy")</f>
        <v>Feb 2024</v>
      </c>
    </row>
    <row r="196" spans="1:14" x14ac:dyDescent="0.3">
      <c r="A196" s="5">
        <v>45332</v>
      </c>
      <c r="B196" s="12">
        <v>6360</v>
      </c>
      <c r="C196" s="12">
        <v>267</v>
      </c>
      <c r="D196" s="2" t="s">
        <v>10</v>
      </c>
      <c r="E196" s="2" t="s">
        <v>7</v>
      </c>
      <c r="F196" s="1">
        <v>1512</v>
      </c>
      <c r="G196" s="13">
        <v>6016.0369290472081</v>
      </c>
      <c r="H196" s="14" t="b">
        <v>0</v>
      </c>
      <c r="I196" s="15">
        <f t="shared" si="12"/>
        <v>6360</v>
      </c>
      <c r="J196" s="15">
        <f t="shared" si="12"/>
        <v>267</v>
      </c>
      <c r="K196" s="15">
        <f t="shared" si="13"/>
        <v>6016</v>
      </c>
      <c r="L196" s="3" t="str">
        <f t="shared" si="14"/>
        <v>Saturday</v>
      </c>
      <c r="M196" s="4" t="str">
        <f t="shared" si="15"/>
        <v>Normal Day</v>
      </c>
      <c r="N196" s="4" t="str">
        <f>TEXT(CleanedData[[#This Row],[DAY]], "mmm yyyy")</f>
        <v>Feb 2024</v>
      </c>
    </row>
    <row r="197" spans="1:14" x14ac:dyDescent="0.3">
      <c r="A197" s="5">
        <v>45333</v>
      </c>
      <c r="B197" s="12">
        <v>2809.5</v>
      </c>
      <c r="C197" s="12">
        <v>88.5</v>
      </c>
      <c r="D197" s="2" t="s">
        <v>6</v>
      </c>
      <c r="E197" s="2" t="s">
        <v>7</v>
      </c>
      <c r="F197" s="1">
        <v>887</v>
      </c>
      <c r="G197" s="13">
        <v>2606.748325659094</v>
      </c>
      <c r="H197" s="14" t="b">
        <v>1</v>
      </c>
      <c r="I197" s="15">
        <f t="shared" si="12"/>
        <v>2810</v>
      </c>
      <c r="J197" s="15">
        <f t="shared" si="12"/>
        <v>89</v>
      </c>
      <c r="K197" s="15">
        <f t="shared" si="13"/>
        <v>2607</v>
      </c>
      <c r="L197" s="3" t="str">
        <f t="shared" si="14"/>
        <v>Sunday</v>
      </c>
      <c r="M197" s="4" t="str">
        <f t="shared" si="15"/>
        <v>Outage Day</v>
      </c>
      <c r="N197" s="4" t="str">
        <f>TEXT(CleanedData[[#This Row],[DAY]], "mmm yyyy")</f>
        <v>Feb 2024</v>
      </c>
    </row>
    <row r="198" spans="1:14" x14ac:dyDescent="0.3">
      <c r="A198" s="5">
        <v>45333</v>
      </c>
      <c r="B198" s="12">
        <v>3840</v>
      </c>
      <c r="C198" s="12">
        <v>88.5</v>
      </c>
      <c r="D198" s="2" t="s">
        <v>6</v>
      </c>
      <c r="E198" s="2" t="s">
        <v>8</v>
      </c>
      <c r="F198" s="1">
        <v>1562</v>
      </c>
      <c r="G198" s="13">
        <v>3149.1612745535122</v>
      </c>
      <c r="H198" s="14" t="b">
        <v>1</v>
      </c>
      <c r="I198" s="15">
        <f t="shared" si="12"/>
        <v>3840</v>
      </c>
      <c r="J198" s="15">
        <f t="shared" si="12"/>
        <v>89</v>
      </c>
      <c r="K198" s="15">
        <f t="shared" si="13"/>
        <v>3149</v>
      </c>
      <c r="L198" s="3" t="str">
        <f t="shared" si="14"/>
        <v>Sunday</v>
      </c>
      <c r="M198" s="4" t="str">
        <f t="shared" si="15"/>
        <v>Outage Day</v>
      </c>
      <c r="N198" s="4" t="str">
        <f>TEXT(CleanedData[[#This Row],[DAY]], "mmm yyyy")</f>
        <v>Feb 2024</v>
      </c>
    </row>
    <row r="199" spans="1:14" x14ac:dyDescent="0.3">
      <c r="A199" s="5">
        <v>45333</v>
      </c>
      <c r="B199" s="12">
        <v>4467</v>
      </c>
      <c r="C199" s="12">
        <v>18</v>
      </c>
      <c r="D199" s="2" t="s">
        <v>9</v>
      </c>
      <c r="E199" s="2" t="s">
        <v>8</v>
      </c>
      <c r="F199" s="1">
        <v>2511</v>
      </c>
      <c r="G199" s="13">
        <v>3604.6030765453202</v>
      </c>
      <c r="H199" s="14" t="b">
        <v>1</v>
      </c>
      <c r="I199" s="15">
        <f t="shared" si="12"/>
        <v>4467</v>
      </c>
      <c r="J199" s="15">
        <f t="shared" si="12"/>
        <v>18</v>
      </c>
      <c r="K199" s="15">
        <f t="shared" si="13"/>
        <v>3605</v>
      </c>
      <c r="L199" s="3" t="str">
        <f t="shared" si="14"/>
        <v>Sunday</v>
      </c>
      <c r="M199" s="4" t="str">
        <f t="shared" si="15"/>
        <v>Outage Day</v>
      </c>
      <c r="N199" s="4" t="str">
        <f>TEXT(CleanedData[[#This Row],[DAY]], "mmm yyyy")</f>
        <v>Feb 2024</v>
      </c>
    </row>
    <row r="200" spans="1:14" x14ac:dyDescent="0.3">
      <c r="A200" s="5">
        <v>45333</v>
      </c>
      <c r="B200" s="12">
        <v>7258.5</v>
      </c>
      <c r="C200" s="12">
        <v>246</v>
      </c>
      <c r="D200" s="2" t="s">
        <v>10</v>
      </c>
      <c r="E200" s="2" t="s">
        <v>7</v>
      </c>
      <c r="F200" s="1">
        <v>240</v>
      </c>
      <c r="G200" s="13">
        <v>6731.8597239613309</v>
      </c>
      <c r="H200" s="14" t="b">
        <v>1</v>
      </c>
      <c r="I200" s="15">
        <f t="shared" si="12"/>
        <v>7259</v>
      </c>
      <c r="J200" s="15">
        <f t="shared" si="12"/>
        <v>246</v>
      </c>
      <c r="K200" s="15">
        <f t="shared" si="13"/>
        <v>6732</v>
      </c>
      <c r="L200" s="3" t="str">
        <f t="shared" si="14"/>
        <v>Sunday</v>
      </c>
      <c r="M200" s="4" t="str">
        <f t="shared" si="15"/>
        <v>Outage Day</v>
      </c>
      <c r="N200" s="4" t="str">
        <f>TEXT(CleanedData[[#This Row],[DAY]], "mmm yyyy")</f>
        <v>Feb 2024</v>
      </c>
    </row>
    <row r="201" spans="1:14" x14ac:dyDescent="0.3">
      <c r="A201" s="5">
        <v>45334</v>
      </c>
      <c r="B201" s="12">
        <v>3223.5</v>
      </c>
      <c r="C201" s="12">
        <v>10.5</v>
      </c>
      <c r="D201" s="2" t="s">
        <v>6</v>
      </c>
      <c r="E201" s="2" t="s">
        <v>8</v>
      </c>
      <c r="F201" s="1">
        <v>1644</v>
      </c>
      <c r="G201" s="13">
        <v>2712.1882231184791</v>
      </c>
      <c r="H201" s="14" t="b">
        <v>0</v>
      </c>
      <c r="I201" s="15">
        <f t="shared" si="12"/>
        <v>3224</v>
      </c>
      <c r="J201" s="15">
        <f t="shared" si="12"/>
        <v>11</v>
      </c>
      <c r="K201" s="15">
        <f t="shared" si="13"/>
        <v>2712</v>
      </c>
      <c r="L201" s="3" t="str">
        <f t="shared" si="14"/>
        <v>Monday</v>
      </c>
      <c r="M201" s="4" t="str">
        <f t="shared" si="15"/>
        <v>Normal Day</v>
      </c>
      <c r="N201" s="4" t="str">
        <f>TEXT(CleanedData[[#This Row],[DAY]], "mmm yyyy")</f>
        <v>Feb 2024</v>
      </c>
    </row>
    <row r="202" spans="1:14" x14ac:dyDescent="0.3">
      <c r="A202" s="5">
        <v>45334</v>
      </c>
      <c r="B202" s="12">
        <v>3478.5</v>
      </c>
      <c r="C202" s="12">
        <v>10.5</v>
      </c>
      <c r="D202" s="2" t="s">
        <v>6</v>
      </c>
      <c r="E202" s="2" t="s">
        <v>7</v>
      </c>
      <c r="F202" s="1">
        <v>292</v>
      </c>
      <c r="G202" s="13">
        <v>3226.9502610926661</v>
      </c>
      <c r="H202" s="14" t="b">
        <v>0</v>
      </c>
      <c r="I202" s="15">
        <f t="shared" si="12"/>
        <v>3479</v>
      </c>
      <c r="J202" s="15">
        <f t="shared" si="12"/>
        <v>11</v>
      </c>
      <c r="K202" s="15">
        <f t="shared" si="13"/>
        <v>3227</v>
      </c>
      <c r="L202" s="3" t="str">
        <f t="shared" si="14"/>
        <v>Monday</v>
      </c>
      <c r="M202" s="4" t="str">
        <f t="shared" si="15"/>
        <v>Normal Day</v>
      </c>
      <c r="N202" s="4" t="str">
        <f>TEXT(CleanedData[[#This Row],[DAY]], "mmm yyyy")</f>
        <v>Feb 2024</v>
      </c>
    </row>
    <row r="203" spans="1:14" x14ac:dyDescent="0.3">
      <c r="A203" s="5">
        <v>45334</v>
      </c>
      <c r="B203" s="12">
        <v>4009.5</v>
      </c>
      <c r="C203" s="12">
        <v>214.5</v>
      </c>
      <c r="D203" s="2" t="s">
        <v>10</v>
      </c>
      <c r="E203" s="2" t="s">
        <v>7</v>
      </c>
      <c r="F203" s="1">
        <v>496</v>
      </c>
      <c r="G203" s="13">
        <v>3756.3250339493934</v>
      </c>
      <c r="H203" s="14" t="b">
        <v>0</v>
      </c>
      <c r="I203" s="15">
        <f t="shared" si="12"/>
        <v>4010</v>
      </c>
      <c r="J203" s="15">
        <f t="shared" si="12"/>
        <v>215</v>
      </c>
      <c r="K203" s="15">
        <f t="shared" si="13"/>
        <v>3756</v>
      </c>
      <c r="L203" s="3" t="str">
        <f t="shared" si="14"/>
        <v>Monday</v>
      </c>
      <c r="M203" s="4" t="str">
        <f t="shared" si="15"/>
        <v>Normal Day</v>
      </c>
      <c r="N203" s="4" t="str">
        <f>TEXT(CleanedData[[#This Row],[DAY]], "mmm yyyy")</f>
        <v>Feb 2024</v>
      </c>
    </row>
    <row r="204" spans="1:14" x14ac:dyDescent="0.3">
      <c r="A204" s="5">
        <v>45334</v>
      </c>
      <c r="B204" s="12">
        <v>4977</v>
      </c>
      <c r="C204" s="12">
        <v>79.5</v>
      </c>
      <c r="D204" s="2" t="s">
        <v>9</v>
      </c>
      <c r="E204" s="2" t="s">
        <v>8</v>
      </c>
      <c r="F204" s="1">
        <v>1118</v>
      </c>
      <c r="G204" s="13">
        <v>4264.0971073574101</v>
      </c>
      <c r="H204" s="14" t="b">
        <v>0</v>
      </c>
      <c r="I204" s="15">
        <f t="shared" si="12"/>
        <v>4977</v>
      </c>
      <c r="J204" s="15">
        <f t="shared" si="12"/>
        <v>80</v>
      </c>
      <c r="K204" s="15">
        <f t="shared" si="13"/>
        <v>4264</v>
      </c>
      <c r="L204" s="3" t="str">
        <f t="shared" si="14"/>
        <v>Monday</v>
      </c>
      <c r="M204" s="4" t="str">
        <f t="shared" si="15"/>
        <v>Normal Day</v>
      </c>
      <c r="N204" s="4" t="str">
        <f>TEXT(CleanedData[[#This Row],[DAY]], "mmm yyyy")</f>
        <v>Feb 2024</v>
      </c>
    </row>
    <row r="205" spans="1:14" x14ac:dyDescent="0.3">
      <c r="A205" s="5">
        <v>45335</v>
      </c>
      <c r="B205" s="12">
        <v>97.5</v>
      </c>
      <c r="C205" s="12">
        <v>4.5</v>
      </c>
      <c r="D205" s="2" t="s">
        <v>6</v>
      </c>
      <c r="E205" s="2" t="s">
        <v>7</v>
      </c>
      <c r="F205" s="1">
        <v>15</v>
      </c>
      <c r="G205" s="13">
        <v>94.229892519666009</v>
      </c>
      <c r="H205" s="14" t="b">
        <v>0</v>
      </c>
      <c r="I205" s="15">
        <f t="shared" si="12"/>
        <v>98</v>
      </c>
      <c r="J205" s="15">
        <f t="shared" si="12"/>
        <v>5</v>
      </c>
      <c r="K205" s="15">
        <f t="shared" si="13"/>
        <v>94</v>
      </c>
      <c r="L205" s="3" t="str">
        <f t="shared" si="14"/>
        <v>Tuesday</v>
      </c>
      <c r="M205" s="4" t="str">
        <f t="shared" si="15"/>
        <v>Normal Day</v>
      </c>
      <c r="N205" s="4" t="str">
        <f>TEXT(CleanedData[[#This Row],[DAY]], "mmm yyyy")</f>
        <v>Feb 2024</v>
      </c>
    </row>
    <row r="206" spans="1:14" x14ac:dyDescent="0.3">
      <c r="A206" s="5">
        <v>45335</v>
      </c>
      <c r="B206" s="12">
        <v>142.5</v>
      </c>
      <c r="C206" s="12">
        <v>4.5</v>
      </c>
      <c r="D206" s="2" t="s">
        <v>6</v>
      </c>
      <c r="E206" s="2" t="s">
        <v>8</v>
      </c>
      <c r="F206" s="1">
        <v>34</v>
      </c>
      <c r="G206" s="13">
        <v>122.22669407341364</v>
      </c>
      <c r="H206" s="14" t="b">
        <v>0</v>
      </c>
      <c r="I206" s="15">
        <f t="shared" si="12"/>
        <v>143</v>
      </c>
      <c r="J206" s="15">
        <f t="shared" si="12"/>
        <v>5</v>
      </c>
      <c r="K206" s="15">
        <f t="shared" si="13"/>
        <v>122</v>
      </c>
      <c r="L206" s="3" t="str">
        <f t="shared" si="14"/>
        <v>Tuesday</v>
      </c>
      <c r="M206" s="4" t="str">
        <f t="shared" si="15"/>
        <v>Normal Day</v>
      </c>
      <c r="N206" s="4" t="str">
        <f>TEXT(CleanedData[[#This Row],[DAY]], "mmm yyyy")</f>
        <v>Feb 2024</v>
      </c>
    </row>
    <row r="207" spans="1:14" x14ac:dyDescent="0.3">
      <c r="A207" s="5">
        <v>45335</v>
      </c>
      <c r="B207" s="12">
        <v>5695.5</v>
      </c>
      <c r="C207" s="12">
        <v>88.5</v>
      </c>
      <c r="D207" s="2" t="s">
        <v>9</v>
      </c>
      <c r="E207" s="2" t="s">
        <v>8</v>
      </c>
      <c r="F207" s="1">
        <v>1565</v>
      </c>
      <c r="G207" s="13">
        <v>4730.8233632543206</v>
      </c>
      <c r="H207" s="14" t="b">
        <v>0</v>
      </c>
      <c r="I207" s="15">
        <f t="shared" si="12"/>
        <v>5696</v>
      </c>
      <c r="J207" s="15">
        <f t="shared" si="12"/>
        <v>89</v>
      </c>
      <c r="K207" s="15">
        <f t="shared" si="13"/>
        <v>4731</v>
      </c>
      <c r="L207" s="3" t="str">
        <f t="shared" si="14"/>
        <v>Tuesday</v>
      </c>
      <c r="M207" s="4" t="str">
        <f t="shared" si="15"/>
        <v>Normal Day</v>
      </c>
      <c r="N207" s="4" t="str">
        <f>TEXT(CleanedData[[#This Row],[DAY]], "mmm yyyy")</f>
        <v>Feb 2024</v>
      </c>
    </row>
    <row r="208" spans="1:14" x14ac:dyDescent="0.3">
      <c r="A208" s="5">
        <v>45335</v>
      </c>
      <c r="B208" s="12">
        <v>10195.5</v>
      </c>
      <c r="C208" s="12">
        <v>447</v>
      </c>
      <c r="D208" s="2" t="s">
        <v>10</v>
      </c>
      <c r="E208" s="2" t="s">
        <v>7</v>
      </c>
      <c r="F208" s="1">
        <v>6689</v>
      </c>
      <c r="G208" s="13">
        <v>9716.8286516135631</v>
      </c>
      <c r="H208" s="14" t="b">
        <v>0</v>
      </c>
      <c r="I208" s="15">
        <f t="shared" si="12"/>
        <v>10196</v>
      </c>
      <c r="J208" s="15">
        <f t="shared" si="12"/>
        <v>447</v>
      </c>
      <c r="K208" s="15">
        <f t="shared" si="13"/>
        <v>9717</v>
      </c>
      <c r="L208" s="3" t="str">
        <f t="shared" si="14"/>
        <v>Tuesday</v>
      </c>
      <c r="M208" s="4" t="str">
        <f t="shared" si="15"/>
        <v>Normal Day</v>
      </c>
      <c r="N208" s="4" t="str">
        <f>TEXT(CleanedData[[#This Row],[DAY]], "mmm yyyy")</f>
        <v>Feb 2024</v>
      </c>
    </row>
    <row r="209" spans="1:14" x14ac:dyDescent="0.3">
      <c r="A209" s="5">
        <v>45336</v>
      </c>
      <c r="B209" s="12">
        <v>4870.5</v>
      </c>
      <c r="C209" s="12">
        <v>45</v>
      </c>
      <c r="D209" s="2" t="s">
        <v>9</v>
      </c>
      <c r="E209" s="2" t="s">
        <v>8</v>
      </c>
      <c r="F209" s="1">
        <v>505</v>
      </c>
      <c r="G209" s="13">
        <v>4329.2864626789597</v>
      </c>
      <c r="H209" s="14" t="b">
        <v>0</v>
      </c>
      <c r="I209" s="15">
        <f t="shared" si="12"/>
        <v>4871</v>
      </c>
      <c r="J209" s="15">
        <f t="shared" si="12"/>
        <v>45</v>
      </c>
      <c r="K209" s="15">
        <f t="shared" si="13"/>
        <v>4329</v>
      </c>
      <c r="L209" s="3" t="str">
        <f t="shared" si="14"/>
        <v>Wednesday</v>
      </c>
      <c r="M209" s="4" t="str">
        <f t="shared" si="15"/>
        <v>Normal Day</v>
      </c>
      <c r="N209" s="4" t="str">
        <f>TEXT(CleanedData[[#This Row],[DAY]], "mmm yyyy")</f>
        <v>Feb 2024</v>
      </c>
    </row>
    <row r="210" spans="1:14" x14ac:dyDescent="0.3">
      <c r="A210" s="5">
        <v>45336</v>
      </c>
      <c r="B210" s="12">
        <v>5458.5</v>
      </c>
      <c r="C210" s="12">
        <v>13.5</v>
      </c>
      <c r="D210" s="2" t="s">
        <v>6</v>
      </c>
      <c r="E210" s="2" t="s">
        <v>8</v>
      </c>
      <c r="F210" s="1">
        <v>899</v>
      </c>
      <c r="G210" s="13">
        <v>4651.3440626618058</v>
      </c>
      <c r="H210" s="14" t="b">
        <v>0</v>
      </c>
      <c r="I210" s="15">
        <f t="shared" si="12"/>
        <v>5459</v>
      </c>
      <c r="J210" s="15">
        <f t="shared" si="12"/>
        <v>14</v>
      </c>
      <c r="K210" s="15">
        <f t="shared" si="13"/>
        <v>4651</v>
      </c>
      <c r="L210" s="3" t="str">
        <f t="shared" si="14"/>
        <v>Wednesday</v>
      </c>
      <c r="M210" s="4" t="str">
        <f t="shared" si="15"/>
        <v>Normal Day</v>
      </c>
      <c r="N210" s="4" t="str">
        <f>TEXT(CleanedData[[#This Row],[DAY]], "mmm yyyy")</f>
        <v>Feb 2024</v>
      </c>
    </row>
    <row r="211" spans="1:14" x14ac:dyDescent="0.3">
      <c r="A211" s="5">
        <v>45336</v>
      </c>
      <c r="B211" s="12">
        <v>6142.5</v>
      </c>
      <c r="C211" s="12">
        <v>13.5</v>
      </c>
      <c r="D211" s="2" t="s">
        <v>6</v>
      </c>
      <c r="E211" s="2" t="s">
        <v>7</v>
      </c>
      <c r="F211" s="1">
        <v>1383</v>
      </c>
      <c r="G211" s="13">
        <v>5747.7585879391163</v>
      </c>
      <c r="H211" s="14" t="b">
        <v>0</v>
      </c>
      <c r="I211" s="15">
        <f t="shared" si="12"/>
        <v>6143</v>
      </c>
      <c r="J211" s="15">
        <f t="shared" si="12"/>
        <v>14</v>
      </c>
      <c r="K211" s="15">
        <f t="shared" si="13"/>
        <v>5748</v>
      </c>
      <c r="L211" s="3" t="str">
        <f t="shared" si="14"/>
        <v>Wednesday</v>
      </c>
      <c r="M211" s="4" t="str">
        <f t="shared" si="15"/>
        <v>Normal Day</v>
      </c>
      <c r="N211" s="4" t="str">
        <f>TEXT(CleanedData[[#This Row],[DAY]], "mmm yyyy")</f>
        <v>Feb 2024</v>
      </c>
    </row>
    <row r="212" spans="1:14" x14ac:dyDescent="0.3">
      <c r="A212" s="5">
        <v>45336</v>
      </c>
      <c r="B212" s="12">
        <v>8425.5</v>
      </c>
      <c r="C212" s="12">
        <v>229.5</v>
      </c>
      <c r="D212" s="2" t="s">
        <v>10</v>
      </c>
      <c r="E212" s="2" t="s">
        <v>7</v>
      </c>
      <c r="F212" s="1">
        <v>4965</v>
      </c>
      <c r="G212" s="13">
        <v>8057.8802856611119</v>
      </c>
      <c r="H212" s="14" t="b">
        <v>0</v>
      </c>
      <c r="I212" s="15">
        <f t="shared" si="12"/>
        <v>8426</v>
      </c>
      <c r="J212" s="15">
        <f t="shared" si="12"/>
        <v>230</v>
      </c>
      <c r="K212" s="15">
        <f t="shared" si="13"/>
        <v>8058</v>
      </c>
      <c r="L212" s="3" t="str">
        <f t="shared" si="14"/>
        <v>Wednesday</v>
      </c>
      <c r="M212" s="4" t="str">
        <f t="shared" si="15"/>
        <v>Normal Day</v>
      </c>
      <c r="N212" s="4" t="str">
        <f>TEXT(CleanedData[[#This Row],[DAY]], "mmm yyyy")</f>
        <v>Feb 2024</v>
      </c>
    </row>
    <row r="213" spans="1:14" x14ac:dyDescent="0.3">
      <c r="A213" s="5">
        <v>45337</v>
      </c>
      <c r="B213" s="12">
        <v>1.5</v>
      </c>
      <c r="C213" s="12">
        <v>0</v>
      </c>
      <c r="D213" s="2" t="s">
        <v>9</v>
      </c>
      <c r="E213" s="2" t="s">
        <v>7</v>
      </c>
      <c r="F213" s="1">
        <v>1</v>
      </c>
      <c r="G213" s="13">
        <v>1.3989747667663575</v>
      </c>
      <c r="H213" s="14" t="b">
        <v>0</v>
      </c>
      <c r="I213" s="15">
        <f t="shared" si="12"/>
        <v>2</v>
      </c>
      <c r="J213" s="15">
        <f t="shared" si="12"/>
        <v>0</v>
      </c>
      <c r="K213" s="15">
        <f t="shared" si="13"/>
        <v>1</v>
      </c>
      <c r="L213" s="3" t="str">
        <f t="shared" si="14"/>
        <v>Thursday</v>
      </c>
      <c r="M213" s="4" t="str">
        <f t="shared" si="15"/>
        <v>Normal Day</v>
      </c>
      <c r="N213" s="4" t="str">
        <f>TEXT(CleanedData[[#This Row],[DAY]], "mmm yyyy")</f>
        <v>Feb 2024</v>
      </c>
    </row>
    <row r="214" spans="1:14" x14ac:dyDescent="0.3">
      <c r="A214" s="5">
        <v>45337</v>
      </c>
      <c r="B214" s="12">
        <v>2470.5</v>
      </c>
      <c r="C214" s="12">
        <v>151.5</v>
      </c>
      <c r="D214" s="2" t="s">
        <v>6</v>
      </c>
      <c r="E214" s="2" t="s">
        <v>8</v>
      </c>
      <c r="F214" s="1">
        <v>484</v>
      </c>
      <c r="G214" s="13">
        <v>2217.845348583538</v>
      </c>
      <c r="H214" s="14" t="b">
        <v>0</v>
      </c>
      <c r="I214" s="15">
        <f t="shared" si="12"/>
        <v>2471</v>
      </c>
      <c r="J214" s="15">
        <f t="shared" si="12"/>
        <v>152</v>
      </c>
      <c r="K214" s="15">
        <f t="shared" si="13"/>
        <v>2218</v>
      </c>
      <c r="L214" s="3" t="str">
        <f t="shared" si="14"/>
        <v>Thursday</v>
      </c>
      <c r="M214" s="4" t="str">
        <f t="shared" si="15"/>
        <v>Normal Day</v>
      </c>
      <c r="N214" s="4" t="str">
        <f>TEXT(CleanedData[[#This Row],[DAY]], "mmm yyyy")</f>
        <v>Feb 2024</v>
      </c>
    </row>
    <row r="215" spans="1:14" x14ac:dyDescent="0.3">
      <c r="A215" s="5">
        <v>45337</v>
      </c>
      <c r="B215" s="12">
        <v>5577</v>
      </c>
      <c r="C215" s="12">
        <v>273</v>
      </c>
      <c r="D215" s="2" t="s">
        <v>10</v>
      </c>
      <c r="E215" s="2" t="s">
        <v>7</v>
      </c>
      <c r="F215" s="1">
        <v>3254</v>
      </c>
      <c r="G215" s="13">
        <v>5103.6484832882343</v>
      </c>
      <c r="H215" s="14" t="b">
        <v>0</v>
      </c>
      <c r="I215" s="15">
        <f t="shared" si="12"/>
        <v>5577</v>
      </c>
      <c r="J215" s="15">
        <f t="shared" si="12"/>
        <v>273</v>
      </c>
      <c r="K215" s="15">
        <f t="shared" si="13"/>
        <v>5104</v>
      </c>
      <c r="L215" s="3" t="str">
        <f t="shared" si="14"/>
        <v>Thursday</v>
      </c>
      <c r="M215" s="4" t="str">
        <f t="shared" si="15"/>
        <v>Normal Day</v>
      </c>
      <c r="N215" s="4" t="str">
        <f>TEXT(CleanedData[[#This Row],[DAY]], "mmm yyyy")</f>
        <v>Feb 2024</v>
      </c>
    </row>
    <row r="216" spans="1:14" x14ac:dyDescent="0.3">
      <c r="A216" s="5">
        <v>45337</v>
      </c>
      <c r="B216" s="12">
        <v>5698.5</v>
      </c>
      <c r="C216" s="12">
        <v>151.5</v>
      </c>
      <c r="D216" s="2" t="s">
        <v>6</v>
      </c>
      <c r="E216" s="2" t="s">
        <v>7</v>
      </c>
      <c r="F216" s="1">
        <v>3674</v>
      </c>
      <c r="G216" s="13">
        <v>5093.7089393144861</v>
      </c>
      <c r="H216" s="14" t="b">
        <v>1</v>
      </c>
      <c r="I216" s="15">
        <f t="shared" si="12"/>
        <v>5699</v>
      </c>
      <c r="J216" s="15">
        <f t="shared" si="12"/>
        <v>152</v>
      </c>
      <c r="K216" s="15">
        <f t="shared" si="13"/>
        <v>5094</v>
      </c>
      <c r="L216" s="3" t="str">
        <f t="shared" si="14"/>
        <v>Thursday</v>
      </c>
      <c r="M216" s="4" t="str">
        <f t="shared" si="15"/>
        <v>Outage Day</v>
      </c>
      <c r="N216" s="4" t="str">
        <f>TEXT(CleanedData[[#This Row],[DAY]], "mmm yyyy")</f>
        <v>Feb 2024</v>
      </c>
    </row>
    <row r="217" spans="1:14" x14ac:dyDescent="0.3">
      <c r="A217" s="5">
        <v>45337</v>
      </c>
      <c r="B217" s="12">
        <v>6871.5</v>
      </c>
      <c r="C217" s="12">
        <v>24</v>
      </c>
      <c r="D217" s="2" t="s">
        <v>9</v>
      </c>
      <c r="E217" s="2" t="s">
        <v>8</v>
      </c>
      <c r="F217" s="1">
        <v>4465</v>
      </c>
      <c r="G217" s="13">
        <v>5947.0478131162845</v>
      </c>
      <c r="H217" s="14" t="b">
        <v>0</v>
      </c>
      <c r="I217" s="15">
        <f t="shared" si="12"/>
        <v>6872</v>
      </c>
      <c r="J217" s="15">
        <f t="shared" si="12"/>
        <v>24</v>
      </c>
      <c r="K217" s="15">
        <f t="shared" si="13"/>
        <v>5947</v>
      </c>
      <c r="L217" s="3" t="str">
        <f t="shared" si="14"/>
        <v>Thursday</v>
      </c>
      <c r="M217" s="4" t="str">
        <f t="shared" si="15"/>
        <v>Normal Day</v>
      </c>
      <c r="N217" s="4" t="str">
        <f>TEXT(CleanedData[[#This Row],[DAY]], "mmm yyyy")</f>
        <v>Feb 2024</v>
      </c>
    </row>
    <row r="218" spans="1:14" x14ac:dyDescent="0.3">
      <c r="A218" s="5">
        <v>45338</v>
      </c>
      <c r="B218" s="12">
        <v>3</v>
      </c>
      <c r="C218" s="12">
        <v>1.5</v>
      </c>
      <c r="D218" s="2" t="s">
        <v>10</v>
      </c>
      <c r="E218" s="2" t="s">
        <v>8</v>
      </c>
      <c r="F218" s="1">
        <v>1</v>
      </c>
      <c r="G218" s="13">
        <v>3.7121754904121516</v>
      </c>
      <c r="H218" s="14" t="b">
        <v>0</v>
      </c>
      <c r="I218" s="15">
        <f t="shared" si="12"/>
        <v>3</v>
      </c>
      <c r="J218" s="15">
        <f t="shared" si="12"/>
        <v>2</v>
      </c>
      <c r="K218" s="15">
        <f t="shared" si="13"/>
        <v>4</v>
      </c>
      <c r="L218" s="3" t="str">
        <f t="shared" si="14"/>
        <v>Friday</v>
      </c>
      <c r="M218" s="4" t="str">
        <f t="shared" si="15"/>
        <v>Normal Day</v>
      </c>
      <c r="N218" s="4" t="str">
        <f>TEXT(CleanedData[[#This Row],[DAY]], "mmm yyyy")</f>
        <v>Feb 2024</v>
      </c>
    </row>
    <row r="219" spans="1:14" x14ac:dyDescent="0.3">
      <c r="A219" s="5">
        <v>45338</v>
      </c>
      <c r="B219" s="12">
        <v>471</v>
      </c>
      <c r="C219" s="12">
        <v>15</v>
      </c>
      <c r="D219" s="2" t="s">
        <v>6</v>
      </c>
      <c r="E219" s="2" t="s">
        <v>7</v>
      </c>
      <c r="F219" s="1">
        <v>267</v>
      </c>
      <c r="G219" s="13">
        <v>432.26828632464833</v>
      </c>
      <c r="H219" s="14" t="b">
        <v>0</v>
      </c>
      <c r="I219" s="15">
        <f t="shared" si="12"/>
        <v>471</v>
      </c>
      <c r="J219" s="15">
        <f t="shared" si="12"/>
        <v>15</v>
      </c>
      <c r="K219" s="15">
        <f t="shared" si="13"/>
        <v>432</v>
      </c>
      <c r="L219" s="3" t="str">
        <f t="shared" si="14"/>
        <v>Friday</v>
      </c>
      <c r="M219" s="4" t="str">
        <f t="shared" si="15"/>
        <v>Normal Day</v>
      </c>
      <c r="N219" s="4" t="str">
        <f>TEXT(CleanedData[[#This Row],[DAY]], "mmm yyyy")</f>
        <v>Feb 2024</v>
      </c>
    </row>
    <row r="220" spans="1:14" x14ac:dyDescent="0.3">
      <c r="A220" s="5">
        <v>45338</v>
      </c>
      <c r="B220" s="12">
        <v>780</v>
      </c>
      <c r="C220" s="12">
        <v>15</v>
      </c>
      <c r="D220" s="2" t="s">
        <v>6</v>
      </c>
      <c r="E220" s="2" t="s">
        <v>8</v>
      </c>
      <c r="F220" s="1">
        <v>402</v>
      </c>
      <c r="G220" s="13">
        <v>672.29669352956705</v>
      </c>
      <c r="H220" s="14" t="b">
        <v>0</v>
      </c>
      <c r="I220" s="15">
        <f t="shared" si="12"/>
        <v>780</v>
      </c>
      <c r="J220" s="15">
        <f t="shared" si="12"/>
        <v>15</v>
      </c>
      <c r="K220" s="15">
        <f t="shared" si="13"/>
        <v>672</v>
      </c>
      <c r="L220" s="3" t="str">
        <f t="shared" si="14"/>
        <v>Friday</v>
      </c>
      <c r="M220" s="4" t="str">
        <f t="shared" si="15"/>
        <v>Normal Day</v>
      </c>
      <c r="N220" s="4" t="str">
        <f>TEXT(CleanedData[[#This Row],[DAY]], "mmm yyyy")</f>
        <v>Feb 2024</v>
      </c>
    </row>
    <row r="221" spans="1:14" x14ac:dyDescent="0.3">
      <c r="A221" s="5">
        <v>45338</v>
      </c>
      <c r="B221" s="12">
        <v>9412.5</v>
      </c>
      <c r="C221" s="12">
        <v>30</v>
      </c>
      <c r="D221" s="2" t="s">
        <v>9</v>
      </c>
      <c r="E221" s="2" t="s">
        <v>8</v>
      </c>
      <c r="F221" s="1">
        <v>5998</v>
      </c>
      <c r="G221" s="13">
        <v>7954.0689356561825</v>
      </c>
      <c r="H221" s="14" t="b">
        <v>0</v>
      </c>
      <c r="I221" s="15">
        <f t="shared" si="12"/>
        <v>9413</v>
      </c>
      <c r="J221" s="15">
        <f t="shared" si="12"/>
        <v>30</v>
      </c>
      <c r="K221" s="15">
        <f t="shared" si="13"/>
        <v>7954</v>
      </c>
      <c r="L221" s="3" t="str">
        <f t="shared" si="14"/>
        <v>Friday</v>
      </c>
      <c r="M221" s="4" t="str">
        <f t="shared" si="15"/>
        <v>Normal Day</v>
      </c>
      <c r="N221" s="4" t="str">
        <f>TEXT(CleanedData[[#This Row],[DAY]], "mmm yyyy")</f>
        <v>Feb 2024</v>
      </c>
    </row>
    <row r="222" spans="1:14" x14ac:dyDescent="0.3">
      <c r="A222" s="5">
        <v>45338</v>
      </c>
      <c r="B222" s="12">
        <v>11929.5</v>
      </c>
      <c r="C222" s="12">
        <v>792</v>
      </c>
      <c r="D222" s="2" t="s">
        <v>10</v>
      </c>
      <c r="E222" s="2" t="s">
        <v>7</v>
      </c>
      <c r="F222" s="1">
        <v>5172</v>
      </c>
      <c r="G222" s="13">
        <v>11867.851712021617</v>
      </c>
      <c r="H222" s="14" t="b">
        <v>1</v>
      </c>
      <c r="I222" s="15">
        <f t="shared" si="12"/>
        <v>11930</v>
      </c>
      <c r="J222" s="15">
        <f t="shared" si="12"/>
        <v>792</v>
      </c>
      <c r="K222" s="15">
        <f t="shared" si="13"/>
        <v>11868</v>
      </c>
      <c r="L222" s="3" t="str">
        <f t="shared" si="14"/>
        <v>Friday</v>
      </c>
      <c r="M222" s="4" t="str">
        <f t="shared" si="15"/>
        <v>Outage Day</v>
      </c>
      <c r="N222" s="4" t="str">
        <f>TEXT(CleanedData[[#This Row],[DAY]], "mmm yyyy")</f>
        <v>Feb 2024</v>
      </c>
    </row>
    <row r="223" spans="1:14" x14ac:dyDescent="0.3">
      <c r="A223" s="5">
        <v>45339</v>
      </c>
      <c r="B223" s="12">
        <v>3</v>
      </c>
      <c r="C223" s="12">
        <v>0</v>
      </c>
      <c r="D223" s="2" t="s">
        <v>9</v>
      </c>
      <c r="E223" s="2" t="s">
        <v>7</v>
      </c>
      <c r="F223" s="1">
        <v>1</v>
      </c>
      <c r="G223" s="13">
        <v>2.6291459215578694</v>
      </c>
      <c r="H223" s="14" t="b">
        <v>0</v>
      </c>
      <c r="I223" s="15">
        <f t="shared" si="12"/>
        <v>3</v>
      </c>
      <c r="J223" s="15">
        <f t="shared" si="12"/>
        <v>0</v>
      </c>
      <c r="K223" s="15">
        <f t="shared" si="13"/>
        <v>3</v>
      </c>
      <c r="L223" s="3" t="str">
        <f t="shared" si="14"/>
        <v>Saturday</v>
      </c>
      <c r="M223" s="4" t="str">
        <f t="shared" si="15"/>
        <v>Normal Day</v>
      </c>
      <c r="N223" s="4" t="str">
        <f>TEXT(CleanedData[[#This Row],[DAY]], "mmm yyyy")</f>
        <v>Feb 2024</v>
      </c>
    </row>
    <row r="224" spans="1:14" x14ac:dyDescent="0.3">
      <c r="A224" s="5">
        <v>45339</v>
      </c>
      <c r="B224" s="12">
        <v>508.5</v>
      </c>
      <c r="C224" s="12">
        <v>43.5</v>
      </c>
      <c r="D224" s="2" t="s">
        <v>6</v>
      </c>
      <c r="E224" s="2" t="s">
        <v>8</v>
      </c>
      <c r="F224" s="1">
        <v>279</v>
      </c>
      <c r="G224" s="13">
        <v>472.338312333933</v>
      </c>
      <c r="H224" s="14" t="b">
        <v>0</v>
      </c>
      <c r="I224" s="15">
        <f t="shared" si="12"/>
        <v>509</v>
      </c>
      <c r="J224" s="15">
        <f t="shared" si="12"/>
        <v>44</v>
      </c>
      <c r="K224" s="15">
        <f t="shared" si="13"/>
        <v>472</v>
      </c>
      <c r="L224" s="3" t="str">
        <f t="shared" si="14"/>
        <v>Saturday</v>
      </c>
      <c r="M224" s="4" t="str">
        <f t="shared" si="15"/>
        <v>Normal Day</v>
      </c>
      <c r="N224" s="4" t="str">
        <f>TEXT(CleanedData[[#This Row],[DAY]], "mmm yyyy")</f>
        <v>Feb 2024</v>
      </c>
    </row>
    <row r="225" spans="1:14" x14ac:dyDescent="0.3">
      <c r="A225" s="5">
        <v>45339</v>
      </c>
      <c r="B225" s="12">
        <v>1827</v>
      </c>
      <c r="C225" s="12">
        <v>43.5</v>
      </c>
      <c r="D225" s="2" t="s">
        <v>6</v>
      </c>
      <c r="E225" s="2" t="s">
        <v>7</v>
      </c>
      <c r="F225" s="1">
        <v>1009</v>
      </c>
      <c r="G225" s="13">
        <v>1671.3074585498932</v>
      </c>
      <c r="H225" s="14" t="b">
        <v>0</v>
      </c>
      <c r="I225" s="15">
        <f t="shared" si="12"/>
        <v>1827</v>
      </c>
      <c r="J225" s="15">
        <f t="shared" si="12"/>
        <v>44</v>
      </c>
      <c r="K225" s="15">
        <f t="shared" si="13"/>
        <v>1671</v>
      </c>
      <c r="L225" s="3" t="str">
        <f t="shared" si="14"/>
        <v>Saturday</v>
      </c>
      <c r="M225" s="4" t="str">
        <f t="shared" si="15"/>
        <v>Normal Day</v>
      </c>
      <c r="N225" s="4" t="str">
        <f>TEXT(CleanedData[[#This Row],[DAY]], "mmm yyyy")</f>
        <v>Feb 2024</v>
      </c>
    </row>
    <row r="226" spans="1:14" x14ac:dyDescent="0.3">
      <c r="A226" s="5">
        <v>45339</v>
      </c>
      <c r="B226" s="12">
        <v>6210</v>
      </c>
      <c r="C226" s="12">
        <v>240</v>
      </c>
      <c r="D226" s="2" t="s">
        <v>9</v>
      </c>
      <c r="E226" s="2" t="s">
        <v>8</v>
      </c>
      <c r="F226" s="1">
        <v>1568</v>
      </c>
      <c r="G226" s="13">
        <v>5202.0954684660392</v>
      </c>
      <c r="H226" s="14" t="b">
        <v>1</v>
      </c>
      <c r="I226" s="15">
        <f t="shared" si="12"/>
        <v>6210</v>
      </c>
      <c r="J226" s="15">
        <f t="shared" si="12"/>
        <v>240</v>
      </c>
      <c r="K226" s="15">
        <f t="shared" si="13"/>
        <v>5202</v>
      </c>
      <c r="L226" s="3" t="str">
        <f t="shared" si="14"/>
        <v>Saturday</v>
      </c>
      <c r="M226" s="4" t="str">
        <f t="shared" si="15"/>
        <v>Outage Day</v>
      </c>
      <c r="N226" s="4" t="str">
        <f>TEXT(CleanedData[[#This Row],[DAY]], "mmm yyyy")</f>
        <v>Feb 2024</v>
      </c>
    </row>
    <row r="227" spans="1:14" x14ac:dyDescent="0.3">
      <c r="A227" s="5">
        <v>45339</v>
      </c>
      <c r="B227" s="12">
        <v>13041</v>
      </c>
      <c r="C227" s="12">
        <v>787.5</v>
      </c>
      <c r="D227" s="2" t="s">
        <v>10</v>
      </c>
      <c r="E227" s="2" t="s">
        <v>7</v>
      </c>
      <c r="F227" s="1">
        <v>8603</v>
      </c>
      <c r="G227" s="13">
        <v>12529.550826221475</v>
      </c>
      <c r="H227" s="14" t="b">
        <v>1</v>
      </c>
      <c r="I227" s="15">
        <f t="shared" si="12"/>
        <v>13041</v>
      </c>
      <c r="J227" s="15">
        <f t="shared" si="12"/>
        <v>788</v>
      </c>
      <c r="K227" s="15">
        <f t="shared" si="13"/>
        <v>12530</v>
      </c>
      <c r="L227" s="3" t="str">
        <f t="shared" si="14"/>
        <v>Saturday</v>
      </c>
      <c r="M227" s="4" t="str">
        <f t="shared" si="15"/>
        <v>Outage Day</v>
      </c>
      <c r="N227" s="4" t="str">
        <f>TEXT(CleanedData[[#This Row],[DAY]], "mmm yyyy")</f>
        <v>Feb 2024</v>
      </c>
    </row>
    <row r="228" spans="1:14" x14ac:dyDescent="0.3">
      <c r="A228" s="5">
        <v>45340</v>
      </c>
      <c r="B228" s="12">
        <v>3</v>
      </c>
      <c r="C228" s="12">
        <v>0</v>
      </c>
      <c r="D228" s="2" t="s">
        <v>10</v>
      </c>
      <c r="E228" s="2" t="s">
        <v>8</v>
      </c>
      <c r="F228" s="1">
        <v>2</v>
      </c>
      <c r="G228" s="13">
        <v>2.4054557123085809</v>
      </c>
      <c r="H228" s="14" t="b">
        <v>0</v>
      </c>
      <c r="I228" s="15">
        <f t="shared" si="12"/>
        <v>3</v>
      </c>
      <c r="J228" s="15">
        <f t="shared" si="12"/>
        <v>0</v>
      </c>
      <c r="K228" s="15">
        <f t="shared" si="13"/>
        <v>2</v>
      </c>
      <c r="L228" s="3" t="str">
        <f t="shared" si="14"/>
        <v>Sunday</v>
      </c>
      <c r="M228" s="4" t="str">
        <f t="shared" si="15"/>
        <v>Normal Day</v>
      </c>
      <c r="N228" s="4" t="str">
        <f>TEXT(CleanedData[[#This Row],[DAY]], "mmm yyyy")</f>
        <v>Feb 2024</v>
      </c>
    </row>
    <row r="229" spans="1:14" x14ac:dyDescent="0.3">
      <c r="A229" s="5">
        <v>45340</v>
      </c>
      <c r="B229" s="12">
        <v>774</v>
      </c>
      <c r="C229" s="12">
        <v>6</v>
      </c>
      <c r="D229" s="2" t="s">
        <v>6</v>
      </c>
      <c r="E229" s="2" t="s">
        <v>7</v>
      </c>
      <c r="F229" s="1">
        <v>238</v>
      </c>
      <c r="G229" s="13">
        <v>707.847381183072</v>
      </c>
      <c r="H229" s="14" t="b">
        <v>0</v>
      </c>
      <c r="I229" s="15">
        <f t="shared" si="12"/>
        <v>774</v>
      </c>
      <c r="J229" s="15">
        <f t="shared" si="12"/>
        <v>6</v>
      </c>
      <c r="K229" s="15">
        <f t="shared" si="13"/>
        <v>708</v>
      </c>
      <c r="L229" s="3" t="str">
        <f t="shared" si="14"/>
        <v>Sunday</v>
      </c>
      <c r="M229" s="4" t="str">
        <f t="shared" si="15"/>
        <v>Normal Day</v>
      </c>
      <c r="N229" s="4" t="str">
        <f>TEXT(CleanedData[[#This Row],[DAY]], "mmm yyyy")</f>
        <v>Feb 2024</v>
      </c>
    </row>
    <row r="230" spans="1:14" x14ac:dyDescent="0.3">
      <c r="A230" s="5">
        <v>45340</v>
      </c>
      <c r="B230" s="12">
        <v>1002</v>
      </c>
      <c r="C230" s="12">
        <v>6</v>
      </c>
      <c r="D230" s="2" t="s">
        <v>6</v>
      </c>
      <c r="E230" s="2" t="s">
        <v>8</v>
      </c>
      <c r="F230" s="1">
        <v>325</v>
      </c>
      <c r="G230" s="13">
        <v>808.01161506513108</v>
      </c>
      <c r="H230" s="14" t="b">
        <v>0</v>
      </c>
      <c r="I230" s="15">
        <f t="shared" si="12"/>
        <v>1002</v>
      </c>
      <c r="J230" s="15">
        <f t="shared" si="12"/>
        <v>6</v>
      </c>
      <c r="K230" s="15">
        <f t="shared" si="13"/>
        <v>808</v>
      </c>
      <c r="L230" s="3" t="str">
        <f t="shared" si="14"/>
        <v>Sunday</v>
      </c>
      <c r="M230" s="4" t="str">
        <f t="shared" si="15"/>
        <v>Normal Day</v>
      </c>
      <c r="N230" s="4" t="str">
        <f>TEXT(CleanedData[[#This Row],[DAY]], "mmm yyyy")</f>
        <v>Feb 2024</v>
      </c>
    </row>
    <row r="231" spans="1:14" x14ac:dyDescent="0.3">
      <c r="A231" s="5">
        <v>45340</v>
      </c>
      <c r="B231" s="12">
        <v>5553</v>
      </c>
      <c r="C231" s="12">
        <v>268.5</v>
      </c>
      <c r="D231" s="2" t="s">
        <v>9</v>
      </c>
      <c r="E231" s="2" t="s">
        <v>8</v>
      </c>
      <c r="F231" s="1">
        <v>903</v>
      </c>
      <c r="G231" s="13">
        <v>4852.4091375033222</v>
      </c>
      <c r="H231" s="14" t="b">
        <v>0</v>
      </c>
      <c r="I231" s="15">
        <f t="shared" si="12"/>
        <v>5553</v>
      </c>
      <c r="J231" s="15">
        <f t="shared" si="12"/>
        <v>269</v>
      </c>
      <c r="K231" s="15">
        <f t="shared" si="13"/>
        <v>4852</v>
      </c>
      <c r="L231" s="3" t="str">
        <f t="shared" si="14"/>
        <v>Sunday</v>
      </c>
      <c r="M231" s="4" t="str">
        <f t="shared" si="15"/>
        <v>Normal Day</v>
      </c>
      <c r="N231" s="4" t="str">
        <f>TEXT(CleanedData[[#This Row],[DAY]], "mmm yyyy")</f>
        <v>Feb 2024</v>
      </c>
    </row>
    <row r="232" spans="1:14" x14ac:dyDescent="0.3">
      <c r="A232" s="5">
        <v>45340</v>
      </c>
      <c r="B232" s="12">
        <v>11169</v>
      </c>
      <c r="C232" s="12">
        <v>459</v>
      </c>
      <c r="D232" s="2" t="s">
        <v>10</v>
      </c>
      <c r="E232" s="2" t="s">
        <v>7</v>
      </c>
      <c r="F232" s="1">
        <v>84</v>
      </c>
      <c r="G232" s="13">
        <v>10155.243913200469</v>
      </c>
      <c r="H232" s="14" t="b">
        <v>0</v>
      </c>
      <c r="I232" s="15">
        <f t="shared" si="12"/>
        <v>11169</v>
      </c>
      <c r="J232" s="15">
        <f t="shared" si="12"/>
        <v>459</v>
      </c>
      <c r="K232" s="15">
        <f t="shared" si="13"/>
        <v>10155</v>
      </c>
      <c r="L232" s="3" t="str">
        <f t="shared" si="14"/>
        <v>Sunday</v>
      </c>
      <c r="M232" s="4" t="str">
        <f t="shared" si="15"/>
        <v>Normal Day</v>
      </c>
      <c r="N232" s="4" t="str">
        <f>TEXT(CleanedData[[#This Row],[DAY]], "mmm yyyy")</f>
        <v>Feb 2024</v>
      </c>
    </row>
    <row r="233" spans="1:14" x14ac:dyDescent="0.3">
      <c r="A233" s="5">
        <v>45341</v>
      </c>
      <c r="B233" s="12">
        <v>1.5</v>
      </c>
      <c r="C233" s="12">
        <v>0</v>
      </c>
      <c r="D233" s="2" t="s">
        <v>9</v>
      </c>
      <c r="E233" s="2" t="s">
        <v>7</v>
      </c>
      <c r="F233" s="1">
        <v>1</v>
      </c>
      <c r="G233" s="13">
        <v>1.3790639501627113</v>
      </c>
      <c r="H233" s="14" t="b">
        <v>0</v>
      </c>
      <c r="I233" s="15">
        <f t="shared" si="12"/>
        <v>2</v>
      </c>
      <c r="J233" s="15">
        <f t="shared" si="12"/>
        <v>0</v>
      </c>
      <c r="K233" s="15">
        <f t="shared" si="13"/>
        <v>1</v>
      </c>
      <c r="L233" s="3" t="str">
        <f t="shared" si="14"/>
        <v>Monday</v>
      </c>
      <c r="M233" s="4" t="str">
        <f t="shared" si="15"/>
        <v>Normal Day</v>
      </c>
      <c r="N233" s="4" t="str">
        <f>TEXT(CleanedData[[#This Row],[DAY]], "mmm yyyy")</f>
        <v>Feb 2024</v>
      </c>
    </row>
    <row r="234" spans="1:14" x14ac:dyDescent="0.3">
      <c r="A234" s="5">
        <v>45341</v>
      </c>
      <c r="B234" s="12">
        <v>931.5</v>
      </c>
      <c r="C234" s="12">
        <v>18</v>
      </c>
      <c r="D234" s="2" t="s">
        <v>6</v>
      </c>
      <c r="E234" s="2" t="s">
        <v>8</v>
      </c>
      <c r="F234" s="1">
        <v>494</v>
      </c>
      <c r="G234" s="13">
        <v>767.72996796343978</v>
      </c>
      <c r="H234" s="14" t="b">
        <v>0</v>
      </c>
      <c r="I234" s="15">
        <f t="shared" si="12"/>
        <v>932</v>
      </c>
      <c r="J234" s="15">
        <f t="shared" si="12"/>
        <v>18</v>
      </c>
      <c r="K234" s="15">
        <f t="shared" si="13"/>
        <v>768</v>
      </c>
      <c r="L234" s="3" t="str">
        <f t="shared" si="14"/>
        <v>Monday</v>
      </c>
      <c r="M234" s="4" t="str">
        <f t="shared" si="15"/>
        <v>Normal Day</v>
      </c>
      <c r="N234" s="4" t="str">
        <f>TEXT(CleanedData[[#This Row],[DAY]], "mmm yyyy")</f>
        <v>Feb 2024</v>
      </c>
    </row>
    <row r="235" spans="1:14" x14ac:dyDescent="0.3">
      <c r="A235" s="5">
        <v>45341</v>
      </c>
      <c r="B235" s="12">
        <v>952.5</v>
      </c>
      <c r="C235" s="12">
        <v>18</v>
      </c>
      <c r="D235" s="2" t="s">
        <v>6</v>
      </c>
      <c r="E235" s="2" t="s">
        <v>7</v>
      </c>
      <c r="F235" s="1">
        <v>437</v>
      </c>
      <c r="G235" s="13">
        <v>869.68288144833184</v>
      </c>
      <c r="H235" s="14" t="b">
        <v>0</v>
      </c>
      <c r="I235" s="15">
        <f t="shared" si="12"/>
        <v>953</v>
      </c>
      <c r="J235" s="15">
        <f t="shared" si="12"/>
        <v>18</v>
      </c>
      <c r="K235" s="15">
        <f t="shared" si="13"/>
        <v>870</v>
      </c>
      <c r="L235" s="3" t="str">
        <f t="shared" si="14"/>
        <v>Monday</v>
      </c>
      <c r="M235" s="4" t="str">
        <f t="shared" si="15"/>
        <v>Normal Day</v>
      </c>
      <c r="N235" s="4" t="str">
        <f>TEXT(CleanedData[[#This Row],[DAY]], "mmm yyyy")</f>
        <v>Feb 2024</v>
      </c>
    </row>
    <row r="236" spans="1:14" x14ac:dyDescent="0.3">
      <c r="A236" s="5">
        <v>45341</v>
      </c>
      <c r="B236" s="12">
        <v>7447.5</v>
      </c>
      <c r="C236" s="12">
        <v>403.5</v>
      </c>
      <c r="D236" s="2" t="s">
        <v>10</v>
      </c>
      <c r="E236" s="2" t="s">
        <v>7</v>
      </c>
      <c r="F236" s="1">
        <v>1686</v>
      </c>
      <c r="G236" s="13">
        <v>7306.0333230120395</v>
      </c>
      <c r="H236" s="14" t="b">
        <v>0</v>
      </c>
      <c r="I236" s="15">
        <f t="shared" si="12"/>
        <v>7448</v>
      </c>
      <c r="J236" s="15">
        <f t="shared" si="12"/>
        <v>404</v>
      </c>
      <c r="K236" s="15">
        <f t="shared" si="13"/>
        <v>7306</v>
      </c>
      <c r="L236" s="3" t="str">
        <f t="shared" si="14"/>
        <v>Monday</v>
      </c>
      <c r="M236" s="4" t="str">
        <f t="shared" si="15"/>
        <v>Normal Day</v>
      </c>
      <c r="N236" s="4" t="str">
        <f>TEXT(CleanedData[[#This Row],[DAY]], "mmm yyyy")</f>
        <v>Feb 2024</v>
      </c>
    </row>
    <row r="237" spans="1:14" x14ac:dyDescent="0.3">
      <c r="A237" s="5">
        <v>45341</v>
      </c>
      <c r="B237" s="12">
        <v>9000</v>
      </c>
      <c r="C237" s="12">
        <v>403.5</v>
      </c>
      <c r="D237" s="2" t="s">
        <v>9</v>
      </c>
      <c r="E237" s="2" t="s">
        <v>8</v>
      </c>
      <c r="F237" s="1">
        <v>5621</v>
      </c>
      <c r="G237" s="13">
        <v>7594.0460615271377</v>
      </c>
      <c r="H237" s="14" t="b">
        <v>0</v>
      </c>
      <c r="I237" s="15">
        <f t="shared" si="12"/>
        <v>9000</v>
      </c>
      <c r="J237" s="15">
        <f t="shared" si="12"/>
        <v>404</v>
      </c>
      <c r="K237" s="15">
        <f t="shared" si="13"/>
        <v>7594</v>
      </c>
      <c r="L237" s="3" t="str">
        <f t="shared" si="14"/>
        <v>Monday</v>
      </c>
      <c r="M237" s="4" t="str">
        <f t="shared" si="15"/>
        <v>Normal Day</v>
      </c>
      <c r="N237" s="4" t="str">
        <f>TEXT(CleanedData[[#This Row],[DAY]], "mmm yyyy")</f>
        <v>Feb 2024</v>
      </c>
    </row>
    <row r="238" spans="1:14" x14ac:dyDescent="0.3">
      <c r="A238" s="5">
        <v>45342</v>
      </c>
      <c r="B238" s="12">
        <v>342</v>
      </c>
      <c r="C238" s="12">
        <v>12</v>
      </c>
      <c r="D238" s="2" t="s">
        <v>6</v>
      </c>
      <c r="E238" s="2" t="s">
        <v>7</v>
      </c>
      <c r="F238" s="1">
        <v>81</v>
      </c>
      <c r="G238" s="13">
        <v>324.96033481098419</v>
      </c>
      <c r="H238" s="14" t="b">
        <v>0</v>
      </c>
      <c r="I238" s="15">
        <f t="shared" si="12"/>
        <v>342</v>
      </c>
      <c r="J238" s="15">
        <f t="shared" si="12"/>
        <v>12</v>
      </c>
      <c r="K238" s="15">
        <f t="shared" si="13"/>
        <v>325</v>
      </c>
      <c r="L238" s="3" t="str">
        <f t="shared" si="14"/>
        <v>Tuesday</v>
      </c>
      <c r="M238" s="4" t="str">
        <f t="shared" si="15"/>
        <v>Normal Day</v>
      </c>
      <c r="N238" s="4" t="str">
        <f>TEXT(CleanedData[[#This Row],[DAY]], "mmm yyyy")</f>
        <v>Feb 2024</v>
      </c>
    </row>
    <row r="239" spans="1:14" x14ac:dyDescent="0.3">
      <c r="A239" s="5">
        <v>45342</v>
      </c>
      <c r="B239" s="12">
        <v>532.5</v>
      </c>
      <c r="C239" s="12">
        <v>12</v>
      </c>
      <c r="D239" s="2" t="s">
        <v>6</v>
      </c>
      <c r="E239" s="2" t="s">
        <v>8</v>
      </c>
      <c r="F239" s="1">
        <v>172</v>
      </c>
      <c r="G239" s="13">
        <v>479.92131972749968</v>
      </c>
      <c r="H239" s="14" t="b">
        <v>0</v>
      </c>
      <c r="I239" s="15">
        <f t="shared" si="12"/>
        <v>533</v>
      </c>
      <c r="J239" s="15">
        <f t="shared" si="12"/>
        <v>12</v>
      </c>
      <c r="K239" s="15">
        <f t="shared" si="13"/>
        <v>480</v>
      </c>
      <c r="L239" s="3" t="str">
        <f t="shared" si="14"/>
        <v>Tuesday</v>
      </c>
      <c r="M239" s="4" t="str">
        <f t="shared" si="15"/>
        <v>Normal Day</v>
      </c>
      <c r="N239" s="4" t="str">
        <f>TEXT(CleanedData[[#This Row],[DAY]], "mmm yyyy")</f>
        <v>Feb 2024</v>
      </c>
    </row>
    <row r="240" spans="1:14" x14ac:dyDescent="0.3">
      <c r="A240" s="5">
        <v>45342</v>
      </c>
      <c r="B240" s="12">
        <v>6333</v>
      </c>
      <c r="C240" s="12">
        <v>190.5</v>
      </c>
      <c r="D240" s="2" t="s">
        <v>9</v>
      </c>
      <c r="E240" s="2" t="s">
        <v>8</v>
      </c>
      <c r="F240" s="1">
        <v>989</v>
      </c>
      <c r="G240" s="13">
        <v>5409.1418542329211</v>
      </c>
      <c r="H240" s="14" t="b">
        <v>0</v>
      </c>
      <c r="I240" s="15">
        <f t="shared" si="12"/>
        <v>6333</v>
      </c>
      <c r="J240" s="15">
        <f t="shared" si="12"/>
        <v>191</v>
      </c>
      <c r="K240" s="15">
        <f t="shared" si="13"/>
        <v>5409</v>
      </c>
      <c r="L240" s="3" t="str">
        <f t="shared" si="14"/>
        <v>Tuesday</v>
      </c>
      <c r="M240" s="4" t="str">
        <f t="shared" si="15"/>
        <v>Normal Day</v>
      </c>
      <c r="N240" s="4" t="str">
        <f>TEXT(CleanedData[[#This Row],[DAY]], "mmm yyyy")</f>
        <v>Feb 2024</v>
      </c>
    </row>
    <row r="241" spans="1:14" x14ac:dyDescent="0.3">
      <c r="A241" s="5">
        <v>45342</v>
      </c>
      <c r="B241" s="12">
        <v>7659</v>
      </c>
      <c r="C241" s="12">
        <v>25.5</v>
      </c>
      <c r="D241" s="2" t="s">
        <v>10</v>
      </c>
      <c r="E241" s="2" t="s">
        <v>7</v>
      </c>
      <c r="F241" s="1">
        <v>408</v>
      </c>
      <c r="G241" s="13">
        <v>6716.5989962908025</v>
      </c>
      <c r="H241" s="14" t="b">
        <v>1</v>
      </c>
      <c r="I241" s="15">
        <f t="shared" si="12"/>
        <v>7659</v>
      </c>
      <c r="J241" s="15">
        <f t="shared" si="12"/>
        <v>26</v>
      </c>
      <c r="K241" s="15">
        <f t="shared" si="13"/>
        <v>6717</v>
      </c>
      <c r="L241" s="3" t="str">
        <f t="shared" si="14"/>
        <v>Tuesday</v>
      </c>
      <c r="M241" s="4" t="str">
        <f t="shared" si="15"/>
        <v>Outage Day</v>
      </c>
      <c r="N241" s="4" t="str">
        <f>TEXT(CleanedData[[#This Row],[DAY]], "mmm yyyy")</f>
        <v>Feb 2024</v>
      </c>
    </row>
    <row r="242" spans="1:14" x14ac:dyDescent="0.3">
      <c r="A242" s="5">
        <v>45343</v>
      </c>
      <c r="B242" s="12">
        <v>108</v>
      </c>
      <c r="C242" s="12">
        <v>1.5</v>
      </c>
      <c r="D242" s="2" t="s">
        <v>6</v>
      </c>
      <c r="E242" s="2" t="s">
        <v>7</v>
      </c>
      <c r="F242" s="1">
        <v>16</v>
      </c>
      <c r="G242" s="13">
        <v>98.010890718121559</v>
      </c>
      <c r="H242" s="14" t="b">
        <v>0</v>
      </c>
      <c r="I242" s="15">
        <f t="shared" si="12"/>
        <v>108</v>
      </c>
      <c r="J242" s="15">
        <f t="shared" si="12"/>
        <v>2</v>
      </c>
      <c r="K242" s="15">
        <f t="shared" si="13"/>
        <v>98</v>
      </c>
      <c r="L242" s="3" t="str">
        <f t="shared" si="14"/>
        <v>Wednesday</v>
      </c>
      <c r="M242" s="4" t="str">
        <f t="shared" si="15"/>
        <v>Normal Day</v>
      </c>
      <c r="N242" s="4" t="str">
        <f>TEXT(CleanedData[[#This Row],[DAY]], "mmm yyyy")</f>
        <v>Feb 2024</v>
      </c>
    </row>
    <row r="243" spans="1:14" x14ac:dyDescent="0.3">
      <c r="A243" s="5">
        <v>45343</v>
      </c>
      <c r="B243" s="12">
        <v>373.5</v>
      </c>
      <c r="C243" s="12">
        <v>1.5</v>
      </c>
      <c r="D243" s="2" t="s">
        <v>6</v>
      </c>
      <c r="E243" s="2" t="s">
        <v>8</v>
      </c>
      <c r="F243" s="1">
        <v>36</v>
      </c>
      <c r="G243" s="13">
        <v>322.7842055893654</v>
      </c>
      <c r="H243" s="14" t="b">
        <v>0</v>
      </c>
      <c r="I243" s="15">
        <f t="shared" si="12"/>
        <v>374</v>
      </c>
      <c r="J243" s="15">
        <f t="shared" si="12"/>
        <v>2</v>
      </c>
      <c r="K243" s="15">
        <f t="shared" si="13"/>
        <v>323</v>
      </c>
      <c r="L243" s="3" t="str">
        <f t="shared" si="14"/>
        <v>Wednesday</v>
      </c>
      <c r="M243" s="4" t="str">
        <f t="shared" si="15"/>
        <v>Normal Day</v>
      </c>
      <c r="N243" s="4" t="str">
        <f>TEXT(CleanedData[[#This Row],[DAY]], "mmm yyyy")</f>
        <v>Feb 2024</v>
      </c>
    </row>
    <row r="244" spans="1:14" x14ac:dyDescent="0.3">
      <c r="A244" s="5">
        <v>45343</v>
      </c>
      <c r="B244" s="12">
        <v>8925</v>
      </c>
      <c r="C244" s="12">
        <v>321</v>
      </c>
      <c r="D244" s="2" t="s">
        <v>9</v>
      </c>
      <c r="E244" s="2" t="s">
        <v>8</v>
      </c>
      <c r="F244" s="1">
        <v>4966</v>
      </c>
      <c r="G244" s="13">
        <v>8182.6307247254717</v>
      </c>
      <c r="H244" s="14" t="b">
        <v>0</v>
      </c>
      <c r="I244" s="15">
        <f t="shared" si="12"/>
        <v>8925</v>
      </c>
      <c r="J244" s="15">
        <f t="shared" si="12"/>
        <v>321</v>
      </c>
      <c r="K244" s="15">
        <f t="shared" si="13"/>
        <v>8183</v>
      </c>
      <c r="L244" s="3" t="str">
        <f t="shared" si="14"/>
        <v>Wednesday</v>
      </c>
      <c r="M244" s="4" t="str">
        <f t="shared" si="15"/>
        <v>Normal Day</v>
      </c>
      <c r="N244" s="4" t="str">
        <f>TEXT(CleanedData[[#This Row],[DAY]], "mmm yyyy")</f>
        <v>Feb 2024</v>
      </c>
    </row>
    <row r="245" spans="1:14" x14ac:dyDescent="0.3">
      <c r="A245" s="5">
        <v>45343</v>
      </c>
      <c r="B245" s="12">
        <v>9186</v>
      </c>
      <c r="C245" s="12">
        <v>60</v>
      </c>
      <c r="D245" s="2" t="s">
        <v>10</v>
      </c>
      <c r="E245" s="2" t="s">
        <v>7</v>
      </c>
      <c r="F245" s="1">
        <v>229</v>
      </c>
      <c r="G245" s="13">
        <v>8049.6160472721567</v>
      </c>
      <c r="H245" s="14" t="b">
        <v>0</v>
      </c>
      <c r="I245" s="15">
        <f t="shared" si="12"/>
        <v>9186</v>
      </c>
      <c r="J245" s="15">
        <f t="shared" si="12"/>
        <v>60</v>
      </c>
      <c r="K245" s="15">
        <f t="shared" si="13"/>
        <v>8050</v>
      </c>
      <c r="L245" s="3" t="str">
        <f t="shared" si="14"/>
        <v>Wednesday</v>
      </c>
      <c r="M245" s="4" t="str">
        <f t="shared" si="15"/>
        <v>Normal Day</v>
      </c>
      <c r="N245" s="4" t="str">
        <f>TEXT(CleanedData[[#This Row],[DAY]], "mmm yyyy")</f>
        <v>Feb 2024</v>
      </c>
    </row>
    <row r="246" spans="1:14" x14ac:dyDescent="0.3">
      <c r="A246" s="5">
        <v>45344</v>
      </c>
      <c r="B246" s="12">
        <v>465</v>
      </c>
      <c r="C246" s="12">
        <v>7.5</v>
      </c>
      <c r="D246" s="2" t="s">
        <v>6</v>
      </c>
      <c r="E246" s="2" t="s">
        <v>7</v>
      </c>
      <c r="F246" s="1">
        <v>72</v>
      </c>
      <c r="G246" s="13">
        <v>426.99571561222587</v>
      </c>
      <c r="H246" s="14" t="b">
        <v>0</v>
      </c>
      <c r="I246" s="15">
        <f t="shared" si="12"/>
        <v>465</v>
      </c>
      <c r="J246" s="15">
        <f t="shared" si="12"/>
        <v>8</v>
      </c>
      <c r="K246" s="15">
        <f t="shared" si="13"/>
        <v>427</v>
      </c>
      <c r="L246" s="3" t="str">
        <f t="shared" si="14"/>
        <v>Thursday</v>
      </c>
      <c r="M246" s="4" t="str">
        <f t="shared" si="15"/>
        <v>Normal Day</v>
      </c>
      <c r="N246" s="4" t="str">
        <f>TEXT(CleanedData[[#This Row],[DAY]], "mmm yyyy")</f>
        <v>Feb 2024</v>
      </c>
    </row>
    <row r="247" spans="1:14" x14ac:dyDescent="0.3">
      <c r="A247" s="5">
        <v>45344</v>
      </c>
      <c r="B247" s="12">
        <v>1194</v>
      </c>
      <c r="C247" s="12">
        <v>7.5</v>
      </c>
      <c r="D247" s="2" t="s">
        <v>6</v>
      </c>
      <c r="E247" s="2" t="s">
        <v>8</v>
      </c>
      <c r="F247" s="1">
        <v>697</v>
      </c>
      <c r="G247" s="13">
        <v>1059.7345061214239</v>
      </c>
      <c r="H247" s="14" t="b">
        <v>0</v>
      </c>
      <c r="I247" s="15">
        <f t="shared" si="12"/>
        <v>1194</v>
      </c>
      <c r="J247" s="15">
        <f t="shared" si="12"/>
        <v>8</v>
      </c>
      <c r="K247" s="15">
        <f t="shared" si="13"/>
        <v>1060</v>
      </c>
      <c r="L247" s="3" t="str">
        <f t="shared" si="14"/>
        <v>Thursday</v>
      </c>
      <c r="M247" s="4" t="str">
        <f t="shared" si="15"/>
        <v>Normal Day</v>
      </c>
      <c r="N247" s="4" t="str">
        <f>TEXT(CleanedData[[#This Row],[DAY]], "mmm yyyy")</f>
        <v>Feb 2024</v>
      </c>
    </row>
    <row r="248" spans="1:14" x14ac:dyDescent="0.3">
      <c r="A248" s="5">
        <v>45344</v>
      </c>
      <c r="B248" s="12">
        <v>8634</v>
      </c>
      <c r="C248" s="12">
        <v>109.5</v>
      </c>
      <c r="D248" s="2" t="s">
        <v>10</v>
      </c>
      <c r="E248" s="2" t="s">
        <v>7</v>
      </c>
      <c r="F248" s="1">
        <v>5421</v>
      </c>
      <c r="G248" s="13">
        <v>7952.5459408903935</v>
      </c>
      <c r="H248" s="14" t="b">
        <v>0</v>
      </c>
      <c r="I248" s="15">
        <f t="shared" si="12"/>
        <v>8634</v>
      </c>
      <c r="J248" s="15">
        <f t="shared" si="12"/>
        <v>110</v>
      </c>
      <c r="K248" s="15">
        <f t="shared" si="13"/>
        <v>7953</v>
      </c>
      <c r="L248" s="3" t="str">
        <f t="shared" si="14"/>
        <v>Thursday</v>
      </c>
      <c r="M248" s="4" t="str">
        <f t="shared" si="15"/>
        <v>Normal Day</v>
      </c>
      <c r="N248" s="4" t="str">
        <f>TEXT(CleanedData[[#This Row],[DAY]], "mmm yyyy")</f>
        <v>Feb 2024</v>
      </c>
    </row>
    <row r="249" spans="1:14" x14ac:dyDescent="0.3">
      <c r="A249" s="5">
        <v>45344</v>
      </c>
      <c r="B249" s="12">
        <v>9001.5</v>
      </c>
      <c r="C249" s="12">
        <v>330</v>
      </c>
      <c r="D249" s="2" t="s">
        <v>9</v>
      </c>
      <c r="E249" s="2" t="s">
        <v>8</v>
      </c>
      <c r="F249" s="1">
        <v>2295</v>
      </c>
      <c r="G249" s="13">
        <v>8244.5367326510222</v>
      </c>
      <c r="H249" s="14" t="b">
        <v>0</v>
      </c>
      <c r="I249" s="15">
        <f t="shared" si="12"/>
        <v>9002</v>
      </c>
      <c r="J249" s="15">
        <f t="shared" si="12"/>
        <v>330</v>
      </c>
      <c r="K249" s="15">
        <f t="shared" si="13"/>
        <v>8245</v>
      </c>
      <c r="L249" s="3" t="str">
        <f t="shared" si="14"/>
        <v>Thursday</v>
      </c>
      <c r="M249" s="4" t="str">
        <f t="shared" si="15"/>
        <v>Normal Day</v>
      </c>
      <c r="N249" s="4" t="str">
        <f>TEXT(CleanedData[[#This Row],[DAY]], "mmm yyyy")</f>
        <v>Feb 2024</v>
      </c>
    </row>
    <row r="250" spans="1:14" x14ac:dyDescent="0.3">
      <c r="A250" s="5">
        <v>45345</v>
      </c>
      <c r="B250" s="12">
        <v>1.5</v>
      </c>
      <c r="C250" s="12">
        <v>1.5</v>
      </c>
      <c r="D250" s="2" t="s">
        <v>10</v>
      </c>
      <c r="E250" s="2" t="s">
        <v>8</v>
      </c>
      <c r="F250" s="1">
        <v>1</v>
      </c>
      <c r="G250" s="13">
        <v>2.5322432418569041</v>
      </c>
      <c r="H250" s="14" t="b">
        <v>0</v>
      </c>
      <c r="I250" s="15">
        <f t="shared" si="12"/>
        <v>2</v>
      </c>
      <c r="J250" s="15">
        <f t="shared" si="12"/>
        <v>2</v>
      </c>
      <c r="K250" s="15">
        <f t="shared" si="13"/>
        <v>3</v>
      </c>
      <c r="L250" s="3" t="str">
        <f t="shared" si="14"/>
        <v>Friday</v>
      </c>
      <c r="M250" s="4" t="str">
        <f t="shared" si="15"/>
        <v>Normal Day</v>
      </c>
      <c r="N250" s="4" t="str">
        <f>TEXT(CleanedData[[#This Row],[DAY]], "mmm yyyy")</f>
        <v>Feb 2024</v>
      </c>
    </row>
    <row r="251" spans="1:14" x14ac:dyDescent="0.3">
      <c r="A251" s="5">
        <v>45345</v>
      </c>
      <c r="B251" s="12">
        <v>1.5</v>
      </c>
      <c r="C251" s="12">
        <v>0</v>
      </c>
      <c r="D251" s="2" t="s">
        <v>9</v>
      </c>
      <c r="E251" s="2" t="s">
        <v>7</v>
      </c>
      <c r="F251" s="1">
        <v>1</v>
      </c>
      <c r="G251" s="13">
        <v>1.4041791063382156</v>
      </c>
      <c r="H251" s="14" t="b">
        <v>0</v>
      </c>
      <c r="I251" s="15">
        <f t="shared" si="12"/>
        <v>2</v>
      </c>
      <c r="J251" s="15">
        <f t="shared" si="12"/>
        <v>0</v>
      </c>
      <c r="K251" s="15">
        <f t="shared" si="13"/>
        <v>1</v>
      </c>
      <c r="L251" s="3" t="str">
        <f t="shared" si="14"/>
        <v>Friday</v>
      </c>
      <c r="M251" s="4" t="str">
        <f t="shared" si="15"/>
        <v>Normal Day</v>
      </c>
      <c r="N251" s="4" t="str">
        <f>TEXT(CleanedData[[#This Row],[DAY]], "mmm yyyy")</f>
        <v>Feb 2024</v>
      </c>
    </row>
    <row r="252" spans="1:14" x14ac:dyDescent="0.3">
      <c r="A252" s="5">
        <v>45345</v>
      </c>
      <c r="B252" s="12">
        <v>340.5</v>
      </c>
      <c r="C252" s="12">
        <v>25.5</v>
      </c>
      <c r="D252" s="2" t="s">
        <v>6</v>
      </c>
      <c r="E252" s="2" t="s">
        <v>8</v>
      </c>
      <c r="F252" s="1">
        <v>178</v>
      </c>
      <c r="G252" s="13">
        <v>296.3935672731717</v>
      </c>
      <c r="H252" s="14" t="b">
        <v>0</v>
      </c>
      <c r="I252" s="15">
        <f t="shared" si="12"/>
        <v>341</v>
      </c>
      <c r="J252" s="15">
        <f t="shared" si="12"/>
        <v>26</v>
      </c>
      <c r="K252" s="15">
        <f t="shared" si="13"/>
        <v>296</v>
      </c>
      <c r="L252" s="3" t="str">
        <f t="shared" si="14"/>
        <v>Friday</v>
      </c>
      <c r="M252" s="4" t="str">
        <f t="shared" si="15"/>
        <v>Normal Day</v>
      </c>
      <c r="N252" s="4" t="str">
        <f>TEXT(CleanedData[[#This Row],[DAY]], "mmm yyyy")</f>
        <v>Feb 2024</v>
      </c>
    </row>
    <row r="253" spans="1:14" x14ac:dyDescent="0.3">
      <c r="A253" s="5">
        <v>45345</v>
      </c>
      <c r="B253" s="12">
        <v>868.5</v>
      </c>
      <c r="C253" s="12">
        <v>25.5</v>
      </c>
      <c r="D253" s="2" t="s">
        <v>6</v>
      </c>
      <c r="E253" s="2" t="s">
        <v>7</v>
      </c>
      <c r="F253" s="1">
        <v>47</v>
      </c>
      <c r="G253" s="13">
        <v>808.30422550529488</v>
      </c>
      <c r="H253" s="14" t="b">
        <v>0</v>
      </c>
      <c r="I253" s="15">
        <f t="shared" si="12"/>
        <v>869</v>
      </c>
      <c r="J253" s="15">
        <f t="shared" si="12"/>
        <v>26</v>
      </c>
      <c r="K253" s="15">
        <f t="shared" si="13"/>
        <v>808</v>
      </c>
      <c r="L253" s="3" t="str">
        <f t="shared" si="14"/>
        <v>Friday</v>
      </c>
      <c r="M253" s="4" t="str">
        <f t="shared" si="15"/>
        <v>Normal Day</v>
      </c>
      <c r="N253" s="4" t="str">
        <f>TEXT(CleanedData[[#This Row],[DAY]], "mmm yyyy")</f>
        <v>Feb 2024</v>
      </c>
    </row>
    <row r="254" spans="1:14" x14ac:dyDescent="0.3">
      <c r="A254" s="5">
        <v>45345</v>
      </c>
      <c r="B254" s="12">
        <v>10131</v>
      </c>
      <c r="C254" s="12">
        <v>21</v>
      </c>
      <c r="D254" s="2" t="s">
        <v>10</v>
      </c>
      <c r="E254" s="2" t="s">
        <v>7</v>
      </c>
      <c r="F254" s="1">
        <v>6578</v>
      </c>
      <c r="G254" s="13">
        <v>8895.7011307557004</v>
      </c>
      <c r="H254" s="14" t="b">
        <v>0</v>
      </c>
      <c r="I254" s="15">
        <f t="shared" si="12"/>
        <v>10131</v>
      </c>
      <c r="J254" s="15">
        <f t="shared" si="12"/>
        <v>21</v>
      </c>
      <c r="K254" s="15">
        <f t="shared" si="13"/>
        <v>8896</v>
      </c>
      <c r="L254" s="3" t="str">
        <f t="shared" si="14"/>
        <v>Friday</v>
      </c>
      <c r="M254" s="4" t="str">
        <f t="shared" si="15"/>
        <v>Normal Day</v>
      </c>
      <c r="N254" s="4" t="str">
        <f>TEXT(CleanedData[[#This Row],[DAY]], "mmm yyyy")</f>
        <v>Feb 2024</v>
      </c>
    </row>
    <row r="255" spans="1:14" x14ac:dyDescent="0.3">
      <c r="A255" s="5">
        <v>45345</v>
      </c>
      <c r="B255" s="12">
        <v>11245.5</v>
      </c>
      <c r="C255" s="12">
        <v>484.5</v>
      </c>
      <c r="D255" s="2" t="s">
        <v>9</v>
      </c>
      <c r="E255" s="2" t="s">
        <v>8</v>
      </c>
      <c r="F255" s="1">
        <v>3007</v>
      </c>
      <c r="G255" s="13">
        <v>9390.1124264847294</v>
      </c>
      <c r="H255" s="14" t="b">
        <v>1</v>
      </c>
      <c r="I255" s="15">
        <f t="shared" si="12"/>
        <v>11246</v>
      </c>
      <c r="J255" s="15">
        <f t="shared" si="12"/>
        <v>485</v>
      </c>
      <c r="K255" s="15">
        <f t="shared" si="13"/>
        <v>9390</v>
      </c>
      <c r="L255" s="3" t="str">
        <f t="shared" si="14"/>
        <v>Friday</v>
      </c>
      <c r="M255" s="4" t="str">
        <f t="shared" si="15"/>
        <v>Outage Day</v>
      </c>
      <c r="N255" s="4" t="str">
        <f>TEXT(CleanedData[[#This Row],[DAY]], "mmm yyyy")</f>
        <v>Feb 2024</v>
      </c>
    </row>
    <row r="256" spans="1:14" x14ac:dyDescent="0.3">
      <c r="A256" s="5">
        <v>45346</v>
      </c>
      <c r="B256" s="12">
        <v>709.5</v>
      </c>
      <c r="C256" s="12">
        <v>129</v>
      </c>
      <c r="D256" s="2" t="s">
        <v>6</v>
      </c>
      <c r="E256" s="2" t="s">
        <v>8</v>
      </c>
      <c r="F256" s="1">
        <v>469</v>
      </c>
      <c r="G256" s="13">
        <v>717.25193159370292</v>
      </c>
      <c r="H256" s="14" t="b">
        <v>0</v>
      </c>
      <c r="I256" s="15">
        <f t="shared" si="12"/>
        <v>710</v>
      </c>
      <c r="J256" s="15">
        <f t="shared" si="12"/>
        <v>129</v>
      </c>
      <c r="K256" s="15">
        <f t="shared" si="13"/>
        <v>717</v>
      </c>
      <c r="L256" s="3" t="str">
        <f t="shared" si="14"/>
        <v>Saturday</v>
      </c>
      <c r="M256" s="4" t="str">
        <f t="shared" si="15"/>
        <v>Normal Day</v>
      </c>
      <c r="N256" s="4" t="str">
        <f>TEXT(CleanedData[[#This Row],[DAY]], "mmm yyyy")</f>
        <v>Feb 2024</v>
      </c>
    </row>
    <row r="257" spans="1:14" x14ac:dyDescent="0.3">
      <c r="A257" s="5">
        <v>45346</v>
      </c>
      <c r="B257" s="12">
        <v>2095.5</v>
      </c>
      <c r="C257" s="12">
        <v>129</v>
      </c>
      <c r="D257" s="2" t="s">
        <v>6</v>
      </c>
      <c r="E257" s="2" t="s">
        <v>7</v>
      </c>
      <c r="F257" s="1">
        <v>151</v>
      </c>
      <c r="G257" s="13">
        <v>2088.1822103776458</v>
      </c>
      <c r="H257" s="14" t="b">
        <v>0</v>
      </c>
      <c r="I257" s="15">
        <f t="shared" si="12"/>
        <v>2096</v>
      </c>
      <c r="J257" s="15">
        <f t="shared" si="12"/>
        <v>129</v>
      </c>
      <c r="K257" s="15">
        <f t="shared" si="13"/>
        <v>2088</v>
      </c>
      <c r="L257" s="3" t="str">
        <f t="shared" si="14"/>
        <v>Saturday</v>
      </c>
      <c r="M257" s="4" t="str">
        <f t="shared" si="15"/>
        <v>Normal Day</v>
      </c>
      <c r="N257" s="4" t="str">
        <f>TEXT(CleanedData[[#This Row],[DAY]], "mmm yyyy")</f>
        <v>Feb 2024</v>
      </c>
    </row>
    <row r="258" spans="1:14" x14ac:dyDescent="0.3">
      <c r="A258" s="5">
        <v>45346</v>
      </c>
      <c r="B258" s="12">
        <v>4890</v>
      </c>
      <c r="C258" s="12">
        <v>18</v>
      </c>
      <c r="D258" s="2" t="s">
        <v>9</v>
      </c>
      <c r="E258" s="2" t="s">
        <v>8</v>
      </c>
      <c r="F258" s="1">
        <v>1744</v>
      </c>
      <c r="G258" s="13">
        <v>3958.2952717038997</v>
      </c>
      <c r="H258" s="14" t="b">
        <v>1</v>
      </c>
      <c r="I258" s="15">
        <f t="shared" ref="I258:J321" si="16">ROUND(B258, 0)</f>
        <v>4890</v>
      </c>
      <c r="J258" s="15">
        <f t="shared" si="16"/>
        <v>18</v>
      </c>
      <c r="K258" s="15">
        <f t="shared" ref="K258:K321" si="17">ROUND(G258, 0)</f>
        <v>3958</v>
      </c>
      <c r="L258" s="3" t="str">
        <f t="shared" si="14"/>
        <v>Saturday</v>
      </c>
      <c r="M258" s="4" t="str">
        <f t="shared" si="15"/>
        <v>Outage Day</v>
      </c>
      <c r="N258" s="4" t="str">
        <f>TEXT(CleanedData[[#This Row],[DAY]], "mmm yyyy")</f>
        <v>Feb 2024</v>
      </c>
    </row>
    <row r="259" spans="1:14" x14ac:dyDescent="0.3">
      <c r="A259" s="5">
        <v>45346</v>
      </c>
      <c r="B259" s="12">
        <v>9846</v>
      </c>
      <c r="C259" s="12">
        <v>354</v>
      </c>
      <c r="D259" s="2" t="s">
        <v>10</v>
      </c>
      <c r="E259" s="2" t="s">
        <v>7</v>
      </c>
      <c r="F259" s="1">
        <v>3998</v>
      </c>
      <c r="G259" s="13">
        <v>9212.042541075487</v>
      </c>
      <c r="H259" s="14" t="b">
        <v>0</v>
      </c>
      <c r="I259" s="15">
        <f t="shared" si="16"/>
        <v>9846</v>
      </c>
      <c r="J259" s="15">
        <f t="shared" si="16"/>
        <v>354</v>
      </c>
      <c r="K259" s="15">
        <f t="shared" si="17"/>
        <v>9212</v>
      </c>
      <c r="L259" s="3" t="str">
        <f t="shared" ref="L259:L322" si="18">TEXT(A259,"dddd")</f>
        <v>Saturday</v>
      </c>
      <c r="M259" s="4" t="str">
        <f t="shared" ref="M259:M322" si="19">IF(H259=TRUE, "Outage Day", "Normal Day")</f>
        <v>Normal Day</v>
      </c>
      <c r="N259" s="4" t="str">
        <f>TEXT(CleanedData[[#This Row],[DAY]], "mmm yyyy")</f>
        <v>Feb 2024</v>
      </c>
    </row>
    <row r="260" spans="1:14" x14ac:dyDescent="0.3">
      <c r="A260" s="5">
        <v>45347</v>
      </c>
      <c r="B260" s="12">
        <v>883.5</v>
      </c>
      <c r="C260" s="12">
        <v>163.5</v>
      </c>
      <c r="D260" s="2" t="s">
        <v>6</v>
      </c>
      <c r="E260" s="2" t="s">
        <v>8</v>
      </c>
      <c r="F260" s="1">
        <v>51</v>
      </c>
      <c r="G260" s="13">
        <v>893.42634896607524</v>
      </c>
      <c r="H260" s="14" t="b">
        <v>0</v>
      </c>
      <c r="I260" s="15">
        <f t="shared" si="16"/>
        <v>884</v>
      </c>
      <c r="J260" s="15">
        <f t="shared" si="16"/>
        <v>164</v>
      </c>
      <c r="K260" s="15">
        <f t="shared" si="17"/>
        <v>893</v>
      </c>
      <c r="L260" s="3" t="str">
        <f t="shared" si="18"/>
        <v>Sunday</v>
      </c>
      <c r="M260" s="4" t="str">
        <f t="shared" si="19"/>
        <v>Normal Day</v>
      </c>
      <c r="N260" s="4" t="str">
        <f>TEXT(CleanedData[[#This Row],[DAY]], "mmm yyyy")</f>
        <v>Feb 2024</v>
      </c>
    </row>
    <row r="261" spans="1:14" x14ac:dyDescent="0.3">
      <c r="A261" s="5">
        <v>45347</v>
      </c>
      <c r="B261" s="12">
        <v>2601</v>
      </c>
      <c r="C261" s="12">
        <v>163.5</v>
      </c>
      <c r="D261" s="2" t="s">
        <v>6</v>
      </c>
      <c r="E261" s="2" t="s">
        <v>7</v>
      </c>
      <c r="F261" s="1">
        <v>327</v>
      </c>
      <c r="G261" s="13">
        <v>2532.6151742191278</v>
      </c>
      <c r="H261" s="14" t="b">
        <v>0</v>
      </c>
      <c r="I261" s="15">
        <f t="shared" si="16"/>
        <v>2601</v>
      </c>
      <c r="J261" s="15">
        <f t="shared" si="16"/>
        <v>164</v>
      </c>
      <c r="K261" s="15">
        <f t="shared" si="17"/>
        <v>2533</v>
      </c>
      <c r="L261" s="3" t="str">
        <f t="shared" si="18"/>
        <v>Sunday</v>
      </c>
      <c r="M261" s="4" t="str">
        <f t="shared" si="19"/>
        <v>Normal Day</v>
      </c>
      <c r="N261" s="4" t="str">
        <f>TEXT(CleanedData[[#This Row],[DAY]], "mmm yyyy")</f>
        <v>Feb 2024</v>
      </c>
    </row>
    <row r="262" spans="1:14" x14ac:dyDescent="0.3">
      <c r="A262" s="5">
        <v>45347</v>
      </c>
      <c r="B262" s="12">
        <v>5760</v>
      </c>
      <c r="C262" s="12">
        <v>186</v>
      </c>
      <c r="D262" s="2" t="s">
        <v>9</v>
      </c>
      <c r="E262" s="2" t="s">
        <v>8</v>
      </c>
      <c r="F262" s="1">
        <v>1711</v>
      </c>
      <c r="G262" s="13">
        <v>5037.3619904054913</v>
      </c>
      <c r="H262" s="14" t="b">
        <v>0</v>
      </c>
      <c r="I262" s="15">
        <f t="shared" si="16"/>
        <v>5760</v>
      </c>
      <c r="J262" s="15">
        <f t="shared" si="16"/>
        <v>186</v>
      </c>
      <c r="K262" s="15">
        <f t="shared" si="17"/>
        <v>5037</v>
      </c>
      <c r="L262" s="3" t="str">
        <f t="shared" si="18"/>
        <v>Sunday</v>
      </c>
      <c r="M262" s="4" t="str">
        <f t="shared" si="19"/>
        <v>Normal Day</v>
      </c>
      <c r="N262" s="4" t="str">
        <f>TEXT(CleanedData[[#This Row],[DAY]], "mmm yyyy")</f>
        <v>Feb 2024</v>
      </c>
    </row>
    <row r="263" spans="1:14" x14ac:dyDescent="0.3">
      <c r="A263" s="5">
        <v>45347</v>
      </c>
      <c r="B263" s="12">
        <v>7254</v>
      </c>
      <c r="C263" s="12">
        <v>376.5</v>
      </c>
      <c r="D263" s="2" t="s">
        <v>10</v>
      </c>
      <c r="E263" s="2" t="s">
        <v>7</v>
      </c>
      <c r="F263" s="1">
        <v>548</v>
      </c>
      <c r="G263" s="13">
        <v>6710.3885434697713</v>
      </c>
      <c r="H263" s="14" t="b">
        <v>0</v>
      </c>
      <c r="I263" s="15">
        <f t="shared" si="16"/>
        <v>7254</v>
      </c>
      <c r="J263" s="15">
        <f t="shared" si="16"/>
        <v>377</v>
      </c>
      <c r="K263" s="15">
        <f t="shared" si="17"/>
        <v>6710</v>
      </c>
      <c r="L263" s="3" t="str">
        <f t="shared" si="18"/>
        <v>Sunday</v>
      </c>
      <c r="M263" s="4" t="str">
        <f t="shared" si="19"/>
        <v>Normal Day</v>
      </c>
      <c r="N263" s="4" t="str">
        <f>TEXT(CleanedData[[#This Row],[DAY]], "mmm yyyy")</f>
        <v>Feb 2024</v>
      </c>
    </row>
    <row r="264" spans="1:14" x14ac:dyDescent="0.3">
      <c r="A264" s="5">
        <v>45348</v>
      </c>
      <c r="B264" s="12">
        <v>3</v>
      </c>
      <c r="C264" s="12">
        <v>1.5</v>
      </c>
      <c r="D264" s="2" t="s">
        <v>10</v>
      </c>
      <c r="E264" s="2" t="s">
        <v>8</v>
      </c>
      <c r="F264" s="1">
        <v>2</v>
      </c>
      <c r="G264" s="13">
        <v>3.8320953494293124</v>
      </c>
      <c r="H264" s="14" t="b">
        <v>0</v>
      </c>
      <c r="I264" s="15">
        <f t="shared" si="16"/>
        <v>3</v>
      </c>
      <c r="J264" s="15">
        <f t="shared" si="16"/>
        <v>2</v>
      </c>
      <c r="K264" s="15">
        <f t="shared" si="17"/>
        <v>4</v>
      </c>
      <c r="L264" s="3" t="str">
        <f t="shared" si="18"/>
        <v>Monday</v>
      </c>
      <c r="M264" s="4" t="str">
        <f t="shared" si="19"/>
        <v>Normal Day</v>
      </c>
      <c r="N264" s="4" t="str">
        <f>TEXT(CleanedData[[#This Row],[DAY]], "mmm yyyy")</f>
        <v>Feb 2024</v>
      </c>
    </row>
    <row r="265" spans="1:14" x14ac:dyDescent="0.3">
      <c r="A265" s="5">
        <v>45348</v>
      </c>
      <c r="B265" s="12">
        <v>1188</v>
      </c>
      <c r="C265" s="12">
        <v>150</v>
      </c>
      <c r="D265" s="2" t="s">
        <v>6</v>
      </c>
      <c r="E265" s="2" t="s">
        <v>8</v>
      </c>
      <c r="F265" s="1">
        <v>225</v>
      </c>
      <c r="G265" s="13">
        <v>1159.7202461153161</v>
      </c>
      <c r="H265" s="14" t="b">
        <v>0</v>
      </c>
      <c r="I265" s="15">
        <f t="shared" si="16"/>
        <v>1188</v>
      </c>
      <c r="J265" s="15">
        <f t="shared" si="16"/>
        <v>150</v>
      </c>
      <c r="K265" s="15">
        <f t="shared" si="17"/>
        <v>1160</v>
      </c>
      <c r="L265" s="3" t="str">
        <f t="shared" si="18"/>
        <v>Monday</v>
      </c>
      <c r="M265" s="4" t="str">
        <f t="shared" si="19"/>
        <v>Normal Day</v>
      </c>
      <c r="N265" s="4" t="str">
        <f>TEXT(CleanedData[[#This Row],[DAY]], "mmm yyyy")</f>
        <v>Feb 2024</v>
      </c>
    </row>
    <row r="266" spans="1:14" x14ac:dyDescent="0.3">
      <c r="A266" s="5">
        <v>45348</v>
      </c>
      <c r="B266" s="12">
        <v>2328</v>
      </c>
      <c r="C266" s="12">
        <v>150</v>
      </c>
      <c r="D266" s="2" t="s">
        <v>6</v>
      </c>
      <c r="E266" s="2" t="s">
        <v>7</v>
      </c>
      <c r="F266" s="1">
        <v>1478</v>
      </c>
      <c r="G266" s="13">
        <v>2250.3899865295916</v>
      </c>
      <c r="H266" s="14" t="b">
        <v>0</v>
      </c>
      <c r="I266" s="15">
        <f t="shared" si="16"/>
        <v>2328</v>
      </c>
      <c r="J266" s="15">
        <f t="shared" si="16"/>
        <v>150</v>
      </c>
      <c r="K266" s="15">
        <f t="shared" si="17"/>
        <v>2250</v>
      </c>
      <c r="L266" s="3" t="str">
        <f t="shared" si="18"/>
        <v>Monday</v>
      </c>
      <c r="M266" s="4" t="str">
        <f t="shared" si="19"/>
        <v>Normal Day</v>
      </c>
      <c r="N266" s="4" t="str">
        <f>TEXT(CleanedData[[#This Row],[DAY]], "mmm yyyy")</f>
        <v>Feb 2024</v>
      </c>
    </row>
    <row r="267" spans="1:14" x14ac:dyDescent="0.3">
      <c r="A267" s="5">
        <v>45348</v>
      </c>
      <c r="B267" s="12">
        <v>7393.5</v>
      </c>
      <c r="C267" s="12">
        <v>52.5</v>
      </c>
      <c r="D267" s="2" t="s">
        <v>10</v>
      </c>
      <c r="E267" s="2" t="s">
        <v>7</v>
      </c>
      <c r="F267" s="1">
        <v>4137</v>
      </c>
      <c r="G267" s="13">
        <v>6842.5740635014699</v>
      </c>
      <c r="H267" s="14" t="b">
        <v>0</v>
      </c>
      <c r="I267" s="15">
        <f t="shared" si="16"/>
        <v>7394</v>
      </c>
      <c r="J267" s="15">
        <f t="shared" si="16"/>
        <v>53</v>
      </c>
      <c r="K267" s="15">
        <f t="shared" si="17"/>
        <v>6843</v>
      </c>
      <c r="L267" s="3" t="str">
        <f t="shared" si="18"/>
        <v>Monday</v>
      </c>
      <c r="M267" s="4" t="str">
        <f t="shared" si="19"/>
        <v>Normal Day</v>
      </c>
      <c r="N267" s="4" t="str">
        <f>TEXT(CleanedData[[#This Row],[DAY]], "mmm yyyy")</f>
        <v>Feb 2024</v>
      </c>
    </row>
    <row r="268" spans="1:14" x14ac:dyDescent="0.3">
      <c r="A268" s="5">
        <v>45348</v>
      </c>
      <c r="B268" s="12">
        <v>7930.5</v>
      </c>
      <c r="C268" s="12">
        <v>18</v>
      </c>
      <c r="D268" s="2" t="s">
        <v>9</v>
      </c>
      <c r="E268" s="2" t="s">
        <v>8</v>
      </c>
      <c r="F268" s="1">
        <v>4340</v>
      </c>
      <c r="G268" s="13">
        <v>6939.3368509548591</v>
      </c>
      <c r="H268" s="14" t="b">
        <v>0</v>
      </c>
      <c r="I268" s="15">
        <f t="shared" si="16"/>
        <v>7931</v>
      </c>
      <c r="J268" s="15">
        <f t="shared" si="16"/>
        <v>18</v>
      </c>
      <c r="K268" s="15">
        <f t="shared" si="17"/>
        <v>6939</v>
      </c>
      <c r="L268" s="3" t="str">
        <f t="shared" si="18"/>
        <v>Monday</v>
      </c>
      <c r="M268" s="4" t="str">
        <f t="shared" si="19"/>
        <v>Normal Day</v>
      </c>
      <c r="N268" s="4" t="str">
        <f>TEXT(CleanedData[[#This Row],[DAY]], "mmm yyyy")</f>
        <v>Feb 2024</v>
      </c>
    </row>
    <row r="269" spans="1:14" x14ac:dyDescent="0.3">
      <c r="A269" s="5">
        <v>45349</v>
      </c>
      <c r="B269" s="12">
        <v>1.5</v>
      </c>
      <c r="C269" s="12">
        <v>1.5</v>
      </c>
      <c r="D269" s="2" t="s">
        <v>10</v>
      </c>
      <c r="E269" s="2" t="s">
        <v>8</v>
      </c>
      <c r="F269" s="1">
        <v>1</v>
      </c>
      <c r="G269" s="13">
        <v>2.5001990478403258</v>
      </c>
      <c r="H269" s="14" t="b">
        <v>0</v>
      </c>
      <c r="I269" s="15">
        <f t="shared" si="16"/>
        <v>2</v>
      </c>
      <c r="J269" s="15">
        <f t="shared" si="16"/>
        <v>2</v>
      </c>
      <c r="K269" s="15">
        <f t="shared" si="17"/>
        <v>3</v>
      </c>
      <c r="L269" s="3" t="str">
        <f t="shared" si="18"/>
        <v>Tuesday</v>
      </c>
      <c r="M269" s="4" t="str">
        <f t="shared" si="19"/>
        <v>Normal Day</v>
      </c>
      <c r="N269" s="4" t="str">
        <f>TEXT(CleanedData[[#This Row],[DAY]], "mmm yyyy")</f>
        <v>Feb 2024</v>
      </c>
    </row>
    <row r="270" spans="1:14" x14ac:dyDescent="0.3">
      <c r="A270" s="5">
        <v>45349</v>
      </c>
      <c r="B270" s="12">
        <v>433.5</v>
      </c>
      <c r="C270" s="12">
        <v>25.5</v>
      </c>
      <c r="D270" s="2" t="s">
        <v>6</v>
      </c>
      <c r="E270" s="2" t="s">
        <v>7</v>
      </c>
      <c r="F270" s="1">
        <v>45</v>
      </c>
      <c r="G270" s="13">
        <v>415.67044088455475</v>
      </c>
      <c r="H270" s="14" t="b">
        <v>0</v>
      </c>
      <c r="I270" s="15">
        <f t="shared" si="16"/>
        <v>434</v>
      </c>
      <c r="J270" s="15">
        <f t="shared" si="16"/>
        <v>26</v>
      </c>
      <c r="K270" s="15">
        <f t="shared" si="17"/>
        <v>416</v>
      </c>
      <c r="L270" s="3" t="str">
        <f t="shared" si="18"/>
        <v>Tuesday</v>
      </c>
      <c r="M270" s="4" t="str">
        <f t="shared" si="19"/>
        <v>Normal Day</v>
      </c>
      <c r="N270" s="4" t="str">
        <f>TEXT(CleanedData[[#This Row],[DAY]], "mmm yyyy")</f>
        <v>Feb 2024</v>
      </c>
    </row>
    <row r="271" spans="1:14" x14ac:dyDescent="0.3">
      <c r="A271" s="5">
        <v>45349</v>
      </c>
      <c r="B271" s="12">
        <v>589.5</v>
      </c>
      <c r="C271" s="12">
        <v>25.5</v>
      </c>
      <c r="D271" s="2" t="s">
        <v>6</v>
      </c>
      <c r="E271" s="2" t="s">
        <v>8</v>
      </c>
      <c r="F271" s="1">
        <v>130</v>
      </c>
      <c r="G271" s="13">
        <v>522.76168444255291</v>
      </c>
      <c r="H271" s="14" t="b">
        <v>0</v>
      </c>
      <c r="I271" s="15">
        <f t="shared" si="16"/>
        <v>590</v>
      </c>
      <c r="J271" s="15">
        <f t="shared" si="16"/>
        <v>26</v>
      </c>
      <c r="K271" s="15">
        <f t="shared" si="17"/>
        <v>523</v>
      </c>
      <c r="L271" s="3" t="str">
        <f t="shared" si="18"/>
        <v>Tuesday</v>
      </c>
      <c r="M271" s="4" t="str">
        <f t="shared" si="19"/>
        <v>Normal Day</v>
      </c>
      <c r="N271" s="4" t="str">
        <f>TEXT(CleanedData[[#This Row],[DAY]], "mmm yyyy")</f>
        <v>Feb 2024</v>
      </c>
    </row>
    <row r="272" spans="1:14" x14ac:dyDescent="0.3">
      <c r="A272" s="5">
        <v>45349</v>
      </c>
      <c r="B272" s="12">
        <v>6511.5</v>
      </c>
      <c r="C272" s="12">
        <v>252</v>
      </c>
      <c r="D272" s="2" t="s">
        <v>9</v>
      </c>
      <c r="E272" s="2" t="s">
        <v>8</v>
      </c>
      <c r="F272" s="1">
        <v>193</v>
      </c>
      <c r="G272" s="13">
        <v>5998.3049940482833</v>
      </c>
      <c r="H272" s="14" t="b">
        <v>0</v>
      </c>
      <c r="I272" s="15">
        <f t="shared" si="16"/>
        <v>6512</v>
      </c>
      <c r="J272" s="15">
        <f t="shared" si="16"/>
        <v>252</v>
      </c>
      <c r="K272" s="15">
        <f t="shared" si="17"/>
        <v>5998</v>
      </c>
      <c r="L272" s="3" t="str">
        <f t="shared" si="18"/>
        <v>Tuesday</v>
      </c>
      <c r="M272" s="4" t="str">
        <f t="shared" si="19"/>
        <v>Normal Day</v>
      </c>
      <c r="N272" s="4" t="str">
        <f>TEXT(CleanedData[[#This Row],[DAY]], "mmm yyyy")</f>
        <v>Feb 2024</v>
      </c>
    </row>
    <row r="273" spans="1:14" x14ac:dyDescent="0.3">
      <c r="A273" s="5">
        <v>45349</v>
      </c>
      <c r="B273" s="12">
        <v>7233</v>
      </c>
      <c r="C273" s="12">
        <v>468</v>
      </c>
      <c r="D273" s="2" t="s">
        <v>10</v>
      </c>
      <c r="E273" s="2" t="s">
        <v>7</v>
      </c>
      <c r="F273" s="1">
        <v>2389</v>
      </c>
      <c r="G273" s="13">
        <v>6948.5723934486186</v>
      </c>
      <c r="H273" s="14" t="b">
        <v>0</v>
      </c>
      <c r="I273" s="15">
        <f t="shared" si="16"/>
        <v>7233</v>
      </c>
      <c r="J273" s="15">
        <f t="shared" si="16"/>
        <v>468</v>
      </c>
      <c r="K273" s="15">
        <f t="shared" si="17"/>
        <v>6949</v>
      </c>
      <c r="L273" s="3" t="str">
        <f t="shared" si="18"/>
        <v>Tuesday</v>
      </c>
      <c r="M273" s="4" t="str">
        <f t="shared" si="19"/>
        <v>Normal Day</v>
      </c>
      <c r="N273" s="4" t="str">
        <f>TEXT(CleanedData[[#This Row],[DAY]], "mmm yyyy")</f>
        <v>Feb 2024</v>
      </c>
    </row>
    <row r="274" spans="1:14" x14ac:dyDescent="0.3">
      <c r="A274" s="5">
        <v>45350</v>
      </c>
      <c r="B274" s="12">
        <v>4.5</v>
      </c>
      <c r="C274" s="12">
        <v>1.5</v>
      </c>
      <c r="D274" s="2" t="s">
        <v>10</v>
      </c>
      <c r="E274" s="2" t="s">
        <v>8</v>
      </c>
      <c r="F274" s="1">
        <v>1</v>
      </c>
      <c r="G274" s="13">
        <v>4.9435275185748662</v>
      </c>
      <c r="H274" s="14" t="b">
        <v>0</v>
      </c>
      <c r="I274" s="15">
        <f t="shared" si="16"/>
        <v>5</v>
      </c>
      <c r="J274" s="15">
        <f t="shared" si="16"/>
        <v>2</v>
      </c>
      <c r="K274" s="15">
        <f t="shared" si="17"/>
        <v>5</v>
      </c>
      <c r="L274" s="3" t="str">
        <f t="shared" si="18"/>
        <v>Wednesday</v>
      </c>
      <c r="M274" s="4" t="str">
        <f t="shared" si="19"/>
        <v>Normal Day</v>
      </c>
      <c r="N274" s="4" t="str">
        <f>TEXT(CleanedData[[#This Row],[DAY]], "mmm yyyy")</f>
        <v>Feb 2024</v>
      </c>
    </row>
    <row r="275" spans="1:14" x14ac:dyDescent="0.3">
      <c r="A275" s="5">
        <v>45350</v>
      </c>
      <c r="B275" s="12">
        <v>552</v>
      </c>
      <c r="C275" s="12">
        <v>6</v>
      </c>
      <c r="D275" s="2" t="s">
        <v>6</v>
      </c>
      <c r="E275" s="2" t="s">
        <v>8</v>
      </c>
      <c r="F275" s="1">
        <v>192</v>
      </c>
      <c r="G275" s="13">
        <v>477.94854655131974</v>
      </c>
      <c r="H275" s="14" t="b">
        <v>0</v>
      </c>
      <c r="I275" s="15">
        <f t="shared" si="16"/>
        <v>552</v>
      </c>
      <c r="J275" s="15">
        <f t="shared" si="16"/>
        <v>6</v>
      </c>
      <c r="K275" s="15">
        <f t="shared" si="17"/>
        <v>478</v>
      </c>
      <c r="L275" s="3" t="str">
        <f t="shared" si="18"/>
        <v>Wednesday</v>
      </c>
      <c r="M275" s="4" t="str">
        <f t="shared" si="19"/>
        <v>Normal Day</v>
      </c>
      <c r="N275" s="4" t="str">
        <f>TEXT(CleanedData[[#This Row],[DAY]], "mmm yyyy")</f>
        <v>Feb 2024</v>
      </c>
    </row>
    <row r="276" spans="1:14" x14ac:dyDescent="0.3">
      <c r="A276" s="5">
        <v>45350</v>
      </c>
      <c r="B276" s="12">
        <v>934.5</v>
      </c>
      <c r="C276" s="12">
        <v>6</v>
      </c>
      <c r="D276" s="2" t="s">
        <v>6</v>
      </c>
      <c r="E276" s="2" t="s">
        <v>7</v>
      </c>
      <c r="F276" s="1">
        <v>616</v>
      </c>
      <c r="G276" s="13">
        <v>851.04136327765059</v>
      </c>
      <c r="H276" s="14" t="b">
        <v>0</v>
      </c>
      <c r="I276" s="15">
        <f t="shared" si="16"/>
        <v>935</v>
      </c>
      <c r="J276" s="15">
        <f t="shared" si="16"/>
        <v>6</v>
      </c>
      <c r="K276" s="15">
        <f t="shared" si="17"/>
        <v>851</v>
      </c>
      <c r="L276" s="3" t="str">
        <f t="shared" si="18"/>
        <v>Wednesday</v>
      </c>
      <c r="M276" s="4" t="str">
        <f t="shared" si="19"/>
        <v>Normal Day</v>
      </c>
      <c r="N276" s="4" t="str">
        <f>TEXT(CleanedData[[#This Row],[DAY]], "mmm yyyy")</f>
        <v>Feb 2024</v>
      </c>
    </row>
    <row r="277" spans="1:14" x14ac:dyDescent="0.3">
      <c r="A277" s="5">
        <v>45350</v>
      </c>
      <c r="B277" s="12">
        <v>6939</v>
      </c>
      <c r="C277" s="12">
        <v>208.5</v>
      </c>
      <c r="D277" s="2" t="s">
        <v>10</v>
      </c>
      <c r="E277" s="2" t="s">
        <v>7</v>
      </c>
      <c r="F277" s="1">
        <v>4605</v>
      </c>
      <c r="G277" s="13">
        <v>6363.7831026624453</v>
      </c>
      <c r="H277" s="14" t="b">
        <v>0</v>
      </c>
      <c r="I277" s="15">
        <f t="shared" si="16"/>
        <v>6939</v>
      </c>
      <c r="J277" s="15">
        <f t="shared" si="16"/>
        <v>209</v>
      </c>
      <c r="K277" s="15">
        <f t="shared" si="17"/>
        <v>6364</v>
      </c>
      <c r="L277" s="3" t="str">
        <f t="shared" si="18"/>
        <v>Wednesday</v>
      </c>
      <c r="M277" s="4" t="str">
        <f t="shared" si="19"/>
        <v>Normal Day</v>
      </c>
      <c r="N277" s="4" t="str">
        <f>TEXT(CleanedData[[#This Row],[DAY]], "mmm yyyy")</f>
        <v>Feb 2024</v>
      </c>
    </row>
    <row r="278" spans="1:14" x14ac:dyDescent="0.3">
      <c r="A278" s="5">
        <v>45350</v>
      </c>
      <c r="B278" s="12">
        <v>7281</v>
      </c>
      <c r="C278" s="12">
        <v>291</v>
      </c>
      <c r="D278" s="2" t="s">
        <v>9</v>
      </c>
      <c r="E278" s="2" t="s">
        <v>8</v>
      </c>
      <c r="F278" s="1">
        <v>3968</v>
      </c>
      <c r="G278" s="13">
        <v>6269.2059262588518</v>
      </c>
      <c r="H278" s="14" t="b">
        <v>0</v>
      </c>
      <c r="I278" s="15">
        <f t="shared" si="16"/>
        <v>7281</v>
      </c>
      <c r="J278" s="15">
        <f t="shared" si="16"/>
        <v>291</v>
      </c>
      <c r="K278" s="15">
        <f t="shared" si="17"/>
        <v>6269</v>
      </c>
      <c r="L278" s="3" t="str">
        <f t="shared" si="18"/>
        <v>Wednesday</v>
      </c>
      <c r="M278" s="4" t="str">
        <f t="shared" si="19"/>
        <v>Normal Day</v>
      </c>
      <c r="N278" s="4" t="str">
        <f>TEXT(CleanedData[[#This Row],[DAY]], "mmm yyyy")</f>
        <v>Feb 2024</v>
      </c>
    </row>
    <row r="279" spans="1:14" x14ac:dyDescent="0.3">
      <c r="A279" s="5">
        <v>45351</v>
      </c>
      <c r="B279" s="12">
        <v>1.5</v>
      </c>
      <c r="C279" s="12">
        <v>0</v>
      </c>
      <c r="D279" s="2" t="s">
        <v>10</v>
      </c>
      <c r="E279" s="2" t="s">
        <v>8</v>
      </c>
      <c r="F279" s="1">
        <v>1</v>
      </c>
      <c r="G279" s="13">
        <v>1.2125875610285926</v>
      </c>
      <c r="H279" s="14" t="b">
        <v>1</v>
      </c>
      <c r="I279" s="15">
        <f t="shared" si="16"/>
        <v>2</v>
      </c>
      <c r="J279" s="15">
        <f t="shared" si="16"/>
        <v>0</v>
      </c>
      <c r="K279" s="15">
        <f t="shared" si="17"/>
        <v>1</v>
      </c>
      <c r="L279" s="3" t="str">
        <f t="shared" si="18"/>
        <v>Thursday</v>
      </c>
      <c r="M279" s="4" t="str">
        <f t="shared" si="19"/>
        <v>Outage Day</v>
      </c>
      <c r="N279" s="4" t="str">
        <f>TEXT(CleanedData[[#This Row],[DAY]], "mmm yyyy")</f>
        <v>Feb 2024</v>
      </c>
    </row>
    <row r="280" spans="1:14" x14ac:dyDescent="0.3">
      <c r="A280" s="5">
        <v>45351</v>
      </c>
      <c r="B280" s="12">
        <v>1.5</v>
      </c>
      <c r="C280" s="12">
        <v>0</v>
      </c>
      <c r="D280" s="2" t="s">
        <v>9</v>
      </c>
      <c r="E280" s="2" t="s">
        <v>7</v>
      </c>
      <c r="F280" s="1">
        <v>1</v>
      </c>
      <c r="G280" s="13">
        <v>1.3340309708268736</v>
      </c>
      <c r="H280" s="14" t="b">
        <v>0</v>
      </c>
      <c r="I280" s="15">
        <f t="shared" si="16"/>
        <v>2</v>
      </c>
      <c r="J280" s="15">
        <f t="shared" si="16"/>
        <v>0</v>
      </c>
      <c r="K280" s="15">
        <f t="shared" si="17"/>
        <v>1</v>
      </c>
      <c r="L280" s="3" t="str">
        <f t="shared" si="18"/>
        <v>Thursday</v>
      </c>
      <c r="M280" s="4" t="str">
        <f t="shared" si="19"/>
        <v>Normal Day</v>
      </c>
      <c r="N280" s="4" t="str">
        <f>TEXT(CleanedData[[#This Row],[DAY]], "mmm yyyy")</f>
        <v>Feb 2024</v>
      </c>
    </row>
    <row r="281" spans="1:14" x14ac:dyDescent="0.3">
      <c r="A281" s="5">
        <v>45351</v>
      </c>
      <c r="B281" s="12">
        <v>661.5</v>
      </c>
      <c r="C281" s="12">
        <v>6</v>
      </c>
      <c r="D281" s="2" t="s">
        <v>6</v>
      </c>
      <c r="E281" s="2" t="s">
        <v>7</v>
      </c>
      <c r="F281" s="1">
        <v>11</v>
      </c>
      <c r="G281" s="13">
        <v>581.11115255275956</v>
      </c>
      <c r="H281" s="14" t="b">
        <v>0</v>
      </c>
      <c r="I281" s="15">
        <f t="shared" si="16"/>
        <v>662</v>
      </c>
      <c r="J281" s="15">
        <f t="shared" si="16"/>
        <v>6</v>
      </c>
      <c r="K281" s="15">
        <f t="shared" si="17"/>
        <v>581</v>
      </c>
      <c r="L281" s="3" t="str">
        <f t="shared" si="18"/>
        <v>Thursday</v>
      </c>
      <c r="M281" s="4" t="str">
        <f t="shared" si="19"/>
        <v>Normal Day</v>
      </c>
      <c r="N281" s="4" t="str">
        <f>TEXT(CleanedData[[#This Row],[DAY]], "mmm yyyy")</f>
        <v>Feb 2024</v>
      </c>
    </row>
    <row r="282" spans="1:14" x14ac:dyDescent="0.3">
      <c r="A282" s="5">
        <v>45351</v>
      </c>
      <c r="B282" s="12">
        <v>865.5</v>
      </c>
      <c r="C282" s="12">
        <v>6</v>
      </c>
      <c r="D282" s="2" t="s">
        <v>6</v>
      </c>
      <c r="E282" s="2" t="s">
        <v>8</v>
      </c>
      <c r="F282" s="1">
        <v>192</v>
      </c>
      <c r="G282" s="13">
        <v>766.63329639418725</v>
      </c>
      <c r="H282" s="14" t="b">
        <v>0</v>
      </c>
      <c r="I282" s="15">
        <f t="shared" si="16"/>
        <v>866</v>
      </c>
      <c r="J282" s="15">
        <f t="shared" si="16"/>
        <v>6</v>
      </c>
      <c r="K282" s="15">
        <f t="shared" si="17"/>
        <v>767</v>
      </c>
      <c r="L282" s="3" t="str">
        <f t="shared" si="18"/>
        <v>Thursday</v>
      </c>
      <c r="M282" s="4" t="str">
        <f t="shared" si="19"/>
        <v>Normal Day</v>
      </c>
      <c r="N282" s="4" t="str">
        <f>TEXT(CleanedData[[#This Row],[DAY]], "mmm yyyy")</f>
        <v>Feb 2024</v>
      </c>
    </row>
    <row r="283" spans="1:14" x14ac:dyDescent="0.3">
      <c r="A283" s="5">
        <v>45351</v>
      </c>
      <c r="B283" s="12">
        <v>5914.5</v>
      </c>
      <c r="C283" s="12">
        <v>243</v>
      </c>
      <c r="D283" s="2" t="s">
        <v>9</v>
      </c>
      <c r="E283" s="2" t="s">
        <v>8</v>
      </c>
      <c r="F283" s="1">
        <v>759</v>
      </c>
      <c r="G283" s="13">
        <v>5346.7259692540492</v>
      </c>
      <c r="H283" s="14" t="b">
        <v>0</v>
      </c>
      <c r="I283" s="15">
        <f t="shared" si="16"/>
        <v>5915</v>
      </c>
      <c r="J283" s="15">
        <f t="shared" si="16"/>
        <v>243</v>
      </c>
      <c r="K283" s="15">
        <f t="shared" si="17"/>
        <v>5347</v>
      </c>
      <c r="L283" s="3" t="str">
        <f t="shared" si="18"/>
        <v>Thursday</v>
      </c>
      <c r="M283" s="4" t="str">
        <f t="shared" si="19"/>
        <v>Normal Day</v>
      </c>
      <c r="N283" s="4" t="str">
        <f>TEXT(CleanedData[[#This Row],[DAY]], "mmm yyyy")</f>
        <v>Feb 2024</v>
      </c>
    </row>
    <row r="284" spans="1:14" x14ac:dyDescent="0.3">
      <c r="A284" s="5">
        <v>45351</v>
      </c>
      <c r="B284" s="12">
        <v>10782</v>
      </c>
      <c r="C284" s="12">
        <v>460.5</v>
      </c>
      <c r="D284" s="2" t="s">
        <v>10</v>
      </c>
      <c r="E284" s="2" t="s">
        <v>7</v>
      </c>
      <c r="F284" s="1">
        <v>6673</v>
      </c>
      <c r="G284" s="13">
        <v>10464.546368025256</v>
      </c>
      <c r="H284" s="14" t="b">
        <v>0</v>
      </c>
      <c r="I284" s="15">
        <f t="shared" si="16"/>
        <v>10782</v>
      </c>
      <c r="J284" s="15">
        <f t="shared" si="16"/>
        <v>461</v>
      </c>
      <c r="K284" s="15">
        <f t="shared" si="17"/>
        <v>10465</v>
      </c>
      <c r="L284" s="3" t="str">
        <f t="shared" si="18"/>
        <v>Thursday</v>
      </c>
      <c r="M284" s="4" t="str">
        <f t="shared" si="19"/>
        <v>Normal Day</v>
      </c>
      <c r="N284" s="4" t="str">
        <f>TEXT(CleanedData[[#This Row],[DAY]], "mmm yyyy")</f>
        <v>Feb 2024</v>
      </c>
    </row>
    <row r="285" spans="1:14" x14ac:dyDescent="0.3">
      <c r="A285" s="5">
        <v>45352</v>
      </c>
      <c r="B285" s="12">
        <v>430.5</v>
      </c>
      <c r="C285" s="12">
        <v>10.5</v>
      </c>
      <c r="D285" s="2" t="s">
        <v>6</v>
      </c>
      <c r="E285" s="2" t="s">
        <v>7</v>
      </c>
      <c r="F285" s="1">
        <v>196</v>
      </c>
      <c r="G285" s="13">
        <v>385.72532994426774</v>
      </c>
      <c r="H285" s="14" t="b">
        <v>0</v>
      </c>
      <c r="I285" s="15">
        <f t="shared" si="16"/>
        <v>431</v>
      </c>
      <c r="J285" s="15">
        <f t="shared" si="16"/>
        <v>11</v>
      </c>
      <c r="K285" s="15">
        <f t="shared" si="17"/>
        <v>386</v>
      </c>
      <c r="L285" s="3" t="str">
        <f t="shared" si="18"/>
        <v>Friday</v>
      </c>
      <c r="M285" s="4" t="str">
        <f t="shared" si="19"/>
        <v>Normal Day</v>
      </c>
      <c r="N285" s="4" t="str">
        <f>TEXT(CleanedData[[#This Row],[DAY]], "mmm yyyy")</f>
        <v>Mar 2024</v>
      </c>
    </row>
    <row r="286" spans="1:14" x14ac:dyDescent="0.3">
      <c r="A286" s="5">
        <v>45352</v>
      </c>
      <c r="B286" s="12">
        <v>1164</v>
      </c>
      <c r="C286" s="12">
        <v>10.5</v>
      </c>
      <c r="D286" s="2" t="s">
        <v>6</v>
      </c>
      <c r="E286" s="2" t="s">
        <v>8</v>
      </c>
      <c r="F286" s="1">
        <v>6</v>
      </c>
      <c r="G286" s="13">
        <v>945.82306060831979</v>
      </c>
      <c r="H286" s="14" t="b">
        <v>1</v>
      </c>
      <c r="I286" s="15">
        <f t="shared" si="16"/>
        <v>1164</v>
      </c>
      <c r="J286" s="15">
        <f t="shared" si="16"/>
        <v>11</v>
      </c>
      <c r="K286" s="15">
        <f t="shared" si="17"/>
        <v>946</v>
      </c>
      <c r="L286" s="3" t="str">
        <f t="shared" si="18"/>
        <v>Friday</v>
      </c>
      <c r="M286" s="4" t="str">
        <f t="shared" si="19"/>
        <v>Outage Day</v>
      </c>
      <c r="N286" s="4" t="str">
        <f>TEXT(CleanedData[[#This Row],[DAY]], "mmm yyyy")</f>
        <v>Mar 2024</v>
      </c>
    </row>
    <row r="287" spans="1:14" x14ac:dyDescent="0.3">
      <c r="A287" s="5">
        <v>45352</v>
      </c>
      <c r="B287" s="12">
        <v>5332.5</v>
      </c>
      <c r="C287" s="12">
        <v>42</v>
      </c>
      <c r="D287" s="2" t="s">
        <v>9</v>
      </c>
      <c r="E287" s="2" t="s">
        <v>8</v>
      </c>
      <c r="F287" s="1">
        <v>3240</v>
      </c>
      <c r="G287" s="13">
        <v>4405.1081912392883</v>
      </c>
      <c r="H287" s="14" t="b">
        <v>0</v>
      </c>
      <c r="I287" s="15">
        <f t="shared" si="16"/>
        <v>5333</v>
      </c>
      <c r="J287" s="15">
        <f t="shared" si="16"/>
        <v>42</v>
      </c>
      <c r="K287" s="15">
        <f t="shared" si="17"/>
        <v>4405</v>
      </c>
      <c r="L287" s="3" t="str">
        <f t="shared" si="18"/>
        <v>Friday</v>
      </c>
      <c r="M287" s="4" t="str">
        <f t="shared" si="19"/>
        <v>Normal Day</v>
      </c>
      <c r="N287" s="4" t="str">
        <f>TEXT(CleanedData[[#This Row],[DAY]], "mmm yyyy")</f>
        <v>Mar 2024</v>
      </c>
    </row>
    <row r="288" spans="1:14" x14ac:dyDescent="0.3">
      <c r="A288" s="5">
        <v>45352</v>
      </c>
      <c r="B288" s="12">
        <v>11709</v>
      </c>
      <c r="C288" s="12">
        <v>478.5</v>
      </c>
      <c r="D288" s="2" t="s">
        <v>10</v>
      </c>
      <c r="E288" s="2" t="s">
        <v>7</v>
      </c>
      <c r="F288" s="1">
        <v>5228</v>
      </c>
      <c r="G288" s="13">
        <v>10699.888871623392</v>
      </c>
      <c r="H288" s="14" t="b">
        <v>0</v>
      </c>
      <c r="I288" s="15">
        <f t="shared" si="16"/>
        <v>11709</v>
      </c>
      <c r="J288" s="15">
        <f t="shared" si="16"/>
        <v>479</v>
      </c>
      <c r="K288" s="15">
        <f t="shared" si="17"/>
        <v>10700</v>
      </c>
      <c r="L288" s="3" t="str">
        <f t="shared" si="18"/>
        <v>Friday</v>
      </c>
      <c r="M288" s="4" t="str">
        <f t="shared" si="19"/>
        <v>Normal Day</v>
      </c>
      <c r="N288" s="4" t="str">
        <f>TEXT(CleanedData[[#This Row],[DAY]], "mmm yyyy")</f>
        <v>Mar 2024</v>
      </c>
    </row>
    <row r="289" spans="1:14" x14ac:dyDescent="0.3">
      <c r="A289" s="5">
        <v>45353</v>
      </c>
      <c r="B289" s="12">
        <v>1.5</v>
      </c>
      <c r="C289" s="12">
        <v>0</v>
      </c>
      <c r="D289" s="2" t="s">
        <v>10</v>
      </c>
      <c r="E289" s="2" t="s">
        <v>8</v>
      </c>
      <c r="F289" s="1">
        <v>1</v>
      </c>
      <c r="G289" s="13">
        <v>1.2342772916560365</v>
      </c>
      <c r="H289" s="14" t="b">
        <v>0</v>
      </c>
      <c r="I289" s="15">
        <f t="shared" si="16"/>
        <v>2</v>
      </c>
      <c r="J289" s="15">
        <f t="shared" si="16"/>
        <v>0</v>
      </c>
      <c r="K289" s="15">
        <f t="shared" si="17"/>
        <v>1</v>
      </c>
      <c r="L289" s="3" t="str">
        <f t="shared" si="18"/>
        <v>Saturday</v>
      </c>
      <c r="M289" s="4" t="str">
        <f t="shared" si="19"/>
        <v>Normal Day</v>
      </c>
      <c r="N289" s="4" t="str">
        <f>TEXT(CleanedData[[#This Row],[DAY]], "mmm yyyy")</f>
        <v>Mar 2024</v>
      </c>
    </row>
    <row r="290" spans="1:14" x14ac:dyDescent="0.3">
      <c r="A290" s="5">
        <v>45353</v>
      </c>
      <c r="B290" s="12">
        <v>3</v>
      </c>
      <c r="C290" s="12">
        <v>0</v>
      </c>
      <c r="D290" s="2" t="s">
        <v>9</v>
      </c>
      <c r="E290" s="2" t="s">
        <v>7</v>
      </c>
      <c r="F290" s="1">
        <v>2</v>
      </c>
      <c r="G290" s="13">
        <v>2.6820628215875097</v>
      </c>
      <c r="H290" s="14" t="b">
        <v>0</v>
      </c>
      <c r="I290" s="15">
        <f t="shared" si="16"/>
        <v>3</v>
      </c>
      <c r="J290" s="15">
        <f t="shared" si="16"/>
        <v>0</v>
      </c>
      <c r="K290" s="15">
        <f t="shared" si="17"/>
        <v>3</v>
      </c>
      <c r="L290" s="3" t="str">
        <f t="shared" si="18"/>
        <v>Saturday</v>
      </c>
      <c r="M290" s="4" t="str">
        <f t="shared" si="19"/>
        <v>Normal Day</v>
      </c>
      <c r="N290" s="4" t="str">
        <f>TEXT(CleanedData[[#This Row],[DAY]], "mmm yyyy")</f>
        <v>Mar 2024</v>
      </c>
    </row>
    <row r="291" spans="1:14" x14ac:dyDescent="0.3">
      <c r="A291" s="5">
        <v>45353</v>
      </c>
      <c r="B291" s="12">
        <v>352.5</v>
      </c>
      <c r="C291" s="12">
        <v>52.5</v>
      </c>
      <c r="D291" s="2" t="s">
        <v>6</v>
      </c>
      <c r="E291" s="2" t="s">
        <v>8</v>
      </c>
      <c r="F291" s="1">
        <v>146</v>
      </c>
      <c r="G291" s="13">
        <v>346.89000088163897</v>
      </c>
      <c r="H291" s="14" t="b">
        <v>0</v>
      </c>
      <c r="I291" s="15">
        <f t="shared" si="16"/>
        <v>353</v>
      </c>
      <c r="J291" s="15">
        <f t="shared" si="16"/>
        <v>53</v>
      </c>
      <c r="K291" s="15">
        <f t="shared" si="17"/>
        <v>347</v>
      </c>
      <c r="L291" s="3" t="str">
        <f t="shared" si="18"/>
        <v>Saturday</v>
      </c>
      <c r="M291" s="4" t="str">
        <f t="shared" si="19"/>
        <v>Normal Day</v>
      </c>
      <c r="N291" s="4" t="str">
        <f>TEXT(CleanedData[[#This Row],[DAY]], "mmm yyyy")</f>
        <v>Mar 2024</v>
      </c>
    </row>
    <row r="292" spans="1:14" x14ac:dyDescent="0.3">
      <c r="A292" s="5">
        <v>45353</v>
      </c>
      <c r="B292" s="12">
        <v>1662</v>
      </c>
      <c r="C292" s="12">
        <v>52.5</v>
      </c>
      <c r="D292" s="2" t="s">
        <v>6</v>
      </c>
      <c r="E292" s="2" t="s">
        <v>7</v>
      </c>
      <c r="F292" s="1">
        <v>688</v>
      </c>
      <c r="G292" s="13">
        <v>1568.2011780318805</v>
      </c>
      <c r="H292" s="14" t="b">
        <v>0</v>
      </c>
      <c r="I292" s="15">
        <f t="shared" si="16"/>
        <v>1662</v>
      </c>
      <c r="J292" s="15">
        <f t="shared" si="16"/>
        <v>53</v>
      </c>
      <c r="K292" s="15">
        <f t="shared" si="17"/>
        <v>1568</v>
      </c>
      <c r="L292" s="3" t="str">
        <f t="shared" si="18"/>
        <v>Saturday</v>
      </c>
      <c r="M292" s="4" t="str">
        <f t="shared" si="19"/>
        <v>Normal Day</v>
      </c>
      <c r="N292" s="4" t="str">
        <f>TEXT(CleanedData[[#This Row],[DAY]], "mmm yyyy")</f>
        <v>Mar 2024</v>
      </c>
    </row>
    <row r="293" spans="1:14" x14ac:dyDescent="0.3">
      <c r="A293" s="5">
        <v>45353</v>
      </c>
      <c r="B293" s="12">
        <v>6184.5</v>
      </c>
      <c r="C293" s="12">
        <v>93</v>
      </c>
      <c r="D293" s="2" t="s">
        <v>9</v>
      </c>
      <c r="E293" s="2" t="s">
        <v>8</v>
      </c>
      <c r="F293" s="1">
        <v>4096</v>
      </c>
      <c r="G293" s="13">
        <v>5040.4454559677488</v>
      </c>
      <c r="H293" s="14" t="b">
        <v>0</v>
      </c>
      <c r="I293" s="15">
        <f t="shared" si="16"/>
        <v>6185</v>
      </c>
      <c r="J293" s="15">
        <f t="shared" si="16"/>
        <v>93</v>
      </c>
      <c r="K293" s="15">
        <f t="shared" si="17"/>
        <v>5040</v>
      </c>
      <c r="L293" s="3" t="str">
        <f t="shared" si="18"/>
        <v>Saturday</v>
      </c>
      <c r="M293" s="4" t="str">
        <f t="shared" si="19"/>
        <v>Normal Day</v>
      </c>
      <c r="N293" s="4" t="str">
        <f>TEXT(CleanedData[[#This Row],[DAY]], "mmm yyyy")</f>
        <v>Mar 2024</v>
      </c>
    </row>
    <row r="294" spans="1:14" x14ac:dyDescent="0.3">
      <c r="A294" s="5">
        <v>45353</v>
      </c>
      <c r="B294" s="12">
        <v>10266</v>
      </c>
      <c r="C294" s="12">
        <v>709.5</v>
      </c>
      <c r="D294" s="2" t="s">
        <v>10</v>
      </c>
      <c r="E294" s="2" t="s">
        <v>7</v>
      </c>
      <c r="F294" s="1">
        <v>5217</v>
      </c>
      <c r="G294" s="13">
        <v>10299.179958810348</v>
      </c>
      <c r="H294" s="14" t="b">
        <v>1</v>
      </c>
      <c r="I294" s="15">
        <f t="shared" si="16"/>
        <v>10266</v>
      </c>
      <c r="J294" s="15">
        <f t="shared" si="16"/>
        <v>710</v>
      </c>
      <c r="K294" s="15">
        <f t="shared" si="17"/>
        <v>10299</v>
      </c>
      <c r="L294" s="3" t="str">
        <f t="shared" si="18"/>
        <v>Saturday</v>
      </c>
      <c r="M294" s="4" t="str">
        <f t="shared" si="19"/>
        <v>Outage Day</v>
      </c>
      <c r="N294" s="4" t="str">
        <f>TEXT(CleanedData[[#This Row],[DAY]], "mmm yyyy")</f>
        <v>Mar 2024</v>
      </c>
    </row>
    <row r="295" spans="1:14" x14ac:dyDescent="0.3">
      <c r="A295" s="5">
        <v>45354</v>
      </c>
      <c r="B295" s="12">
        <v>1.5</v>
      </c>
      <c r="C295" s="12">
        <v>0</v>
      </c>
      <c r="D295" s="2" t="s">
        <v>10</v>
      </c>
      <c r="E295" s="2" t="s">
        <v>8</v>
      </c>
      <c r="F295" s="1">
        <v>1</v>
      </c>
      <c r="G295" s="13">
        <v>1.2425923871390969</v>
      </c>
      <c r="H295" s="14" t="b">
        <v>0</v>
      </c>
      <c r="I295" s="15">
        <f t="shared" si="16"/>
        <v>2</v>
      </c>
      <c r="J295" s="15">
        <f t="shared" si="16"/>
        <v>0</v>
      </c>
      <c r="K295" s="15">
        <f t="shared" si="17"/>
        <v>1</v>
      </c>
      <c r="L295" s="3" t="str">
        <f t="shared" si="18"/>
        <v>Sunday</v>
      </c>
      <c r="M295" s="4" t="str">
        <f t="shared" si="19"/>
        <v>Normal Day</v>
      </c>
      <c r="N295" s="4" t="str">
        <f>TEXT(CleanedData[[#This Row],[DAY]], "mmm yyyy")</f>
        <v>Mar 2024</v>
      </c>
    </row>
    <row r="296" spans="1:14" x14ac:dyDescent="0.3">
      <c r="A296" s="5">
        <v>45354</v>
      </c>
      <c r="B296" s="12">
        <v>972</v>
      </c>
      <c r="C296" s="12">
        <v>37.5</v>
      </c>
      <c r="D296" s="2" t="s">
        <v>6</v>
      </c>
      <c r="E296" s="2" t="s">
        <v>8</v>
      </c>
      <c r="F296" s="1">
        <v>378</v>
      </c>
      <c r="G296" s="13">
        <v>879.13877403167157</v>
      </c>
      <c r="H296" s="14" t="b">
        <v>0</v>
      </c>
      <c r="I296" s="15">
        <f t="shared" si="16"/>
        <v>972</v>
      </c>
      <c r="J296" s="15">
        <f t="shared" si="16"/>
        <v>38</v>
      </c>
      <c r="K296" s="15">
        <f t="shared" si="17"/>
        <v>879</v>
      </c>
      <c r="L296" s="3" t="str">
        <f t="shared" si="18"/>
        <v>Sunday</v>
      </c>
      <c r="M296" s="4" t="str">
        <f t="shared" si="19"/>
        <v>Normal Day</v>
      </c>
      <c r="N296" s="4" t="str">
        <f>TEXT(CleanedData[[#This Row],[DAY]], "mmm yyyy")</f>
        <v>Mar 2024</v>
      </c>
    </row>
    <row r="297" spans="1:14" x14ac:dyDescent="0.3">
      <c r="A297" s="5">
        <v>45354</v>
      </c>
      <c r="B297" s="12">
        <v>1059</v>
      </c>
      <c r="C297" s="12">
        <v>37.5</v>
      </c>
      <c r="D297" s="2" t="s">
        <v>6</v>
      </c>
      <c r="E297" s="2" t="s">
        <v>7</v>
      </c>
      <c r="F297" s="1">
        <v>24</v>
      </c>
      <c r="G297" s="13">
        <v>959.87155967913816</v>
      </c>
      <c r="H297" s="14" t="b">
        <v>0</v>
      </c>
      <c r="I297" s="15">
        <f t="shared" si="16"/>
        <v>1059</v>
      </c>
      <c r="J297" s="15">
        <f t="shared" si="16"/>
        <v>38</v>
      </c>
      <c r="K297" s="15">
        <f t="shared" si="17"/>
        <v>960</v>
      </c>
      <c r="L297" s="3" t="str">
        <f t="shared" si="18"/>
        <v>Sunday</v>
      </c>
      <c r="M297" s="4" t="str">
        <f t="shared" si="19"/>
        <v>Normal Day</v>
      </c>
      <c r="N297" s="4" t="str">
        <f>TEXT(CleanedData[[#This Row],[DAY]], "mmm yyyy")</f>
        <v>Mar 2024</v>
      </c>
    </row>
    <row r="298" spans="1:14" x14ac:dyDescent="0.3">
      <c r="A298" s="5">
        <v>45354</v>
      </c>
      <c r="B298" s="12">
        <v>7743</v>
      </c>
      <c r="C298" s="12">
        <v>294</v>
      </c>
      <c r="D298" s="2" t="s">
        <v>9</v>
      </c>
      <c r="E298" s="2" t="s">
        <v>8</v>
      </c>
      <c r="F298" s="1">
        <v>1239</v>
      </c>
      <c r="G298" s="13">
        <v>6715.9365419264532</v>
      </c>
      <c r="H298" s="14" t="b">
        <v>0</v>
      </c>
      <c r="I298" s="15">
        <f t="shared" si="16"/>
        <v>7743</v>
      </c>
      <c r="J298" s="15">
        <f t="shared" si="16"/>
        <v>294</v>
      </c>
      <c r="K298" s="15">
        <f t="shared" si="17"/>
        <v>6716</v>
      </c>
      <c r="L298" s="3" t="str">
        <f t="shared" si="18"/>
        <v>Sunday</v>
      </c>
      <c r="M298" s="4" t="str">
        <f t="shared" si="19"/>
        <v>Normal Day</v>
      </c>
      <c r="N298" s="4" t="str">
        <f>TEXT(CleanedData[[#This Row],[DAY]], "mmm yyyy")</f>
        <v>Mar 2024</v>
      </c>
    </row>
    <row r="299" spans="1:14" x14ac:dyDescent="0.3">
      <c r="A299" s="5">
        <v>45354</v>
      </c>
      <c r="B299" s="12">
        <v>8098.5</v>
      </c>
      <c r="C299" s="12">
        <v>492</v>
      </c>
      <c r="D299" s="2" t="s">
        <v>10</v>
      </c>
      <c r="E299" s="2" t="s">
        <v>7</v>
      </c>
      <c r="F299" s="1">
        <v>1000</v>
      </c>
      <c r="G299" s="13">
        <v>7609.8854549923099</v>
      </c>
      <c r="H299" s="14" t="b">
        <v>1</v>
      </c>
      <c r="I299" s="15">
        <f t="shared" si="16"/>
        <v>8099</v>
      </c>
      <c r="J299" s="15">
        <f t="shared" si="16"/>
        <v>492</v>
      </c>
      <c r="K299" s="15">
        <f t="shared" si="17"/>
        <v>7610</v>
      </c>
      <c r="L299" s="3" t="str">
        <f t="shared" si="18"/>
        <v>Sunday</v>
      </c>
      <c r="M299" s="4" t="str">
        <f t="shared" si="19"/>
        <v>Outage Day</v>
      </c>
      <c r="N299" s="4" t="str">
        <f>TEXT(CleanedData[[#This Row],[DAY]], "mmm yyyy")</f>
        <v>Mar 2024</v>
      </c>
    </row>
    <row r="300" spans="1:14" x14ac:dyDescent="0.3">
      <c r="A300" s="5">
        <v>45355</v>
      </c>
      <c r="B300" s="12">
        <v>3</v>
      </c>
      <c r="C300" s="12">
        <v>1.5</v>
      </c>
      <c r="D300" s="2" t="s">
        <v>9</v>
      </c>
      <c r="E300" s="2" t="s">
        <v>7</v>
      </c>
      <c r="F300" s="1">
        <v>2</v>
      </c>
      <c r="G300" s="13">
        <v>4.213086711866735</v>
      </c>
      <c r="H300" s="14" t="b">
        <v>0</v>
      </c>
      <c r="I300" s="15">
        <f t="shared" si="16"/>
        <v>3</v>
      </c>
      <c r="J300" s="15">
        <f t="shared" si="16"/>
        <v>2</v>
      </c>
      <c r="K300" s="15">
        <f t="shared" si="17"/>
        <v>4</v>
      </c>
      <c r="L300" s="3" t="str">
        <f t="shared" si="18"/>
        <v>Monday</v>
      </c>
      <c r="M300" s="4" t="str">
        <f t="shared" si="19"/>
        <v>Normal Day</v>
      </c>
      <c r="N300" s="4" t="str">
        <f>TEXT(CleanedData[[#This Row],[DAY]], "mmm yyyy")</f>
        <v>Mar 2024</v>
      </c>
    </row>
    <row r="301" spans="1:14" x14ac:dyDescent="0.3">
      <c r="A301" s="5">
        <v>45355</v>
      </c>
      <c r="B301" s="12">
        <v>6</v>
      </c>
      <c r="C301" s="12">
        <v>1.5</v>
      </c>
      <c r="D301" s="2" t="s">
        <v>10</v>
      </c>
      <c r="E301" s="2" t="s">
        <v>8</v>
      </c>
      <c r="F301" s="1">
        <v>1</v>
      </c>
      <c r="G301" s="13">
        <v>6.4876923034243124</v>
      </c>
      <c r="H301" s="14" t="b">
        <v>0</v>
      </c>
      <c r="I301" s="15">
        <f t="shared" si="16"/>
        <v>6</v>
      </c>
      <c r="J301" s="15">
        <f t="shared" si="16"/>
        <v>2</v>
      </c>
      <c r="K301" s="15">
        <f t="shared" si="17"/>
        <v>6</v>
      </c>
      <c r="L301" s="3" t="str">
        <f t="shared" si="18"/>
        <v>Monday</v>
      </c>
      <c r="M301" s="4" t="str">
        <f t="shared" si="19"/>
        <v>Normal Day</v>
      </c>
      <c r="N301" s="4" t="str">
        <f>TEXT(CleanedData[[#This Row],[DAY]], "mmm yyyy")</f>
        <v>Mar 2024</v>
      </c>
    </row>
    <row r="302" spans="1:14" x14ac:dyDescent="0.3">
      <c r="A302" s="5">
        <v>45355</v>
      </c>
      <c r="B302" s="12">
        <v>364.5</v>
      </c>
      <c r="C302" s="12">
        <v>13.5</v>
      </c>
      <c r="D302" s="2" t="s">
        <v>6</v>
      </c>
      <c r="E302" s="2" t="s">
        <v>7</v>
      </c>
      <c r="F302" s="1">
        <v>146</v>
      </c>
      <c r="G302" s="13">
        <v>342.37179116721177</v>
      </c>
      <c r="H302" s="14" t="b">
        <v>0</v>
      </c>
      <c r="I302" s="15">
        <f t="shared" si="16"/>
        <v>365</v>
      </c>
      <c r="J302" s="15">
        <f t="shared" si="16"/>
        <v>14</v>
      </c>
      <c r="K302" s="15">
        <f t="shared" si="17"/>
        <v>342</v>
      </c>
      <c r="L302" s="3" t="str">
        <f t="shared" si="18"/>
        <v>Monday</v>
      </c>
      <c r="M302" s="4" t="str">
        <f t="shared" si="19"/>
        <v>Normal Day</v>
      </c>
      <c r="N302" s="4" t="str">
        <f>TEXT(CleanedData[[#This Row],[DAY]], "mmm yyyy")</f>
        <v>Mar 2024</v>
      </c>
    </row>
    <row r="303" spans="1:14" x14ac:dyDescent="0.3">
      <c r="A303" s="5">
        <v>45355</v>
      </c>
      <c r="B303" s="12">
        <v>1014</v>
      </c>
      <c r="C303" s="12">
        <v>13.5</v>
      </c>
      <c r="D303" s="2" t="s">
        <v>6</v>
      </c>
      <c r="E303" s="2" t="s">
        <v>8</v>
      </c>
      <c r="F303" s="1">
        <v>657</v>
      </c>
      <c r="G303" s="13">
        <v>883.4000839335622</v>
      </c>
      <c r="H303" s="14" t="b">
        <v>0</v>
      </c>
      <c r="I303" s="15">
        <f t="shared" si="16"/>
        <v>1014</v>
      </c>
      <c r="J303" s="15">
        <f t="shared" si="16"/>
        <v>14</v>
      </c>
      <c r="K303" s="15">
        <f t="shared" si="17"/>
        <v>883</v>
      </c>
      <c r="L303" s="3" t="str">
        <f t="shared" si="18"/>
        <v>Monday</v>
      </c>
      <c r="M303" s="4" t="str">
        <f t="shared" si="19"/>
        <v>Normal Day</v>
      </c>
      <c r="N303" s="4" t="str">
        <f>TEXT(CleanedData[[#This Row],[DAY]], "mmm yyyy")</f>
        <v>Mar 2024</v>
      </c>
    </row>
    <row r="304" spans="1:14" x14ac:dyDescent="0.3">
      <c r="A304" s="5">
        <v>45355</v>
      </c>
      <c r="B304" s="12">
        <v>8073</v>
      </c>
      <c r="C304" s="12">
        <v>196.5</v>
      </c>
      <c r="D304" s="2" t="s">
        <v>9</v>
      </c>
      <c r="E304" s="2" t="s">
        <v>8</v>
      </c>
      <c r="F304" s="1">
        <v>5255</v>
      </c>
      <c r="G304" s="13">
        <v>6623.1854225810184</v>
      </c>
      <c r="H304" s="14" t="b">
        <v>1</v>
      </c>
      <c r="I304" s="15">
        <f t="shared" si="16"/>
        <v>8073</v>
      </c>
      <c r="J304" s="15">
        <f t="shared" si="16"/>
        <v>197</v>
      </c>
      <c r="K304" s="15">
        <f t="shared" si="17"/>
        <v>6623</v>
      </c>
      <c r="L304" s="3" t="str">
        <f t="shared" si="18"/>
        <v>Monday</v>
      </c>
      <c r="M304" s="4" t="str">
        <f t="shared" si="19"/>
        <v>Outage Day</v>
      </c>
      <c r="N304" s="4" t="str">
        <f>TEXT(CleanedData[[#This Row],[DAY]], "mmm yyyy")</f>
        <v>Mar 2024</v>
      </c>
    </row>
    <row r="305" spans="1:14" x14ac:dyDescent="0.3">
      <c r="A305" s="5">
        <v>45355</v>
      </c>
      <c r="B305" s="12">
        <v>8358</v>
      </c>
      <c r="C305" s="12">
        <v>348</v>
      </c>
      <c r="D305" s="2" t="s">
        <v>10</v>
      </c>
      <c r="E305" s="2" t="s">
        <v>7</v>
      </c>
      <c r="F305" s="1">
        <v>5460</v>
      </c>
      <c r="G305" s="13">
        <v>8058.6369890252345</v>
      </c>
      <c r="H305" s="14" t="b">
        <v>0</v>
      </c>
      <c r="I305" s="15">
        <f t="shared" si="16"/>
        <v>8358</v>
      </c>
      <c r="J305" s="15">
        <f t="shared" si="16"/>
        <v>348</v>
      </c>
      <c r="K305" s="15">
        <f t="shared" si="17"/>
        <v>8059</v>
      </c>
      <c r="L305" s="3" t="str">
        <f t="shared" si="18"/>
        <v>Monday</v>
      </c>
      <c r="M305" s="4" t="str">
        <f t="shared" si="19"/>
        <v>Normal Day</v>
      </c>
      <c r="N305" s="4" t="str">
        <f>TEXT(CleanedData[[#This Row],[DAY]], "mmm yyyy")</f>
        <v>Mar 2024</v>
      </c>
    </row>
    <row r="306" spans="1:14" x14ac:dyDescent="0.3">
      <c r="A306" s="5">
        <v>45356</v>
      </c>
      <c r="B306" s="12">
        <v>1.5</v>
      </c>
      <c r="C306" s="12">
        <v>0</v>
      </c>
      <c r="D306" s="2" t="s">
        <v>10</v>
      </c>
      <c r="E306" s="2" t="s">
        <v>8</v>
      </c>
      <c r="F306" s="1">
        <v>1</v>
      </c>
      <c r="G306" s="13">
        <v>1.2864862048791179</v>
      </c>
      <c r="H306" s="14" t="b">
        <v>0</v>
      </c>
      <c r="I306" s="15">
        <f t="shared" si="16"/>
        <v>2</v>
      </c>
      <c r="J306" s="15">
        <f t="shared" si="16"/>
        <v>0</v>
      </c>
      <c r="K306" s="15">
        <f t="shared" si="17"/>
        <v>1</v>
      </c>
      <c r="L306" s="3" t="str">
        <f t="shared" si="18"/>
        <v>Tuesday</v>
      </c>
      <c r="M306" s="4" t="str">
        <f t="shared" si="19"/>
        <v>Normal Day</v>
      </c>
      <c r="N306" s="4" t="str">
        <f>TEXT(CleanedData[[#This Row],[DAY]], "mmm yyyy")</f>
        <v>Mar 2024</v>
      </c>
    </row>
    <row r="307" spans="1:14" x14ac:dyDescent="0.3">
      <c r="A307" s="5">
        <v>45356</v>
      </c>
      <c r="B307" s="12">
        <v>832.5</v>
      </c>
      <c r="C307" s="12">
        <v>27</v>
      </c>
      <c r="D307" s="2" t="s">
        <v>6</v>
      </c>
      <c r="E307" s="2" t="s">
        <v>7</v>
      </c>
      <c r="F307" s="1">
        <v>11</v>
      </c>
      <c r="G307" s="13">
        <v>775.26650765313843</v>
      </c>
      <c r="H307" s="14" t="b">
        <v>0</v>
      </c>
      <c r="I307" s="15">
        <f t="shared" si="16"/>
        <v>833</v>
      </c>
      <c r="J307" s="15">
        <f t="shared" si="16"/>
        <v>27</v>
      </c>
      <c r="K307" s="15">
        <f t="shared" si="17"/>
        <v>775</v>
      </c>
      <c r="L307" s="3" t="str">
        <f t="shared" si="18"/>
        <v>Tuesday</v>
      </c>
      <c r="M307" s="4" t="str">
        <f t="shared" si="19"/>
        <v>Normal Day</v>
      </c>
      <c r="N307" s="4" t="str">
        <f>TEXT(CleanedData[[#This Row],[DAY]], "mmm yyyy")</f>
        <v>Mar 2024</v>
      </c>
    </row>
    <row r="308" spans="1:14" x14ac:dyDescent="0.3">
      <c r="A308" s="5">
        <v>45356</v>
      </c>
      <c r="B308" s="12">
        <v>1173</v>
      </c>
      <c r="C308" s="12">
        <v>27</v>
      </c>
      <c r="D308" s="2" t="s">
        <v>6</v>
      </c>
      <c r="E308" s="2" t="s">
        <v>8</v>
      </c>
      <c r="F308" s="1">
        <v>380</v>
      </c>
      <c r="G308" s="13">
        <v>1064.2080094101577</v>
      </c>
      <c r="H308" s="14" t="b">
        <v>0</v>
      </c>
      <c r="I308" s="15">
        <f t="shared" si="16"/>
        <v>1173</v>
      </c>
      <c r="J308" s="15">
        <f t="shared" si="16"/>
        <v>27</v>
      </c>
      <c r="K308" s="15">
        <f t="shared" si="17"/>
        <v>1064</v>
      </c>
      <c r="L308" s="3" t="str">
        <f t="shared" si="18"/>
        <v>Tuesday</v>
      </c>
      <c r="M308" s="4" t="str">
        <f t="shared" si="19"/>
        <v>Normal Day</v>
      </c>
      <c r="N308" s="4" t="str">
        <f>TEXT(CleanedData[[#This Row],[DAY]], "mmm yyyy")</f>
        <v>Mar 2024</v>
      </c>
    </row>
    <row r="309" spans="1:14" x14ac:dyDescent="0.3">
      <c r="A309" s="5">
        <v>45356</v>
      </c>
      <c r="B309" s="12">
        <v>7090.5</v>
      </c>
      <c r="C309" s="12">
        <v>255</v>
      </c>
      <c r="D309" s="2" t="s">
        <v>9</v>
      </c>
      <c r="E309" s="2" t="s">
        <v>8</v>
      </c>
      <c r="F309" s="1">
        <v>4529</v>
      </c>
      <c r="G309" s="13">
        <v>6207.766761875414</v>
      </c>
      <c r="H309" s="14" t="b">
        <v>0</v>
      </c>
      <c r="I309" s="15">
        <f t="shared" si="16"/>
        <v>7091</v>
      </c>
      <c r="J309" s="15">
        <f t="shared" si="16"/>
        <v>255</v>
      </c>
      <c r="K309" s="15">
        <f t="shared" si="17"/>
        <v>6208</v>
      </c>
      <c r="L309" s="3" t="str">
        <f t="shared" si="18"/>
        <v>Tuesday</v>
      </c>
      <c r="M309" s="4" t="str">
        <f t="shared" si="19"/>
        <v>Normal Day</v>
      </c>
      <c r="N309" s="4" t="str">
        <f>TEXT(CleanedData[[#This Row],[DAY]], "mmm yyyy")</f>
        <v>Mar 2024</v>
      </c>
    </row>
    <row r="310" spans="1:14" x14ac:dyDescent="0.3">
      <c r="A310" s="5">
        <v>45356</v>
      </c>
      <c r="B310" s="12">
        <v>7840.5</v>
      </c>
      <c r="C310" s="12">
        <v>40.5</v>
      </c>
      <c r="D310" s="2" t="s">
        <v>10</v>
      </c>
      <c r="E310" s="2" t="s">
        <v>7</v>
      </c>
      <c r="F310" s="1">
        <v>3749</v>
      </c>
      <c r="G310" s="13">
        <v>7039.8231472694251</v>
      </c>
      <c r="H310" s="14" t="b">
        <v>0</v>
      </c>
      <c r="I310" s="15">
        <f t="shared" si="16"/>
        <v>7841</v>
      </c>
      <c r="J310" s="15">
        <f t="shared" si="16"/>
        <v>41</v>
      </c>
      <c r="K310" s="15">
        <f t="shared" si="17"/>
        <v>7040</v>
      </c>
      <c r="L310" s="3" t="str">
        <f t="shared" si="18"/>
        <v>Tuesday</v>
      </c>
      <c r="M310" s="4" t="str">
        <f t="shared" si="19"/>
        <v>Normal Day</v>
      </c>
      <c r="N310" s="4" t="str">
        <f>TEXT(CleanedData[[#This Row],[DAY]], "mmm yyyy")</f>
        <v>Mar 2024</v>
      </c>
    </row>
    <row r="311" spans="1:14" x14ac:dyDescent="0.3">
      <c r="A311" s="5">
        <v>45357</v>
      </c>
      <c r="B311" s="12">
        <v>3</v>
      </c>
      <c r="C311" s="12">
        <v>0</v>
      </c>
      <c r="D311" s="2" t="s">
        <v>10</v>
      </c>
      <c r="E311" s="2" t="s">
        <v>8</v>
      </c>
      <c r="F311" s="1">
        <v>1</v>
      </c>
      <c r="G311" s="13">
        <v>2.4819267414480475</v>
      </c>
      <c r="H311" s="14" t="b">
        <v>0</v>
      </c>
      <c r="I311" s="15">
        <f t="shared" si="16"/>
        <v>3</v>
      </c>
      <c r="J311" s="15">
        <f t="shared" si="16"/>
        <v>0</v>
      </c>
      <c r="K311" s="15">
        <f t="shared" si="17"/>
        <v>2</v>
      </c>
      <c r="L311" s="3" t="str">
        <f t="shared" si="18"/>
        <v>Wednesday</v>
      </c>
      <c r="M311" s="4" t="str">
        <f t="shared" si="19"/>
        <v>Normal Day</v>
      </c>
      <c r="N311" s="4" t="str">
        <f>TEXT(CleanedData[[#This Row],[DAY]], "mmm yyyy")</f>
        <v>Mar 2024</v>
      </c>
    </row>
    <row r="312" spans="1:14" x14ac:dyDescent="0.3">
      <c r="A312" s="5">
        <v>45357</v>
      </c>
      <c r="B312" s="12">
        <v>690</v>
      </c>
      <c r="C312" s="12">
        <v>9</v>
      </c>
      <c r="D312" s="2" t="s">
        <v>6</v>
      </c>
      <c r="E312" s="2" t="s">
        <v>8</v>
      </c>
      <c r="F312" s="1">
        <v>279</v>
      </c>
      <c r="G312" s="13">
        <v>561.76652606341406</v>
      </c>
      <c r="H312" s="14" t="b">
        <v>0</v>
      </c>
      <c r="I312" s="15">
        <f t="shared" si="16"/>
        <v>690</v>
      </c>
      <c r="J312" s="15">
        <f t="shared" si="16"/>
        <v>9</v>
      </c>
      <c r="K312" s="15">
        <f t="shared" si="17"/>
        <v>562</v>
      </c>
      <c r="L312" s="3" t="str">
        <f t="shared" si="18"/>
        <v>Wednesday</v>
      </c>
      <c r="M312" s="4" t="str">
        <f t="shared" si="19"/>
        <v>Normal Day</v>
      </c>
      <c r="N312" s="4" t="str">
        <f>TEXT(CleanedData[[#This Row],[DAY]], "mmm yyyy")</f>
        <v>Mar 2024</v>
      </c>
    </row>
    <row r="313" spans="1:14" x14ac:dyDescent="0.3">
      <c r="A313" s="5">
        <v>45357</v>
      </c>
      <c r="B313" s="12">
        <v>925.5</v>
      </c>
      <c r="C313" s="12">
        <v>9</v>
      </c>
      <c r="D313" s="2" t="s">
        <v>6</v>
      </c>
      <c r="E313" s="2" t="s">
        <v>7</v>
      </c>
      <c r="F313" s="1">
        <v>34</v>
      </c>
      <c r="G313" s="13">
        <v>825.24904667833198</v>
      </c>
      <c r="H313" s="14" t="b">
        <v>0</v>
      </c>
      <c r="I313" s="15">
        <f t="shared" si="16"/>
        <v>926</v>
      </c>
      <c r="J313" s="15">
        <f t="shared" si="16"/>
        <v>9</v>
      </c>
      <c r="K313" s="15">
        <f t="shared" si="17"/>
        <v>825</v>
      </c>
      <c r="L313" s="3" t="str">
        <f t="shared" si="18"/>
        <v>Wednesday</v>
      </c>
      <c r="M313" s="4" t="str">
        <f t="shared" si="19"/>
        <v>Normal Day</v>
      </c>
      <c r="N313" s="4" t="str">
        <f>TEXT(CleanedData[[#This Row],[DAY]], "mmm yyyy")</f>
        <v>Mar 2024</v>
      </c>
    </row>
    <row r="314" spans="1:14" x14ac:dyDescent="0.3">
      <c r="A314" s="5">
        <v>45357</v>
      </c>
      <c r="B314" s="12">
        <v>6672</v>
      </c>
      <c r="C314" s="12">
        <v>259.5</v>
      </c>
      <c r="D314" s="2" t="s">
        <v>9</v>
      </c>
      <c r="E314" s="2" t="s">
        <v>8</v>
      </c>
      <c r="F314" s="1">
        <v>270</v>
      </c>
      <c r="G314" s="13">
        <v>5721.0597777967869</v>
      </c>
      <c r="H314" s="14" t="b">
        <v>0</v>
      </c>
      <c r="I314" s="15">
        <f t="shared" si="16"/>
        <v>6672</v>
      </c>
      <c r="J314" s="15">
        <f t="shared" si="16"/>
        <v>260</v>
      </c>
      <c r="K314" s="15">
        <f t="shared" si="17"/>
        <v>5721</v>
      </c>
      <c r="L314" s="3" t="str">
        <f t="shared" si="18"/>
        <v>Wednesday</v>
      </c>
      <c r="M314" s="4" t="str">
        <f t="shared" si="19"/>
        <v>Normal Day</v>
      </c>
      <c r="N314" s="4" t="str">
        <f>TEXT(CleanedData[[#This Row],[DAY]], "mmm yyyy")</f>
        <v>Mar 2024</v>
      </c>
    </row>
    <row r="315" spans="1:14" x14ac:dyDescent="0.3">
      <c r="A315" s="5">
        <v>45357</v>
      </c>
      <c r="B315" s="12">
        <v>6943.5</v>
      </c>
      <c r="C315" s="12">
        <v>316.5</v>
      </c>
      <c r="D315" s="2" t="s">
        <v>10</v>
      </c>
      <c r="E315" s="2" t="s">
        <v>7</v>
      </c>
      <c r="F315" s="1">
        <v>4507</v>
      </c>
      <c r="G315" s="13">
        <v>6506.6701809491724</v>
      </c>
      <c r="H315" s="14" t="b">
        <v>0</v>
      </c>
      <c r="I315" s="15">
        <f t="shared" si="16"/>
        <v>6944</v>
      </c>
      <c r="J315" s="15">
        <f t="shared" si="16"/>
        <v>317</v>
      </c>
      <c r="K315" s="15">
        <f t="shared" si="17"/>
        <v>6507</v>
      </c>
      <c r="L315" s="3" t="str">
        <f t="shared" si="18"/>
        <v>Wednesday</v>
      </c>
      <c r="M315" s="4" t="str">
        <f t="shared" si="19"/>
        <v>Normal Day</v>
      </c>
      <c r="N315" s="4" t="str">
        <f>TEXT(CleanedData[[#This Row],[DAY]], "mmm yyyy")</f>
        <v>Mar 2024</v>
      </c>
    </row>
    <row r="316" spans="1:14" x14ac:dyDescent="0.3">
      <c r="A316" s="5">
        <v>45358</v>
      </c>
      <c r="B316" s="12">
        <v>1.5</v>
      </c>
      <c r="C316" s="12">
        <v>0</v>
      </c>
      <c r="D316" s="2" t="s">
        <v>9</v>
      </c>
      <c r="E316" s="2" t="s">
        <v>7</v>
      </c>
      <c r="F316" s="1">
        <v>1</v>
      </c>
      <c r="G316" s="13">
        <v>1.3957288544665725</v>
      </c>
      <c r="H316" s="14" t="b">
        <v>0</v>
      </c>
      <c r="I316" s="15">
        <f t="shared" si="16"/>
        <v>2</v>
      </c>
      <c r="J316" s="15">
        <f t="shared" si="16"/>
        <v>0</v>
      </c>
      <c r="K316" s="15">
        <f t="shared" si="17"/>
        <v>1</v>
      </c>
      <c r="L316" s="3" t="str">
        <f t="shared" si="18"/>
        <v>Thursday</v>
      </c>
      <c r="M316" s="4" t="str">
        <f t="shared" si="19"/>
        <v>Normal Day</v>
      </c>
      <c r="N316" s="4" t="str">
        <f>TEXT(CleanedData[[#This Row],[DAY]], "mmm yyyy")</f>
        <v>Mar 2024</v>
      </c>
    </row>
    <row r="317" spans="1:14" x14ac:dyDescent="0.3">
      <c r="A317" s="5">
        <v>45358</v>
      </c>
      <c r="B317" s="12">
        <v>3</v>
      </c>
      <c r="C317" s="12">
        <v>0</v>
      </c>
      <c r="D317" s="2" t="s">
        <v>10</v>
      </c>
      <c r="E317" s="2" t="s">
        <v>8</v>
      </c>
      <c r="F317" s="1">
        <v>2</v>
      </c>
      <c r="G317" s="13">
        <v>2.4613208557790429</v>
      </c>
      <c r="H317" s="14" t="b">
        <v>0</v>
      </c>
      <c r="I317" s="15">
        <f t="shared" si="16"/>
        <v>3</v>
      </c>
      <c r="J317" s="15">
        <f t="shared" si="16"/>
        <v>0</v>
      </c>
      <c r="K317" s="15">
        <f t="shared" si="17"/>
        <v>2</v>
      </c>
      <c r="L317" s="3" t="str">
        <f t="shared" si="18"/>
        <v>Thursday</v>
      </c>
      <c r="M317" s="4" t="str">
        <f t="shared" si="19"/>
        <v>Normal Day</v>
      </c>
      <c r="N317" s="4" t="str">
        <f>TEXT(CleanedData[[#This Row],[DAY]], "mmm yyyy")</f>
        <v>Mar 2024</v>
      </c>
    </row>
    <row r="318" spans="1:14" x14ac:dyDescent="0.3">
      <c r="A318" s="5">
        <v>45358</v>
      </c>
      <c r="B318" s="12">
        <v>735</v>
      </c>
      <c r="C318" s="12">
        <v>60</v>
      </c>
      <c r="D318" s="2" t="s">
        <v>6</v>
      </c>
      <c r="E318" s="2" t="s">
        <v>8</v>
      </c>
      <c r="F318" s="1">
        <v>127</v>
      </c>
      <c r="G318" s="13">
        <v>700.97123345980503</v>
      </c>
      <c r="H318" s="14" t="b">
        <v>0</v>
      </c>
      <c r="I318" s="15">
        <f t="shared" si="16"/>
        <v>735</v>
      </c>
      <c r="J318" s="15">
        <f t="shared" si="16"/>
        <v>60</v>
      </c>
      <c r="K318" s="15">
        <f t="shared" si="17"/>
        <v>701</v>
      </c>
      <c r="L318" s="3" t="str">
        <f t="shared" si="18"/>
        <v>Thursday</v>
      </c>
      <c r="M318" s="4" t="str">
        <f t="shared" si="19"/>
        <v>Normal Day</v>
      </c>
      <c r="N318" s="4" t="str">
        <f>TEXT(CleanedData[[#This Row],[DAY]], "mmm yyyy")</f>
        <v>Mar 2024</v>
      </c>
    </row>
    <row r="319" spans="1:14" x14ac:dyDescent="0.3">
      <c r="A319" s="5">
        <v>45358</v>
      </c>
      <c r="B319" s="12">
        <v>877.5</v>
      </c>
      <c r="C319" s="12">
        <v>60</v>
      </c>
      <c r="D319" s="2" t="s">
        <v>6</v>
      </c>
      <c r="E319" s="2" t="s">
        <v>7</v>
      </c>
      <c r="F319" s="1">
        <v>89</v>
      </c>
      <c r="G319" s="13">
        <v>857.45486110392653</v>
      </c>
      <c r="H319" s="14" t="b">
        <v>0</v>
      </c>
      <c r="I319" s="15">
        <f t="shared" si="16"/>
        <v>878</v>
      </c>
      <c r="J319" s="15">
        <f t="shared" si="16"/>
        <v>60</v>
      </c>
      <c r="K319" s="15">
        <f t="shared" si="17"/>
        <v>857</v>
      </c>
      <c r="L319" s="3" t="str">
        <f t="shared" si="18"/>
        <v>Thursday</v>
      </c>
      <c r="M319" s="4" t="str">
        <f t="shared" si="19"/>
        <v>Normal Day</v>
      </c>
      <c r="N319" s="4" t="str">
        <f>TEXT(CleanedData[[#This Row],[DAY]], "mmm yyyy")</f>
        <v>Mar 2024</v>
      </c>
    </row>
    <row r="320" spans="1:14" x14ac:dyDescent="0.3">
      <c r="A320" s="5">
        <v>45358</v>
      </c>
      <c r="B320" s="12">
        <v>6459</v>
      </c>
      <c r="C320" s="12">
        <v>231</v>
      </c>
      <c r="D320" s="2" t="s">
        <v>9</v>
      </c>
      <c r="E320" s="2" t="s">
        <v>8</v>
      </c>
      <c r="F320" s="1">
        <v>2776</v>
      </c>
      <c r="G320" s="13">
        <v>5692.5766245034783</v>
      </c>
      <c r="H320" s="14" t="b">
        <v>0</v>
      </c>
      <c r="I320" s="15">
        <f t="shared" si="16"/>
        <v>6459</v>
      </c>
      <c r="J320" s="15">
        <f t="shared" si="16"/>
        <v>231</v>
      </c>
      <c r="K320" s="15">
        <f t="shared" si="17"/>
        <v>5693</v>
      </c>
      <c r="L320" s="3" t="str">
        <f t="shared" si="18"/>
        <v>Thursday</v>
      </c>
      <c r="M320" s="4" t="str">
        <f t="shared" si="19"/>
        <v>Normal Day</v>
      </c>
      <c r="N320" s="4" t="str">
        <f>TEXT(CleanedData[[#This Row],[DAY]], "mmm yyyy")</f>
        <v>Mar 2024</v>
      </c>
    </row>
    <row r="321" spans="1:14" x14ac:dyDescent="0.3">
      <c r="A321" s="5">
        <v>45358</v>
      </c>
      <c r="B321" s="12">
        <v>9118.5</v>
      </c>
      <c r="C321" s="12">
        <v>433.5</v>
      </c>
      <c r="D321" s="2" t="s">
        <v>10</v>
      </c>
      <c r="E321" s="2" t="s">
        <v>7</v>
      </c>
      <c r="F321" s="1">
        <v>3635</v>
      </c>
      <c r="G321" s="13">
        <v>8386.425724580251</v>
      </c>
      <c r="H321" s="14" t="b">
        <v>0</v>
      </c>
      <c r="I321" s="15">
        <f t="shared" si="16"/>
        <v>9119</v>
      </c>
      <c r="J321" s="15">
        <f t="shared" si="16"/>
        <v>434</v>
      </c>
      <c r="K321" s="15">
        <f t="shared" si="17"/>
        <v>8386</v>
      </c>
      <c r="L321" s="3" t="str">
        <f t="shared" si="18"/>
        <v>Thursday</v>
      </c>
      <c r="M321" s="4" t="str">
        <f t="shared" si="19"/>
        <v>Normal Day</v>
      </c>
      <c r="N321" s="4" t="str">
        <f>TEXT(CleanedData[[#This Row],[DAY]], "mmm yyyy")</f>
        <v>Mar 2024</v>
      </c>
    </row>
    <row r="322" spans="1:14" x14ac:dyDescent="0.3">
      <c r="A322" s="5">
        <v>45359</v>
      </c>
      <c r="B322" s="12">
        <v>1.5</v>
      </c>
      <c r="C322" s="12">
        <v>0</v>
      </c>
      <c r="D322" s="2" t="s">
        <v>9</v>
      </c>
      <c r="E322" s="2" t="s">
        <v>7</v>
      </c>
      <c r="F322" s="1">
        <v>1</v>
      </c>
      <c r="G322" s="13">
        <v>1.3910369619748004</v>
      </c>
      <c r="H322" s="14" t="b">
        <v>0</v>
      </c>
      <c r="I322" s="15">
        <f t="shared" ref="I322:J385" si="20">ROUND(B322, 0)</f>
        <v>2</v>
      </c>
      <c r="J322" s="15">
        <f t="shared" si="20"/>
        <v>0</v>
      </c>
      <c r="K322" s="15">
        <f t="shared" ref="K322:K385" si="21">ROUND(G322, 0)</f>
        <v>1</v>
      </c>
      <c r="L322" s="3" t="str">
        <f t="shared" si="18"/>
        <v>Friday</v>
      </c>
      <c r="M322" s="4" t="str">
        <f t="shared" si="19"/>
        <v>Normal Day</v>
      </c>
      <c r="N322" s="4" t="str">
        <f>TEXT(CleanedData[[#This Row],[DAY]], "mmm yyyy")</f>
        <v>Mar 2024</v>
      </c>
    </row>
    <row r="323" spans="1:14" x14ac:dyDescent="0.3">
      <c r="A323" s="5">
        <v>45359</v>
      </c>
      <c r="B323" s="12">
        <v>3</v>
      </c>
      <c r="C323" s="12">
        <v>0</v>
      </c>
      <c r="D323" s="2" t="s">
        <v>10</v>
      </c>
      <c r="E323" s="2" t="s">
        <v>8</v>
      </c>
      <c r="F323" s="1">
        <v>2</v>
      </c>
      <c r="G323" s="13">
        <v>2.4770704474015801</v>
      </c>
      <c r="H323" s="14" t="b">
        <v>0</v>
      </c>
      <c r="I323" s="15">
        <f t="shared" si="20"/>
        <v>3</v>
      </c>
      <c r="J323" s="15">
        <f t="shared" si="20"/>
        <v>0</v>
      </c>
      <c r="K323" s="15">
        <f t="shared" si="21"/>
        <v>2</v>
      </c>
      <c r="L323" s="3" t="str">
        <f t="shared" ref="L323:L386" si="22">TEXT(A323,"dddd")</f>
        <v>Friday</v>
      </c>
      <c r="M323" s="4" t="str">
        <f t="shared" ref="M323:M386" si="23">IF(H323=TRUE, "Outage Day", "Normal Day")</f>
        <v>Normal Day</v>
      </c>
      <c r="N323" s="4" t="str">
        <f>TEXT(CleanedData[[#This Row],[DAY]], "mmm yyyy")</f>
        <v>Mar 2024</v>
      </c>
    </row>
    <row r="324" spans="1:14" x14ac:dyDescent="0.3">
      <c r="A324" s="5">
        <v>45359</v>
      </c>
      <c r="B324" s="12">
        <v>465</v>
      </c>
      <c r="C324" s="12">
        <v>15</v>
      </c>
      <c r="D324" s="2" t="s">
        <v>6</v>
      </c>
      <c r="E324" s="2" t="s">
        <v>7</v>
      </c>
      <c r="F324" s="1">
        <v>47</v>
      </c>
      <c r="G324" s="13">
        <v>419.75149977200692</v>
      </c>
      <c r="H324" s="14" t="b">
        <v>0</v>
      </c>
      <c r="I324" s="15">
        <f t="shared" si="20"/>
        <v>465</v>
      </c>
      <c r="J324" s="15">
        <f t="shared" si="20"/>
        <v>15</v>
      </c>
      <c r="K324" s="15">
        <f t="shared" si="21"/>
        <v>420</v>
      </c>
      <c r="L324" s="3" t="str">
        <f t="shared" si="22"/>
        <v>Friday</v>
      </c>
      <c r="M324" s="4" t="str">
        <f t="shared" si="23"/>
        <v>Normal Day</v>
      </c>
      <c r="N324" s="4" t="str">
        <f>TEXT(CleanedData[[#This Row],[DAY]], "mmm yyyy")</f>
        <v>Mar 2024</v>
      </c>
    </row>
    <row r="325" spans="1:14" x14ac:dyDescent="0.3">
      <c r="A325" s="5">
        <v>45359</v>
      </c>
      <c r="B325" s="12">
        <v>1024.5</v>
      </c>
      <c r="C325" s="12">
        <v>15</v>
      </c>
      <c r="D325" s="2" t="s">
        <v>6</v>
      </c>
      <c r="E325" s="2" t="s">
        <v>8</v>
      </c>
      <c r="F325" s="1">
        <v>570</v>
      </c>
      <c r="G325" s="13">
        <v>842.49046573312216</v>
      </c>
      <c r="H325" s="14" t="b">
        <v>0</v>
      </c>
      <c r="I325" s="15">
        <f t="shared" si="20"/>
        <v>1025</v>
      </c>
      <c r="J325" s="15">
        <f t="shared" si="20"/>
        <v>15</v>
      </c>
      <c r="K325" s="15">
        <f t="shared" si="21"/>
        <v>842</v>
      </c>
      <c r="L325" s="3" t="str">
        <f t="shared" si="22"/>
        <v>Friday</v>
      </c>
      <c r="M325" s="4" t="str">
        <f t="shared" si="23"/>
        <v>Normal Day</v>
      </c>
      <c r="N325" s="4" t="str">
        <f>TEXT(CleanedData[[#This Row],[DAY]], "mmm yyyy")</f>
        <v>Mar 2024</v>
      </c>
    </row>
    <row r="326" spans="1:14" x14ac:dyDescent="0.3">
      <c r="A326" s="5">
        <v>45359</v>
      </c>
      <c r="B326" s="12">
        <v>5958</v>
      </c>
      <c r="C326" s="12">
        <v>117</v>
      </c>
      <c r="D326" s="2" t="s">
        <v>9</v>
      </c>
      <c r="E326" s="2" t="s">
        <v>8</v>
      </c>
      <c r="F326" s="1">
        <v>2497</v>
      </c>
      <c r="G326" s="13">
        <v>4986.2129395069251</v>
      </c>
      <c r="H326" s="14" t="b">
        <v>0</v>
      </c>
      <c r="I326" s="15">
        <f t="shared" si="20"/>
        <v>5958</v>
      </c>
      <c r="J326" s="15">
        <f t="shared" si="20"/>
        <v>117</v>
      </c>
      <c r="K326" s="15">
        <f t="shared" si="21"/>
        <v>4986</v>
      </c>
      <c r="L326" s="3" t="str">
        <f t="shared" si="22"/>
        <v>Friday</v>
      </c>
      <c r="M326" s="4" t="str">
        <f t="shared" si="23"/>
        <v>Normal Day</v>
      </c>
      <c r="N326" s="4" t="str">
        <f>TEXT(CleanedData[[#This Row],[DAY]], "mmm yyyy")</f>
        <v>Mar 2024</v>
      </c>
    </row>
    <row r="327" spans="1:14" x14ac:dyDescent="0.3">
      <c r="A327" s="5">
        <v>45359</v>
      </c>
      <c r="B327" s="12">
        <v>8577</v>
      </c>
      <c r="C327" s="12">
        <v>477</v>
      </c>
      <c r="D327" s="2" t="s">
        <v>10</v>
      </c>
      <c r="E327" s="2" t="s">
        <v>7</v>
      </c>
      <c r="F327" s="1">
        <v>5670</v>
      </c>
      <c r="G327" s="13">
        <v>7999.5068007596756</v>
      </c>
      <c r="H327" s="14" t="b">
        <v>0</v>
      </c>
      <c r="I327" s="15">
        <f t="shared" si="20"/>
        <v>8577</v>
      </c>
      <c r="J327" s="15">
        <f t="shared" si="20"/>
        <v>477</v>
      </c>
      <c r="K327" s="15">
        <f t="shared" si="21"/>
        <v>8000</v>
      </c>
      <c r="L327" s="3" t="str">
        <f t="shared" si="22"/>
        <v>Friday</v>
      </c>
      <c r="M327" s="4" t="str">
        <f t="shared" si="23"/>
        <v>Normal Day</v>
      </c>
      <c r="N327" s="4" t="str">
        <f>TEXT(CleanedData[[#This Row],[DAY]], "mmm yyyy")</f>
        <v>Mar 2024</v>
      </c>
    </row>
    <row r="328" spans="1:14" x14ac:dyDescent="0.3">
      <c r="A328" s="5">
        <v>45360</v>
      </c>
      <c r="B328" s="12">
        <v>1.5</v>
      </c>
      <c r="C328" s="12">
        <v>0</v>
      </c>
      <c r="D328" s="2" t="s">
        <v>9</v>
      </c>
      <c r="E328" s="2" t="s">
        <v>7</v>
      </c>
      <c r="F328" s="1">
        <v>1</v>
      </c>
      <c r="G328" s="13">
        <v>1.306283865549255</v>
      </c>
      <c r="H328" s="14" t="b">
        <v>0</v>
      </c>
      <c r="I328" s="15">
        <f t="shared" si="20"/>
        <v>2</v>
      </c>
      <c r="J328" s="15">
        <f t="shared" si="20"/>
        <v>0</v>
      </c>
      <c r="K328" s="15">
        <f t="shared" si="21"/>
        <v>1</v>
      </c>
      <c r="L328" s="3" t="str">
        <f t="shared" si="22"/>
        <v>Saturday</v>
      </c>
      <c r="M328" s="4" t="str">
        <f t="shared" si="23"/>
        <v>Normal Day</v>
      </c>
      <c r="N328" s="4" t="str">
        <f>TEXT(CleanedData[[#This Row],[DAY]], "mmm yyyy")</f>
        <v>Mar 2024</v>
      </c>
    </row>
    <row r="329" spans="1:14" x14ac:dyDescent="0.3">
      <c r="A329" s="5">
        <v>45360</v>
      </c>
      <c r="B329" s="12">
        <v>1485</v>
      </c>
      <c r="C329" s="12">
        <v>84</v>
      </c>
      <c r="D329" s="2" t="s">
        <v>6</v>
      </c>
      <c r="E329" s="2" t="s">
        <v>8</v>
      </c>
      <c r="F329" s="1">
        <v>344</v>
      </c>
      <c r="G329" s="13">
        <v>1376.5099771634937</v>
      </c>
      <c r="H329" s="14" t="b">
        <v>0</v>
      </c>
      <c r="I329" s="15">
        <f t="shared" si="20"/>
        <v>1485</v>
      </c>
      <c r="J329" s="15">
        <f t="shared" si="20"/>
        <v>84</v>
      </c>
      <c r="K329" s="15">
        <f t="shared" si="21"/>
        <v>1377</v>
      </c>
      <c r="L329" s="3" t="str">
        <f t="shared" si="22"/>
        <v>Saturday</v>
      </c>
      <c r="M329" s="4" t="str">
        <f t="shared" si="23"/>
        <v>Normal Day</v>
      </c>
      <c r="N329" s="4" t="str">
        <f>TEXT(CleanedData[[#This Row],[DAY]], "mmm yyyy")</f>
        <v>Mar 2024</v>
      </c>
    </row>
    <row r="330" spans="1:14" x14ac:dyDescent="0.3">
      <c r="A330" s="5">
        <v>45360</v>
      </c>
      <c r="B330" s="12">
        <v>1899</v>
      </c>
      <c r="C330" s="12">
        <v>84</v>
      </c>
      <c r="D330" s="2" t="s">
        <v>6</v>
      </c>
      <c r="E330" s="2" t="s">
        <v>7</v>
      </c>
      <c r="F330" s="1">
        <v>57</v>
      </c>
      <c r="G330" s="13">
        <v>1785.7095925215083</v>
      </c>
      <c r="H330" s="14" t="b">
        <v>0</v>
      </c>
      <c r="I330" s="15">
        <f t="shared" si="20"/>
        <v>1899</v>
      </c>
      <c r="J330" s="15">
        <f t="shared" si="20"/>
        <v>84</v>
      </c>
      <c r="K330" s="15">
        <f t="shared" si="21"/>
        <v>1786</v>
      </c>
      <c r="L330" s="3" t="str">
        <f t="shared" si="22"/>
        <v>Saturday</v>
      </c>
      <c r="M330" s="4" t="str">
        <f t="shared" si="23"/>
        <v>Normal Day</v>
      </c>
      <c r="N330" s="4" t="str">
        <f>TEXT(CleanedData[[#This Row],[DAY]], "mmm yyyy")</f>
        <v>Mar 2024</v>
      </c>
    </row>
    <row r="331" spans="1:14" x14ac:dyDescent="0.3">
      <c r="A331" s="5">
        <v>45360</v>
      </c>
      <c r="B331" s="12">
        <v>5938.5</v>
      </c>
      <c r="C331" s="12">
        <v>216</v>
      </c>
      <c r="D331" s="2" t="s">
        <v>9</v>
      </c>
      <c r="E331" s="2" t="s">
        <v>8</v>
      </c>
      <c r="F331" s="1">
        <v>753</v>
      </c>
      <c r="G331" s="13">
        <v>5085.6636344481831</v>
      </c>
      <c r="H331" s="14" t="b">
        <v>0</v>
      </c>
      <c r="I331" s="15">
        <f t="shared" si="20"/>
        <v>5939</v>
      </c>
      <c r="J331" s="15">
        <f t="shared" si="20"/>
        <v>216</v>
      </c>
      <c r="K331" s="15">
        <f t="shared" si="21"/>
        <v>5086</v>
      </c>
      <c r="L331" s="3" t="str">
        <f t="shared" si="22"/>
        <v>Saturday</v>
      </c>
      <c r="M331" s="4" t="str">
        <f t="shared" si="23"/>
        <v>Normal Day</v>
      </c>
      <c r="N331" s="4" t="str">
        <f>TEXT(CleanedData[[#This Row],[DAY]], "mmm yyyy")</f>
        <v>Mar 2024</v>
      </c>
    </row>
    <row r="332" spans="1:14" x14ac:dyDescent="0.3">
      <c r="A332" s="5">
        <v>45360</v>
      </c>
      <c r="B332" s="12">
        <v>8752.5</v>
      </c>
      <c r="C332" s="12">
        <v>310.5</v>
      </c>
      <c r="D332" s="2" t="s">
        <v>10</v>
      </c>
      <c r="E332" s="2" t="s">
        <v>7</v>
      </c>
      <c r="F332" s="1">
        <v>306</v>
      </c>
      <c r="G332" s="13">
        <v>8435.2698357428399</v>
      </c>
      <c r="H332" s="14" t="b">
        <v>0</v>
      </c>
      <c r="I332" s="15">
        <f t="shared" si="20"/>
        <v>8753</v>
      </c>
      <c r="J332" s="15">
        <f t="shared" si="20"/>
        <v>311</v>
      </c>
      <c r="K332" s="15">
        <f t="shared" si="21"/>
        <v>8435</v>
      </c>
      <c r="L332" s="3" t="str">
        <f t="shared" si="22"/>
        <v>Saturday</v>
      </c>
      <c r="M332" s="4" t="str">
        <f t="shared" si="23"/>
        <v>Normal Day</v>
      </c>
      <c r="N332" s="4" t="str">
        <f>TEXT(CleanedData[[#This Row],[DAY]], "mmm yyyy")</f>
        <v>Mar 2024</v>
      </c>
    </row>
    <row r="333" spans="1:14" x14ac:dyDescent="0.3">
      <c r="A333" s="5">
        <v>45361</v>
      </c>
      <c r="B333" s="12">
        <v>1.5</v>
      </c>
      <c r="C333" s="12">
        <v>0</v>
      </c>
      <c r="D333" s="2" t="s">
        <v>10</v>
      </c>
      <c r="E333" s="2" t="s">
        <v>8</v>
      </c>
      <c r="F333" s="1">
        <v>1</v>
      </c>
      <c r="G333" s="13">
        <v>1.2620122631007482</v>
      </c>
      <c r="H333" s="14" t="b">
        <v>0</v>
      </c>
      <c r="I333" s="15">
        <f t="shared" si="20"/>
        <v>2</v>
      </c>
      <c r="J333" s="15">
        <f t="shared" si="20"/>
        <v>0</v>
      </c>
      <c r="K333" s="15">
        <f t="shared" si="21"/>
        <v>1</v>
      </c>
      <c r="L333" s="3" t="str">
        <f t="shared" si="22"/>
        <v>Sunday</v>
      </c>
      <c r="M333" s="4" t="str">
        <f t="shared" si="23"/>
        <v>Normal Day</v>
      </c>
      <c r="N333" s="4" t="str">
        <f>TEXT(CleanedData[[#This Row],[DAY]], "mmm yyyy")</f>
        <v>Mar 2024</v>
      </c>
    </row>
    <row r="334" spans="1:14" x14ac:dyDescent="0.3">
      <c r="A334" s="5">
        <v>45361</v>
      </c>
      <c r="B334" s="12">
        <v>1704</v>
      </c>
      <c r="C334" s="12">
        <v>21</v>
      </c>
      <c r="D334" s="2" t="s">
        <v>6</v>
      </c>
      <c r="E334" s="2" t="s">
        <v>7</v>
      </c>
      <c r="F334" s="1">
        <v>1022</v>
      </c>
      <c r="G334" s="13">
        <v>1556.1599773354462</v>
      </c>
      <c r="H334" s="14" t="b">
        <v>0</v>
      </c>
      <c r="I334" s="15">
        <f t="shared" si="20"/>
        <v>1704</v>
      </c>
      <c r="J334" s="15">
        <f t="shared" si="20"/>
        <v>21</v>
      </c>
      <c r="K334" s="15">
        <f t="shared" si="21"/>
        <v>1556</v>
      </c>
      <c r="L334" s="3" t="str">
        <f t="shared" si="22"/>
        <v>Sunday</v>
      </c>
      <c r="M334" s="4" t="str">
        <f t="shared" si="23"/>
        <v>Normal Day</v>
      </c>
      <c r="N334" s="4" t="str">
        <f>TEXT(CleanedData[[#This Row],[DAY]], "mmm yyyy")</f>
        <v>Mar 2024</v>
      </c>
    </row>
    <row r="335" spans="1:14" x14ac:dyDescent="0.3">
      <c r="A335" s="5">
        <v>45361</v>
      </c>
      <c r="B335" s="12">
        <v>1969.5</v>
      </c>
      <c r="C335" s="12">
        <v>21</v>
      </c>
      <c r="D335" s="2" t="s">
        <v>6</v>
      </c>
      <c r="E335" s="2" t="s">
        <v>8</v>
      </c>
      <c r="F335" s="1">
        <v>1234</v>
      </c>
      <c r="G335" s="13">
        <v>1597.5851905475447</v>
      </c>
      <c r="H335" s="14" t="b">
        <v>1</v>
      </c>
      <c r="I335" s="15">
        <f t="shared" si="20"/>
        <v>1970</v>
      </c>
      <c r="J335" s="15">
        <f t="shared" si="20"/>
        <v>21</v>
      </c>
      <c r="K335" s="15">
        <f t="shared" si="21"/>
        <v>1598</v>
      </c>
      <c r="L335" s="3" t="str">
        <f t="shared" si="22"/>
        <v>Sunday</v>
      </c>
      <c r="M335" s="4" t="str">
        <f t="shared" si="23"/>
        <v>Outage Day</v>
      </c>
      <c r="N335" s="4" t="str">
        <f>TEXT(CleanedData[[#This Row],[DAY]], "mmm yyyy")</f>
        <v>Mar 2024</v>
      </c>
    </row>
    <row r="336" spans="1:14" x14ac:dyDescent="0.3">
      <c r="A336" s="5">
        <v>45361</v>
      </c>
      <c r="B336" s="12">
        <v>6934.5</v>
      </c>
      <c r="C336" s="12">
        <v>255</v>
      </c>
      <c r="D336" s="2" t="s">
        <v>9</v>
      </c>
      <c r="E336" s="2" t="s">
        <v>8</v>
      </c>
      <c r="F336" s="1">
        <v>2186</v>
      </c>
      <c r="G336" s="13">
        <v>6373.5181698482947</v>
      </c>
      <c r="H336" s="14" t="b">
        <v>0</v>
      </c>
      <c r="I336" s="15">
        <f t="shared" si="20"/>
        <v>6935</v>
      </c>
      <c r="J336" s="15">
        <f t="shared" si="20"/>
        <v>255</v>
      </c>
      <c r="K336" s="15">
        <f t="shared" si="21"/>
        <v>6374</v>
      </c>
      <c r="L336" s="3" t="str">
        <f t="shared" si="22"/>
        <v>Sunday</v>
      </c>
      <c r="M336" s="4" t="str">
        <f t="shared" si="23"/>
        <v>Normal Day</v>
      </c>
      <c r="N336" s="4" t="str">
        <f>TEXT(CleanedData[[#This Row],[DAY]], "mmm yyyy")</f>
        <v>Mar 2024</v>
      </c>
    </row>
    <row r="337" spans="1:14" x14ac:dyDescent="0.3">
      <c r="A337" s="5">
        <v>45361</v>
      </c>
      <c r="B337" s="12">
        <v>7422</v>
      </c>
      <c r="C337" s="12">
        <v>27</v>
      </c>
      <c r="D337" s="2" t="s">
        <v>10</v>
      </c>
      <c r="E337" s="2" t="s">
        <v>7</v>
      </c>
      <c r="F337" s="1">
        <v>2858</v>
      </c>
      <c r="G337" s="13">
        <v>6686.8597108830172</v>
      </c>
      <c r="H337" s="14" t="b">
        <v>0</v>
      </c>
      <c r="I337" s="15">
        <f t="shared" si="20"/>
        <v>7422</v>
      </c>
      <c r="J337" s="15">
        <f t="shared" si="20"/>
        <v>27</v>
      </c>
      <c r="K337" s="15">
        <f t="shared" si="21"/>
        <v>6687</v>
      </c>
      <c r="L337" s="3" t="str">
        <f t="shared" si="22"/>
        <v>Sunday</v>
      </c>
      <c r="M337" s="4" t="str">
        <f t="shared" si="23"/>
        <v>Normal Day</v>
      </c>
      <c r="N337" s="4" t="str">
        <f>TEXT(CleanedData[[#This Row],[DAY]], "mmm yyyy")</f>
        <v>Mar 2024</v>
      </c>
    </row>
    <row r="338" spans="1:14" x14ac:dyDescent="0.3">
      <c r="A338" s="5">
        <v>45362</v>
      </c>
      <c r="B338" s="12">
        <v>3</v>
      </c>
      <c r="C338" s="12">
        <v>0</v>
      </c>
      <c r="D338" s="2" t="s">
        <v>10</v>
      </c>
      <c r="E338" s="2" t="s">
        <v>8</v>
      </c>
      <c r="F338" s="1">
        <v>2</v>
      </c>
      <c r="G338" s="13">
        <v>2.4692072161579173</v>
      </c>
      <c r="H338" s="14" t="b">
        <v>0</v>
      </c>
      <c r="I338" s="15">
        <f t="shared" si="20"/>
        <v>3</v>
      </c>
      <c r="J338" s="15">
        <f t="shared" si="20"/>
        <v>0</v>
      </c>
      <c r="K338" s="15">
        <f t="shared" si="21"/>
        <v>2</v>
      </c>
      <c r="L338" s="3" t="str">
        <f t="shared" si="22"/>
        <v>Monday</v>
      </c>
      <c r="M338" s="4" t="str">
        <f t="shared" si="23"/>
        <v>Normal Day</v>
      </c>
      <c r="N338" s="4" t="str">
        <f>TEXT(CleanedData[[#This Row],[DAY]], "mmm yyyy")</f>
        <v>Mar 2024</v>
      </c>
    </row>
    <row r="339" spans="1:14" x14ac:dyDescent="0.3">
      <c r="A339" s="5">
        <v>45362</v>
      </c>
      <c r="B339" s="12">
        <v>1132.5</v>
      </c>
      <c r="C339" s="12">
        <v>48</v>
      </c>
      <c r="D339" s="2" t="s">
        <v>6</v>
      </c>
      <c r="E339" s="2" t="s">
        <v>8</v>
      </c>
      <c r="F339" s="1">
        <v>47</v>
      </c>
      <c r="G339" s="13">
        <v>1045.9084728302146</v>
      </c>
      <c r="H339" s="14" t="b">
        <v>0</v>
      </c>
      <c r="I339" s="15">
        <f t="shared" si="20"/>
        <v>1133</v>
      </c>
      <c r="J339" s="15">
        <f t="shared" si="20"/>
        <v>48</v>
      </c>
      <c r="K339" s="15">
        <f t="shared" si="21"/>
        <v>1046</v>
      </c>
      <c r="L339" s="3" t="str">
        <f t="shared" si="22"/>
        <v>Monday</v>
      </c>
      <c r="M339" s="4" t="str">
        <f t="shared" si="23"/>
        <v>Normal Day</v>
      </c>
      <c r="N339" s="4" t="str">
        <f>TEXT(CleanedData[[#This Row],[DAY]], "mmm yyyy")</f>
        <v>Mar 2024</v>
      </c>
    </row>
    <row r="340" spans="1:14" x14ac:dyDescent="0.3">
      <c r="A340" s="5">
        <v>45362</v>
      </c>
      <c r="B340" s="12">
        <v>1150.5</v>
      </c>
      <c r="C340" s="12">
        <v>48</v>
      </c>
      <c r="D340" s="2" t="s">
        <v>6</v>
      </c>
      <c r="E340" s="2" t="s">
        <v>7</v>
      </c>
      <c r="F340" s="1">
        <v>565</v>
      </c>
      <c r="G340" s="13">
        <v>1105.7078709892548</v>
      </c>
      <c r="H340" s="14" t="b">
        <v>0</v>
      </c>
      <c r="I340" s="15">
        <f t="shared" si="20"/>
        <v>1151</v>
      </c>
      <c r="J340" s="15">
        <f t="shared" si="20"/>
        <v>48</v>
      </c>
      <c r="K340" s="15">
        <f t="shared" si="21"/>
        <v>1106</v>
      </c>
      <c r="L340" s="3" t="str">
        <f t="shared" si="22"/>
        <v>Monday</v>
      </c>
      <c r="M340" s="4" t="str">
        <f t="shared" si="23"/>
        <v>Normal Day</v>
      </c>
      <c r="N340" s="4" t="str">
        <f>TEXT(CleanedData[[#This Row],[DAY]], "mmm yyyy")</f>
        <v>Mar 2024</v>
      </c>
    </row>
    <row r="341" spans="1:14" x14ac:dyDescent="0.3">
      <c r="A341" s="5">
        <v>45362</v>
      </c>
      <c r="B341" s="12">
        <v>7860</v>
      </c>
      <c r="C341" s="12">
        <v>423</v>
      </c>
      <c r="D341" s="2" t="s">
        <v>10</v>
      </c>
      <c r="E341" s="2" t="s">
        <v>7</v>
      </c>
      <c r="F341" s="1">
        <v>1870</v>
      </c>
      <c r="G341" s="13">
        <v>7734.7756325184337</v>
      </c>
      <c r="H341" s="14" t="b">
        <v>0</v>
      </c>
      <c r="I341" s="15">
        <f t="shared" si="20"/>
        <v>7860</v>
      </c>
      <c r="J341" s="15">
        <f t="shared" si="20"/>
        <v>423</v>
      </c>
      <c r="K341" s="15">
        <f t="shared" si="21"/>
        <v>7735</v>
      </c>
      <c r="L341" s="3" t="str">
        <f t="shared" si="22"/>
        <v>Monday</v>
      </c>
      <c r="M341" s="4" t="str">
        <f t="shared" si="23"/>
        <v>Normal Day</v>
      </c>
      <c r="N341" s="4" t="str">
        <f>TEXT(CleanedData[[#This Row],[DAY]], "mmm yyyy")</f>
        <v>Mar 2024</v>
      </c>
    </row>
    <row r="342" spans="1:14" x14ac:dyDescent="0.3">
      <c r="A342" s="5">
        <v>45362</v>
      </c>
      <c r="B342" s="12">
        <v>9240</v>
      </c>
      <c r="C342" s="12">
        <v>214.5</v>
      </c>
      <c r="D342" s="2" t="s">
        <v>9</v>
      </c>
      <c r="E342" s="2" t="s">
        <v>8</v>
      </c>
      <c r="F342" s="1">
        <v>5228</v>
      </c>
      <c r="G342" s="13">
        <v>8156.9125545733141</v>
      </c>
      <c r="H342" s="14" t="b">
        <v>1</v>
      </c>
      <c r="I342" s="15">
        <f t="shared" si="20"/>
        <v>9240</v>
      </c>
      <c r="J342" s="15">
        <f t="shared" si="20"/>
        <v>215</v>
      </c>
      <c r="K342" s="15">
        <f t="shared" si="21"/>
        <v>8157</v>
      </c>
      <c r="L342" s="3" t="str">
        <f t="shared" si="22"/>
        <v>Monday</v>
      </c>
      <c r="M342" s="4" t="str">
        <f t="shared" si="23"/>
        <v>Outage Day</v>
      </c>
      <c r="N342" s="4" t="str">
        <f>TEXT(CleanedData[[#This Row],[DAY]], "mmm yyyy")</f>
        <v>Mar 2024</v>
      </c>
    </row>
    <row r="343" spans="1:14" x14ac:dyDescent="0.3">
      <c r="A343" s="5">
        <v>45363</v>
      </c>
      <c r="B343" s="12">
        <v>304.5</v>
      </c>
      <c r="C343" s="12">
        <v>21</v>
      </c>
      <c r="D343" s="2" t="s">
        <v>6</v>
      </c>
      <c r="E343" s="2" t="s">
        <v>7</v>
      </c>
      <c r="F343" s="1">
        <v>134</v>
      </c>
      <c r="G343" s="13">
        <v>300.48101578337423</v>
      </c>
      <c r="H343" s="14" t="b">
        <v>0</v>
      </c>
      <c r="I343" s="15">
        <f t="shared" si="20"/>
        <v>305</v>
      </c>
      <c r="J343" s="15">
        <f t="shared" si="20"/>
        <v>21</v>
      </c>
      <c r="K343" s="15">
        <f t="shared" si="21"/>
        <v>300</v>
      </c>
      <c r="L343" s="3" t="str">
        <f t="shared" si="22"/>
        <v>Tuesday</v>
      </c>
      <c r="M343" s="4" t="str">
        <f t="shared" si="23"/>
        <v>Normal Day</v>
      </c>
      <c r="N343" s="4" t="str">
        <f>TEXT(CleanedData[[#This Row],[DAY]], "mmm yyyy")</f>
        <v>Mar 2024</v>
      </c>
    </row>
    <row r="344" spans="1:14" x14ac:dyDescent="0.3">
      <c r="A344" s="5">
        <v>45363</v>
      </c>
      <c r="B344" s="12">
        <v>573</v>
      </c>
      <c r="C344" s="12">
        <v>21</v>
      </c>
      <c r="D344" s="2" t="s">
        <v>6</v>
      </c>
      <c r="E344" s="2" t="s">
        <v>8</v>
      </c>
      <c r="F344" s="1">
        <v>376</v>
      </c>
      <c r="G344" s="13">
        <v>506.71627111386249</v>
      </c>
      <c r="H344" s="14" t="b">
        <v>0</v>
      </c>
      <c r="I344" s="15">
        <f t="shared" si="20"/>
        <v>573</v>
      </c>
      <c r="J344" s="15">
        <f t="shared" si="20"/>
        <v>21</v>
      </c>
      <c r="K344" s="15">
        <f t="shared" si="21"/>
        <v>507</v>
      </c>
      <c r="L344" s="3" t="str">
        <f t="shared" si="22"/>
        <v>Tuesday</v>
      </c>
      <c r="M344" s="4" t="str">
        <f t="shared" si="23"/>
        <v>Normal Day</v>
      </c>
      <c r="N344" s="4" t="str">
        <f>TEXT(CleanedData[[#This Row],[DAY]], "mmm yyyy")</f>
        <v>Mar 2024</v>
      </c>
    </row>
    <row r="345" spans="1:14" x14ac:dyDescent="0.3">
      <c r="A345" s="5">
        <v>45363</v>
      </c>
      <c r="B345" s="12">
        <v>5368.5</v>
      </c>
      <c r="C345" s="12">
        <v>34.5</v>
      </c>
      <c r="D345" s="2" t="s">
        <v>9</v>
      </c>
      <c r="E345" s="2" t="s">
        <v>8</v>
      </c>
      <c r="F345" s="1">
        <v>94</v>
      </c>
      <c r="G345" s="13">
        <v>4723.3833261298414</v>
      </c>
      <c r="H345" s="14" t="b">
        <v>0</v>
      </c>
      <c r="I345" s="15">
        <f t="shared" si="20"/>
        <v>5369</v>
      </c>
      <c r="J345" s="15">
        <f t="shared" si="20"/>
        <v>35</v>
      </c>
      <c r="K345" s="15">
        <f t="shared" si="21"/>
        <v>4723</v>
      </c>
      <c r="L345" s="3" t="str">
        <f t="shared" si="22"/>
        <v>Tuesday</v>
      </c>
      <c r="M345" s="4" t="str">
        <f t="shared" si="23"/>
        <v>Normal Day</v>
      </c>
      <c r="N345" s="4" t="str">
        <f>TEXT(CleanedData[[#This Row],[DAY]], "mmm yyyy")</f>
        <v>Mar 2024</v>
      </c>
    </row>
    <row r="346" spans="1:14" x14ac:dyDescent="0.3">
      <c r="A346" s="5">
        <v>45363</v>
      </c>
      <c r="B346" s="12">
        <v>6813</v>
      </c>
      <c r="C346" s="12">
        <v>360</v>
      </c>
      <c r="D346" s="2" t="s">
        <v>10</v>
      </c>
      <c r="E346" s="2" t="s">
        <v>7</v>
      </c>
      <c r="F346" s="1">
        <v>597</v>
      </c>
      <c r="G346" s="13">
        <v>6603.2262435330904</v>
      </c>
      <c r="H346" s="14" t="b">
        <v>0</v>
      </c>
      <c r="I346" s="15">
        <f t="shared" si="20"/>
        <v>6813</v>
      </c>
      <c r="J346" s="15">
        <f t="shared" si="20"/>
        <v>360</v>
      </c>
      <c r="K346" s="15">
        <f t="shared" si="21"/>
        <v>6603</v>
      </c>
      <c r="L346" s="3" t="str">
        <f t="shared" si="22"/>
        <v>Tuesday</v>
      </c>
      <c r="M346" s="4" t="str">
        <f t="shared" si="23"/>
        <v>Normal Day</v>
      </c>
      <c r="N346" s="4" t="str">
        <f>TEXT(CleanedData[[#This Row],[DAY]], "mmm yyyy")</f>
        <v>Mar 2024</v>
      </c>
    </row>
    <row r="347" spans="1:14" x14ac:dyDescent="0.3">
      <c r="A347" s="5">
        <v>45364</v>
      </c>
      <c r="B347" s="12">
        <v>1.5</v>
      </c>
      <c r="C347" s="12">
        <v>0</v>
      </c>
      <c r="D347" s="2" t="s">
        <v>9</v>
      </c>
      <c r="E347" s="2" t="s">
        <v>7</v>
      </c>
      <c r="F347" s="1">
        <v>1</v>
      </c>
      <c r="G347" s="13">
        <v>1.3877139248766885</v>
      </c>
      <c r="H347" s="14" t="b">
        <v>0</v>
      </c>
      <c r="I347" s="15">
        <f t="shared" si="20"/>
        <v>2</v>
      </c>
      <c r="J347" s="15">
        <f t="shared" si="20"/>
        <v>0</v>
      </c>
      <c r="K347" s="15">
        <f t="shared" si="21"/>
        <v>1</v>
      </c>
      <c r="L347" s="3" t="str">
        <f t="shared" si="22"/>
        <v>Wednesday</v>
      </c>
      <c r="M347" s="4" t="str">
        <f t="shared" si="23"/>
        <v>Normal Day</v>
      </c>
      <c r="N347" s="4" t="str">
        <f>TEXT(CleanedData[[#This Row],[DAY]], "mmm yyyy")</f>
        <v>Mar 2024</v>
      </c>
    </row>
    <row r="348" spans="1:14" x14ac:dyDescent="0.3">
      <c r="A348" s="5">
        <v>45364</v>
      </c>
      <c r="B348" s="12">
        <v>3</v>
      </c>
      <c r="C348" s="12">
        <v>0</v>
      </c>
      <c r="D348" s="2" t="s">
        <v>10</v>
      </c>
      <c r="E348" s="2" t="s">
        <v>8</v>
      </c>
      <c r="F348" s="1">
        <v>1</v>
      </c>
      <c r="G348" s="13">
        <v>2.5957082057770018</v>
      </c>
      <c r="H348" s="14" t="b">
        <v>0</v>
      </c>
      <c r="I348" s="15">
        <f t="shared" si="20"/>
        <v>3</v>
      </c>
      <c r="J348" s="15">
        <f t="shared" si="20"/>
        <v>0</v>
      </c>
      <c r="K348" s="15">
        <f t="shared" si="21"/>
        <v>3</v>
      </c>
      <c r="L348" s="3" t="str">
        <f t="shared" si="22"/>
        <v>Wednesday</v>
      </c>
      <c r="M348" s="4" t="str">
        <f t="shared" si="23"/>
        <v>Normal Day</v>
      </c>
      <c r="N348" s="4" t="str">
        <f>TEXT(CleanedData[[#This Row],[DAY]], "mmm yyyy")</f>
        <v>Mar 2024</v>
      </c>
    </row>
    <row r="349" spans="1:14" x14ac:dyDescent="0.3">
      <c r="A349" s="5">
        <v>45364</v>
      </c>
      <c r="B349" s="12">
        <v>495</v>
      </c>
      <c r="C349" s="12">
        <v>39</v>
      </c>
      <c r="D349" s="2" t="s">
        <v>6</v>
      </c>
      <c r="E349" s="2" t="s">
        <v>8</v>
      </c>
      <c r="F349" s="1">
        <v>166</v>
      </c>
      <c r="G349" s="13">
        <v>471.18845422745943</v>
      </c>
      <c r="H349" s="14" t="b">
        <v>0</v>
      </c>
      <c r="I349" s="15">
        <f t="shared" si="20"/>
        <v>495</v>
      </c>
      <c r="J349" s="15">
        <f t="shared" si="20"/>
        <v>39</v>
      </c>
      <c r="K349" s="15">
        <f t="shared" si="21"/>
        <v>471</v>
      </c>
      <c r="L349" s="3" t="str">
        <f t="shared" si="22"/>
        <v>Wednesday</v>
      </c>
      <c r="M349" s="4" t="str">
        <f t="shared" si="23"/>
        <v>Normal Day</v>
      </c>
      <c r="N349" s="4" t="str">
        <f>TEXT(CleanedData[[#This Row],[DAY]], "mmm yyyy")</f>
        <v>Mar 2024</v>
      </c>
    </row>
    <row r="350" spans="1:14" x14ac:dyDescent="0.3">
      <c r="A350" s="5">
        <v>45364</v>
      </c>
      <c r="B350" s="12">
        <v>766.5</v>
      </c>
      <c r="C350" s="12">
        <v>39</v>
      </c>
      <c r="D350" s="2" t="s">
        <v>6</v>
      </c>
      <c r="E350" s="2" t="s">
        <v>7</v>
      </c>
      <c r="F350" s="1">
        <v>488</v>
      </c>
      <c r="G350" s="13">
        <v>705.00311083768906</v>
      </c>
      <c r="H350" s="14" t="b">
        <v>0</v>
      </c>
      <c r="I350" s="15">
        <f t="shared" si="20"/>
        <v>767</v>
      </c>
      <c r="J350" s="15">
        <f t="shared" si="20"/>
        <v>39</v>
      </c>
      <c r="K350" s="15">
        <f t="shared" si="21"/>
        <v>705</v>
      </c>
      <c r="L350" s="3" t="str">
        <f t="shared" si="22"/>
        <v>Wednesday</v>
      </c>
      <c r="M350" s="4" t="str">
        <f t="shared" si="23"/>
        <v>Normal Day</v>
      </c>
      <c r="N350" s="4" t="str">
        <f>TEXT(CleanedData[[#This Row],[DAY]], "mmm yyyy")</f>
        <v>Mar 2024</v>
      </c>
    </row>
    <row r="351" spans="1:14" x14ac:dyDescent="0.3">
      <c r="A351" s="5">
        <v>45364</v>
      </c>
      <c r="B351" s="12">
        <v>4852.5</v>
      </c>
      <c r="C351" s="12">
        <v>51</v>
      </c>
      <c r="D351" s="2" t="s">
        <v>9</v>
      </c>
      <c r="E351" s="2" t="s">
        <v>8</v>
      </c>
      <c r="F351" s="1">
        <v>676</v>
      </c>
      <c r="G351" s="13">
        <v>3980.0570570586165</v>
      </c>
      <c r="H351" s="14" t="b">
        <v>0</v>
      </c>
      <c r="I351" s="15">
        <f t="shared" si="20"/>
        <v>4853</v>
      </c>
      <c r="J351" s="15">
        <f t="shared" si="20"/>
        <v>51</v>
      </c>
      <c r="K351" s="15">
        <f t="shared" si="21"/>
        <v>3980</v>
      </c>
      <c r="L351" s="3" t="str">
        <f t="shared" si="22"/>
        <v>Wednesday</v>
      </c>
      <c r="M351" s="4" t="str">
        <f t="shared" si="23"/>
        <v>Normal Day</v>
      </c>
      <c r="N351" s="4" t="str">
        <f>TEXT(CleanedData[[#This Row],[DAY]], "mmm yyyy")</f>
        <v>Mar 2024</v>
      </c>
    </row>
    <row r="352" spans="1:14" x14ac:dyDescent="0.3">
      <c r="A352" s="5">
        <v>45364</v>
      </c>
      <c r="B352" s="12">
        <v>6516</v>
      </c>
      <c r="C352" s="12">
        <v>334.5</v>
      </c>
      <c r="D352" s="2" t="s">
        <v>10</v>
      </c>
      <c r="E352" s="2" t="s">
        <v>7</v>
      </c>
      <c r="F352" s="1">
        <v>484</v>
      </c>
      <c r="G352" s="13">
        <v>6096.1261709562214</v>
      </c>
      <c r="H352" s="14" t="b">
        <v>0</v>
      </c>
      <c r="I352" s="15">
        <f t="shared" si="20"/>
        <v>6516</v>
      </c>
      <c r="J352" s="15">
        <f t="shared" si="20"/>
        <v>335</v>
      </c>
      <c r="K352" s="15">
        <f t="shared" si="21"/>
        <v>6096</v>
      </c>
      <c r="L352" s="3" t="str">
        <f t="shared" si="22"/>
        <v>Wednesday</v>
      </c>
      <c r="M352" s="4" t="str">
        <f t="shared" si="23"/>
        <v>Normal Day</v>
      </c>
      <c r="N352" s="4" t="str">
        <f>TEXT(CleanedData[[#This Row],[DAY]], "mmm yyyy")</f>
        <v>Mar 2024</v>
      </c>
    </row>
    <row r="353" spans="1:14" x14ac:dyDescent="0.3">
      <c r="A353" s="5">
        <v>45365</v>
      </c>
      <c r="B353" s="12">
        <v>3</v>
      </c>
      <c r="C353" s="12">
        <v>0</v>
      </c>
      <c r="D353" s="2" t="s">
        <v>10</v>
      </c>
      <c r="E353" s="2" t="s">
        <v>8</v>
      </c>
      <c r="F353" s="1">
        <v>1</v>
      </c>
      <c r="G353" s="13">
        <v>2.642089169883624</v>
      </c>
      <c r="H353" s="14" t="b">
        <v>0</v>
      </c>
      <c r="I353" s="15">
        <f t="shared" si="20"/>
        <v>3</v>
      </c>
      <c r="J353" s="15">
        <f t="shared" si="20"/>
        <v>0</v>
      </c>
      <c r="K353" s="15">
        <f t="shared" si="21"/>
        <v>3</v>
      </c>
      <c r="L353" s="3" t="str">
        <f t="shared" si="22"/>
        <v>Thursday</v>
      </c>
      <c r="M353" s="4" t="str">
        <f t="shared" si="23"/>
        <v>Normal Day</v>
      </c>
      <c r="N353" s="4" t="str">
        <f>TEXT(CleanedData[[#This Row],[DAY]], "mmm yyyy")</f>
        <v>Mar 2024</v>
      </c>
    </row>
    <row r="354" spans="1:14" x14ac:dyDescent="0.3">
      <c r="A354" s="5">
        <v>45365</v>
      </c>
      <c r="B354" s="12">
        <v>429</v>
      </c>
      <c r="C354" s="12">
        <v>7.5</v>
      </c>
      <c r="D354" s="2" t="s">
        <v>6</v>
      </c>
      <c r="E354" s="2" t="s">
        <v>8</v>
      </c>
      <c r="F354" s="1">
        <v>74</v>
      </c>
      <c r="G354" s="13">
        <v>371.1523914654814</v>
      </c>
      <c r="H354" s="14" t="b">
        <v>0</v>
      </c>
      <c r="I354" s="15">
        <f t="shared" si="20"/>
        <v>429</v>
      </c>
      <c r="J354" s="15">
        <f t="shared" si="20"/>
        <v>8</v>
      </c>
      <c r="K354" s="15">
        <f t="shared" si="21"/>
        <v>371</v>
      </c>
      <c r="L354" s="3" t="str">
        <f t="shared" si="22"/>
        <v>Thursday</v>
      </c>
      <c r="M354" s="4" t="str">
        <f t="shared" si="23"/>
        <v>Normal Day</v>
      </c>
      <c r="N354" s="4" t="str">
        <f>TEXT(CleanedData[[#This Row],[DAY]], "mmm yyyy")</f>
        <v>Mar 2024</v>
      </c>
    </row>
    <row r="355" spans="1:14" x14ac:dyDescent="0.3">
      <c r="A355" s="5">
        <v>45365</v>
      </c>
      <c r="B355" s="12">
        <v>1258.5</v>
      </c>
      <c r="C355" s="12">
        <v>7.5</v>
      </c>
      <c r="D355" s="2" t="s">
        <v>6</v>
      </c>
      <c r="E355" s="2" t="s">
        <v>7</v>
      </c>
      <c r="F355" s="1">
        <v>334</v>
      </c>
      <c r="G355" s="13">
        <v>1118.7979814992821</v>
      </c>
      <c r="H355" s="14" t="b">
        <v>0</v>
      </c>
      <c r="I355" s="15">
        <f t="shared" si="20"/>
        <v>1259</v>
      </c>
      <c r="J355" s="15">
        <f t="shared" si="20"/>
        <v>8</v>
      </c>
      <c r="K355" s="15">
        <f t="shared" si="21"/>
        <v>1119</v>
      </c>
      <c r="L355" s="3" t="str">
        <f t="shared" si="22"/>
        <v>Thursday</v>
      </c>
      <c r="M355" s="4" t="str">
        <f t="shared" si="23"/>
        <v>Normal Day</v>
      </c>
      <c r="N355" s="4" t="str">
        <f>TEXT(CleanedData[[#This Row],[DAY]], "mmm yyyy")</f>
        <v>Mar 2024</v>
      </c>
    </row>
    <row r="356" spans="1:14" x14ac:dyDescent="0.3">
      <c r="A356" s="5">
        <v>45365</v>
      </c>
      <c r="B356" s="12">
        <v>5686.5</v>
      </c>
      <c r="C356" s="12">
        <v>49.5</v>
      </c>
      <c r="D356" s="2" t="s">
        <v>9</v>
      </c>
      <c r="E356" s="2" t="s">
        <v>8</v>
      </c>
      <c r="F356" s="1">
        <v>2006</v>
      </c>
      <c r="G356" s="13">
        <v>4888.3081181297066</v>
      </c>
      <c r="H356" s="14" t="b">
        <v>0</v>
      </c>
      <c r="I356" s="15">
        <f t="shared" si="20"/>
        <v>5687</v>
      </c>
      <c r="J356" s="15">
        <f t="shared" si="20"/>
        <v>50</v>
      </c>
      <c r="K356" s="15">
        <f t="shared" si="21"/>
        <v>4888</v>
      </c>
      <c r="L356" s="3" t="str">
        <f t="shared" si="22"/>
        <v>Thursday</v>
      </c>
      <c r="M356" s="4" t="str">
        <f t="shared" si="23"/>
        <v>Normal Day</v>
      </c>
      <c r="N356" s="4" t="str">
        <f>TEXT(CleanedData[[#This Row],[DAY]], "mmm yyyy")</f>
        <v>Mar 2024</v>
      </c>
    </row>
    <row r="357" spans="1:14" x14ac:dyDescent="0.3">
      <c r="A357" s="5">
        <v>45365</v>
      </c>
      <c r="B357" s="12">
        <v>6570</v>
      </c>
      <c r="C357" s="12">
        <v>303</v>
      </c>
      <c r="D357" s="2" t="s">
        <v>10</v>
      </c>
      <c r="E357" s="2" t="s">
        <v>7</v>
      </c>
      <c r="F357" s="1">
        <v>2826</v>
      </c>
      <c r="G357" s="13">
        <v>6104.3750165454912</v>
      </c>
      <c r="H357" s="14" t="b">
        <v>0</v>
      </c>
      <c r="I357" s="15">
        <f t="shared" si="20"/>
        <v>6570</v>
      </c>
      <c r="J357" s="15">
        <f t="shared" si="20"/>
        <v>303</v>
      </c>
      <c r="K357" s="15">
        <f t="shared" si="21"/>
        <v>6104</v>
      </c>
      <c r="L357" s="3" t="str">
        <f t="shared" si="22"/>
        <v>Thursday</v>
      </c>
      <c r="M357" s="4" t="str">
        <f t="shared" si="23"/>
        <v>Normal Day</v>
      </c>
      <c r="N357" s="4" t="str">
        <f>TEXT(CleanedData[[#This Row],[DAY]], "mmm yyyy")</f>
        <v>Mar 2024</v>
      </c>
    </row>
    <row r="358" spans="1:14" x14ac:dyDescent="0.3">
      <c r="A358" s="5">
        <v>45366</v>
      </c>
      <c r="B358" s="12">
        <v>648</v>
      </c>
      <c r="C358" s="12">
        <v>37.5</v>
      </c>
      <c r="D358" s="2" t="s">
        <v>6</v>
      </c>
      <c r="E358" s="2" t="s">
        <v>8</v>
      </c>
      <c r="F358" s="1">
        <v>420</v>
      </c>
      <c r="G358" s="13">
        <v>561.74082187757631</v>
      </c>
      <c r="H358" s="14" t="b">
        <v>0</v>
      </c>
      <c r="I358" s="15">
        <f t="shared" si="20"/>
        <v>648</v>
      </c>
      <c r="J358" s="15">
        <f t="shared" si="20"/>
        <v>38</v>
      </c>
      <c r="K358" s="15">
        <f t="shared" si="21"/>
        <v>562</v>
      </c>
      <c r="L358" s="3" t="str">
        <f t="shared" si="22"/>
        <v>Friday</v>
      </c>
      <c r="M358" s="4" t="str">
        <f t="shared" si="23"/>
        <v>Normal Day</v>
      </c>
      <c r="N358" s="4" t="str">
        <f>TEXT(CleanedData[[#This Row],[DAY]], "mmm yyyy")</f>
        <v>Mar 2024</v>
      </c>
    </row>
    <row r="359" spans="1:14" x14ac:dyDescent="0.3">
      <c r="A359" s="5">
        <v>45366</v>
      </c>
      <c r="B359" s="12">
        <v>735</v>
      </c>
      <c r="C359" s="12">
        <v>37.5</v>
      </c>
      <c r="D359" s="2" t="s">
        <v>6</v>
      </c>
      <c r="E359" s="2" t="s">
        <v>7</v>
      </c>
      <c r="F359" s="1">
        <v>403</v>
      </c>
      <c r="G359" s="13">
        <v>679.03992607453768</v>
      </c>
      <c r="H359" s="14" t="b">
        <v>0</v>
      </c>
      <c r="I359" s="15">
        <f t="shared" si="20"/>
        <v>735</v>
      </c>
      <c r="J359" s="15">
        <f t="shared" si="20"/>
        <v>38</v>
      </c>
      <c r="K359" s="15">
        <f t="shared" si="21"/>
        <v>679</v>
      </c>
      <c r="L359" s="3" t="str">
        <f t="shared" si="22"/>
        <v>Friday</v>
      </c>
      <c r="M359" s="4" t="str">
        <f t="shared" si="23"/>
        <v>Normal Day</v>
      </c>
      <c r="N359" s="4" t="str">
        <f>TEXT(CleanedData[[#This Row],[DAY]], "mmm yyyy")</f>
        <v>Mar 2024</v>
      </c>
    </row>
    <row r="360" spans="1:14" x14ac:dyDescent="0.3">
      <c r="A360" s="5">
        <v>45366</v>
      </c>
      <c r="B360" s="12">
        <v>4263</v>
      </c>
      <c r="C360" s="12">
        <v>174</v>
      </c>
      <c r="D360" s="2" t="s">
        <v>9</v>
      </c>
      <c r="E360" s="2" t="s">
        <v>8</v>
      </c>
      <c r="F360" s="1">
        <v>780</v>
      </c>
      <c r="G360" s="13">
        <v>3925.5932526006118</v>
      </c>
      <c r="H360" s="14" t="b">
        <v>0</v>
      </c>
      <c r="I360" s="15">
        <f t="shared" si="20"/>
        <v>4263</v>
      </c>
      <c r="J360" s="15">
        <f t="shared" si="20"/>
        <v>174</v>
      </c>
      <c r="K360" s="15">
        <f t="shared" si="21"/>
        <v>3926</v>
      </c>
      <c r="L360" s="3" t="str">
        <f t="shared" si="22"/>
        <v>Friday</v>
      </c>
      <c r="M360" s="4" t="str">
        <f t="shared" si="23"/>
        <v>Normal Day</v>
      </c>
      <c r="N360" s="4" t="str">
        <f>TEXT(CleanedData[[#This Row],[DAY]], "mmm yyyy")</f>
        <v>Mar 2024</v>
      </c>
    </row>
    <row r="361" spans="1:14" x14ac:dyDescent="0.3">
      <c r="A361" s="5">
        <v>45366</v>
      </c>
      <c r="B361" s="12">
        <v>7357.5</v>
      </c>
      <c r="C361" s="12">
        <v>184.5</v>
      </c>
      <c r="D361" s="2" t="s">
        <v>10</v>
      </c>
      <c r="E361" s="2" t="s">
        <v>7</v>
      </c>
      <c r="F361" s="1">
        <v>631</v>
      </c>
      <c r="G361" s="13">
        <v>6656.3078038923768</v>
      </c>
      <c r="H361" s="14" t="b">
        <v>0</v>
      </c>
      <c r="I361" s="15">
        <f t="shared" si="20"/>
        <v>7358</v>
      </c>
      <c r="J361" s="15">
        <f t="shared" si="20"/>
        <v>185</v>
      </c>
      <c r="K361" s="15">
        <f t="shared" si="21"/>
        <v>6656</v>
      </c>
      <c r="L361" s="3" t="str">
        <f t="shared" si="22"/>
        <v>Friday</v>
      </c>
      <c r="M361" s="4" t="str">
        <f t="shared" si="23"/>
        <v>Normal Day</v>
      </c>
      <c r="N361" s="4" t="str">
        <f>TEXT(CleanedData[[#This Row],[DAY]], "mmm yyyy")</f>
        <v>Mar 2024</v>
      </c>
    </row>
    <row r="362" spans="1:14" x14ac:dyDescent="0.3">
      <c r="A362" s="5">
        <v>45367</v>
      </c>
      <c r="B362" s="12">
        <v>441</v>
      </c>
      <c r="C362" s="12">
        <v>25.5</v>
      </c>
      <c r="D362" s="2" t="s">
        <v>6</v>
      </c>
      <c r="E362" s="2" t="s">
        <v>8</v>
      </c>
      <c r="F362" s="1">
        <v>94</v>
      </c>
      <c r="G362" s="13">
        <v>376.66766910718252</v>
      </c>
      <c r="H362" s="14" t="b">
        <v>0</v>
      </c>
      <c r="I362" s="15">
        <f t="shared" si="20"/>
        <v>441</v>
      </c>
      <c r="J362" s="15">
        <f t="shared" si="20"/>
        <v>26</v>
      </c>
      <c r="K362" s="15">
        <f t="shared" si="21"/>
        <v>377</v>
      </c>
      <c r="L362" s="3" t="str">
        <f t="shared" si="22"/>
        <v>Saturday</v>
      </c>
      <c r="M362" s="4" t="str">
        <f t="shared" si="23"/>
        <v>Normal Day</v>
      </c>
      <c r="N362" s="4" t="str">
        <f>TEXT(CleanedData[[#This Row],[DAY]], "mmm yyyy")</f>
        <v>Mar 2024</v>
      </c>
    </row>
    <row r="363" spans="1:14" x14ac:dyDescent="0.3">
      <c r="A363" s="5">
        <v>45367</v>
      </c>
      <c r="B363" s="12">
        <v>525</v>
      </c>
      <c r="C363" s="12">
        <v>25.5</v>
      </c>
      <c r="D363" s="2" t="s">
        <v>6</v>
      </c>
      <c r="E363" s="2" t="s">
        <v>7</v>
      </c>
      <c r="F363" s="1">
        <v>314</v>
      </c>
      <c r="G363" s="13">
        <v>484.36376232194607</v>
      </c>
      <c r="H363" s="14" t="b">
        <v>0</v>
      </c>
      <c r="I363" s="15">
        <f t="shared" si="20"/>
        <v>525</v>
      </c>
      <c r="J363" s="15">
        <f t="shared" si="20"/>
        <v>26</v>
      </c>
      <c r="K363" s="15">
        <f t="shared" si="21"/>
        <v>484</v>
      </c>
      <c r="L363" s="3" t="str">
        <f t="shared" si="22"/>
        <v>Saturday</v>
      </c>
      <c r="M363" s="4" t="str">
        <f t="shared" si="23"/>
        <v>Normal Day</v>
      </c>
      <c r="N363" s="4" t="str">
        <f>TEXT(CleanedData[[#This Row],[DAY]], "mmm yyyy")</f>
        <v>Mar 2024</v>
      </c>
    </row>
    <row r="364" spans="1:14" x14ac:dyDescent="0.3">
      <c r="A364" s="5">
        <v>45367</v>
      </c>
      <c r="B364" s="12">
        <v>4234.5</v>
      </c>
      <c r="C364" s="12">
        <v>78</v>
      </c>
      <c r="D364" s="2" t="s">
        <v>9</v>
      </c>
      <c r="E364" s="2" t="s">
        <v>8</v>
      </c>
      <c r="F364" s="1">
        <v>858</v>
      </c>
      <c r="G364" s="13">
        <v>3506.7426652664826</v>
      </c>
      <c r="H364" s="14" t="b">
        <v>0</v>
      </c>
      <c r="I364" s="15">
        <f t="shared" si="20"/>
        <v>4235</v>
      </c>
      <c r="J364" s="15">
        <f t="shared" si="20"/>
        <v>78</v>
      </c>
      <c r="K364" s="15">
        <f t="shared" si="21"/>
        <v>3507</v>
      </c>
      <c r="L364" s="3" t="str">
        <f t="shared" si="22"/>
        <v>Saturday</v>
      </c>
      <c r="M364" s="4" t="str">
        <f t="shared" si="23"/>
        <v>Normal Day</v>
      </c>
      <c r="N364" s="4" t="str">
        <f>TEXT(CleanedData[[#This Row],[DAY]], "mmm yyyy")</f>
        <v>Mar 2024</v>
      </c>
    </row>
    <row r="365" spans="1:14" x14ac:dyDescent="0.3">
      <c r="A365" s="5">
        <v>45367</v>
      </c>
      <c r="B365" s="12">
        <v>8211</v>
      </c>
      <c r="C365" s="12">
        <v>253.5</v>
      </c>
      <c r="D365" s="2" t="s">
        <v>10</v>
      </c>
      <c r="E365" s="2" t="s">
        <v>7</v>
      </c>
      <c r="F365" s="1">
        <v>456</v>
      </c>
      <c r="G365" s="13">
        <v>7587.6907435581888</v>
      </c>
      <c r="H365" s="14" t="b">
        <v>0</v>
      </c>
      <c r="I365" s="15">
        <f t="shared" si="20"/>
        <v>8211</v>
      </c>
      <c r="J365" s="15">
        <f t="shared" si="20"/>
        <v>254</v>
      </c>
      <c r="K365" s="15">
        <f t="shared" si="21"/>
        <v>7588</v>
      </c>
      <c r="L365" s="3" t="str">
        <f t="shared" si="22"/>
        <v>Saturday</v>
      </c>
      <c r="M365" s="4" t="str">
        <f t="shared" si="23"/>
        <v>Normal Day</v>
      </c>
      <c r="N365" s="4" t="str">
        <f>TEXT(CleanedData[[#This Row],[DAY]], "mmm yyyy")</f>
        <v>Mar 2024</v>
      </c>
    </row>
    <row r="366" spans="1:14" x14ac:dyDescent="0.3">
      <c r="A366" s="5">
        <v>45368</v>
      </c>
      <c r="B366" s="12">
        <v>2376</v>
      </c>
      <c r="C366" s="12">
        <v>114</v>
      </c>
      <c r="D366" s="2" t="s">
        <v>9</v>
      </c>
      <c r="E366" s="2" t="s">
        <v>8</v>
      </c>
      <c r="F366" s="1">
        <v>1405</v>
      </c>
      <c r="G366" s="13">
        <v>2160.8239472955338</v>
      </c>
      <c r="H366" s="14" t="b">
        <v>1</v>
      </c>
      <c r="I366" s="15">
        <f t="shared" si="20"/>
        <v>2376</v>
      </c>
      <c r="J366" s="15">
        <f t="shared" si="20"/>
        <v>114</v>
      </c>
      <c r="K366" s="15">
        <f t="shared" si="21"/>
        <v>2161</v>
      </c>
      <c r="L366" s="3" t="str">
        <f t="shared" si="22"/>
        <v>Sunday</v>
      </c>
      <c r="M366" s="4" t="str">
        <f t="shared" si="23"/>
        <v>Outage Day</v>
      </c>
      <c r="N366" s="4" t="str">
        <f>TEXT(CleanedData[[#This Row],[DAY]], "mmm yyyy")</f>
        <v>Mar 2024</v>
      </c>
    </row>
    <row r="367" spans="1:14" x14ac:dyDescent="0.3">
      <c r="A367" s="5">
        <v>45368</v>
      </c>
      <c r="B367" s="12">
        <v>3567</v>
      </c>
      <c r="C367" s="12">
        <v>76.5</v>
      </c>
      <c r="D367" s="2" t="s">
        <v>6</v>
      </c>
      <c r="E367" s="2" t="s">
        <v>8</v>
      </c>
      <c r="F367" s="1">
        <v>2150</v>
      </c>
      <c r="G367" s="13">
        <v>3140.422846343899</v>
      </c>
      <c r="H367" s="14" t="b">
        <v>1</v>
      </c>
      <c r="I367" s="15">
        <f t="shared" si="20"/>
        <v>3567</v>
      </c>
      <c r="J367" s="15">
        <f t="shared" si="20"/>
        <v>77</v>
      </c>
      <c r="K367" s="15">
        <f t="shared" si="21"/>
        <v>3140</v>
      </c>
      <c r="L367" s="3" t="str">
        <f t="shared" si="22"/>
        <v>Sunday</v>
      </c>
      <c r="M367" s="4" t="str">
        <f t="shared" si="23"/>
        <v>Outage Day</v>
      </c>
      <c r="N367" s="4" t="str">
        <f>TEXT(CleanedData[[#This Row],[DAY]], "mmm yyyy")</f>
        <v>Mar 2024</v>
      </c>
    </row>
    <row r="368" spans="1:14" x14ac:dyDescent="0.3">
      <c r="A368" s="5">
        <v>45368</v>
      </c>
      <c r="B368" s="12">
        <v>4008</v>
      </c>
      <c r="C368" s="12">
        <v>76.5</v>
      </c>
      <c r="D368" s="2" t="s">
        <v>10</v>
      </c>
      <c r="E368" s="2" t="s">
        <v>7</v>
      </c>
      <c r="F368" s="1">
        <v>2380</v>
      </c>
      <c r="G368" s="13">
        <v>3557.6698793236119</v>
      </c>
      <c r="H368" s="14" t="b">
        <v>1</v>
      </c>
      <c r="I368" s="15">
        <f t="shared" si="20"/>
        <v>4008</v>
      </c>
      <c r="J368" s="15">
        <f t="shared" si="20"/>
        <v>77</v>
      </c>
      <c r="K368" s="15">
        <f t="shared" si="21"/>
        <v>3558</v>
      </c>
      <c r="L368" s="3" t="str">
        <f t="shared" si="22"/>
        <v>Sunday</v>
      </c>
      <c r="M368" s="4" t="str">
        <f t="shared" si="23"/>
        <v>Outage Day</v>
      </c>
      <c r="N368" s="4" t="str">
        <f>TEXT(CleanedData[[#This Row],[DAY]], "mmm yyyy")</f>
        <v>Mar 2024</v>
      </c>
    </row>
    <row r="369" spans="1:14" x14ac:dyDescent="0.3">
      <c r="A369" s="5">
        <v>45368</v>
      </c>
      <c r="B369" s="12">
        <v>4875</v>
      </c>
      <c r="C369" s="12">
        <v>76.5</v>
      </c>
      <c r="D369" s="2" t="s">
        <v>6</v>
      </c>
      <c r="E369" s="2" t="s">
        <v>7</v>
      </c>
      <c r="F369" s="1">
        <v>21</v>
      </c>
      <c r="G369" s="13">
        <v>4391.0329949279485</v>
      </c>
      <c r="H369" s="14" t="b">
        <v>1</v>
      </c>
      <c r="I369" s="15">
        <f t="shared" si="20"/>
        <v>4875</v>
      </c>
      <c r="J369" s="15">
        <f t="shared" si="20"/>
        <v>77</v>
      </c>
      <c r="K369" s="15">
        <f t="shared" si="21"/>
        <v>4391</v>
      </c>
      <c r="L369" s="3" t="str">
        <f t="shared" si="22"/>
        <v>Sunday</v>
      </c>
      <c r="M369" s="4" t="str">
        <f t="shared" si="23"/>
        <v>Outage Day</v>
      </c>
      <c r="N369" s="4" t="str">
        <f>TEXT(CleanedData[[#This Row],[DAY]], "mmm yyyy")</f>
        <v>Mar 2024</v>
      </c>
    </row>
    <row r="370" spans="1:14" x14ac:dyDescent="0.3">
      <c r="A370" s="5">
        <v>45369</v>
      </c>
      <c r="B370" s="12">
        <v>3</v>
      </c>
      <c r="C370" s="12">
        <v>1.5</v>
      </c>
      <c r="D370" s="2" t="s">
        <v>10</v>
      </c>
      <c r="E370" s="2" t="s">
        <v>8</v>
      </c>
      <c r="F370" s="1">
        <v>1</v>
      </c>
      <c r="G370" s="13">
        <v>3.76125623045793</v>
      </c>
      <c r="H370" s="14" t="b">
        <v>1</v>
      </c>
      <c r="I370" s="15">
        <f t="shared" si="20"/>
        <v>3</v>
      </c>
      <c r="J370" s="15">
        <f t="shared" si="20"/>
        <v>2</v>
      </c>
      <c r="K370" s="15">
        <f t="shared" si="21"/>
        <v>4</v>
      </c>
      <c r="L370" s="3" t="str">
        <f t="shared" si="22"/>
        <v>Monday</v>
      </c>
      <c r="M370" s="4" t="str">
        <f t="shared" si="23"/>
        <v>Outage Day</v>
      </c>
      <c r="N370" s="4" t="str">
        <f>TEXT(CleanedData[[#This Row],[DAY]], "mmm yyyy")</f>
        <v>Mar 2024</v>
      </c>
    </row>
    <row r="371" spans="1:14" x14ac:dyDescent="0.3">
      <c r="A371" s="5">
        <v>45369</v>
      </c>
      <c r="B371" s="12">
        <v>1506</v>
      </c>
      <c r="C371" s="12">
        <v>46.5</v>
      </c>
      <c r="D371" s="2" t="s">
        <v>6</v>
      </c>
      <c r="E371" s="2" t="s">
        <v>8</v>
      </c>
      <c r="F371" s="1">
        <v>884</v>
      </c>
      <c r="G371" s="13">
        <v>1348.8083121034299</v>
      </c>
      <c r="H371" s="14" t="b">
        <v>1</v>
      </c>
      <c r="I371" s="15">
        <f t="shared" si="20"/>
        <v>1506</v>
      </c>
      <c r="J371" s="15">
        <f t="shared" si="20"/>
        <v>47</v>
      </c>
      <c r="K371" s="15">
        <f t="shared" si="21"/>
        <v>1349</v>
      </c>
      <c r="L371" s="3" t="str">
        <f t="shared" si="22"/>
        <v>Monday</v>
      </c>
      <c r="M371" s="4" t="str">
        <f t="shared" si="23"/>
        <v>Outage Day</v>
      </c>
      <c r="N371" s="4" t="str">
        <f>TEXT(CleanedData[[#This Row],[DAY]], "mmm yyyy")</f>
        <v>Mar 2024</v>
      </c>
    </row>
    <row r="372" spans="1:14" x14ac:dyDescent="0.3">
      <c r="A372" s="5">
        <v>45369</v>
      </c>
      <c r="B372" s="12">
        <v>3721.5</v>
      </c>
      <c r="C372" s="12">
        <v>46.5</v>
      </c>
      <c r="D372" s="2" t="s">
        <v>6</v>
      </c>
      <c r="E372" s="2" t="s">
        <v>7</v>
      </c>
      <c r="F372" s="1">
        <v>65</v>
      </c>
      <c r="G372" s="13">
        <v>3334.7481430281655</v>
      </c>
      <c r="H372" s="14" t="b">
        <v>1</v>
      </c>
      <c r="I372" s="15">
        <f t="shared" si="20"/>
        <v>3722</v>
      </c>
      <c r="J372" s="15">
        <f t="shared" si="20"/>
        <v>47</v>
      </c>
      <c r="K372" s="15">
        <f t="shared" si="21"/>
        <v>3335</v>
      </c>
      <c r="L372" s="3" t="str">
        <f t="shared" si="22"/>
        <v>Monday</v>
      </c>
      <c r="M372" s="4" t="str">
        <f t="shared" si="23"/>
        <v>Outage Day</v>
      </c>
      <c r="N372" s="4" t="str">
        <f>TEXT(CleanedData[[#This Row],[DAY]], "mmm yyyy")</f>
        <v>Mar 2024</v>
      </c>
    </row>
    <row r="373" spans="1:14" x14ac:dyDescent="0.3">
      <c r="A373" s="5">
        <v>45369</v>
      </c>
      <c r="B373" s="12">
        <v>4930.5</v>
      </c>
      <c r="C373" s="12">
        <v>7.5</v>
      </c>
      <c r="D373" s="2" t="s">
        <v>10</v>
      </c>
      <c r="E373" s="2" t="s">
        <v>7</v>
      </c>
      <c r="F373" s="1">
        <v>2320</v>
      </c>
      <c r="G373" s="13">
        <v>4504.4485819033043</v>
      </c>
      <c r="H373" s="14" t="b">
        <v>1</v>
      </c>
      <c r="I373" s="15">
        <f t="shared" si="20"/>
        <v>4931</v>
      </c>
      <c r="J373" s="15">
        <f t="shared" si="20"/>
        <v>8</v>
      </c>
      <c r="K373" s="15">
        <f t="shared" si="21"/>
        <v>4504</v>
      </c>
      <c r="L373" s="3" t="str">
        <f t="shared" si="22"/>
        <v>Monday</v>
      </c>
      <c r="M373" s="4" t="str">
        <f t="shared" si="23"/>
        <v>Outage Day</v>
      </c>
      <c r="N373" s="4" t="str">
        <f>TEXT(CleanedData[[#This Row],[DAY]], "mmm yyyy")</f>
        <v>Mar 2024</v>
      </c>
    </row>
    <row r="374" spans="1:14" x14ac:dyDescent="0.3">
      <c r="A374" s="5">
        <v>45369</v>
      </c>
      <c r="B374" s="12">
        <v>5556</v>
      </c>
      <c r="C374" s="12">
        <v>193.5</v>
      </c>
      <c r="D374" s="2" t="s">
        <v>9</v>
      </c>
      <c r="E374" s="2" t="s">
        <v>8</v>
      </c>
      <c r="F374" s="1">
        <v>3582</v>
      </c>
      <c r="G374" s="13">
        <v>5094.2441978332072</v>
      </c>
      <c r="H374" s="14" t="b">
        <v>1</v>
      </c>
      <c r="I374" s="15">
        <f t="shared" si="20"/>
        <v>5556</v>
      </c>
      <c r="J374" s="15">
        <f t="shared" si="20"/>
        <v>194</v>
      </c>
      <c r="K374" s="15">
        <f t="shared" si="21"/>
        <v>5094</v>
      </c>
      <c r="L374" s="3" t="str">
        <f t="shared" si="22"/>
        <v>Monday</v>
      </c>
      <c r="M374" s="4" t="str">
        <f t="shared" si="23"/>
        <v>Outage Day</v>
      </c>
      <c r="N374" s="4" t="str">
        <f>TEXT(CleanedData[[#This Row],[DAY]], "mmm yyyy")</f>
        <v>Mar 2024</v>
      </c>
    </row>
    <row r="375" spans="1:14" x14ac:dyDescent="0.3">
      <c r="A375" s="5">
        <v>45370</v>
      </c>
      <c r="B375" s="12">
        <v>3</v>
      </c>
      <c r="C375" s="12">
        <v>1.5</v>
      </c>
      <c r="D375" s="2" t="s">
        <v>10</v>
      </c>
      <c r="E375" s="2" t="s">
        <v>8</v>
      </c>
      <c r="F375" s="1">
        <v>2</v>
      </c>
      <c r="G375" s="13">
        <v>3.8720715676963242</v>
      </c>
      <c r="H375" s="14" t="b">
        <v>0</v>
      </c>
      <c r="I375" s="15">
        <f t="shared" si="20"/>
        <v>3</v>
      </c>
      <c r="J375" s="15">
        <f t="shared" si="20"/>
        <v>2</v>
      </c>
      <c r="K375" s="15">
        <f t="shared" si="21"/>
        <v>4</v>
      </c>
      <c r="L375" s="3" t="str">
        <f t="shared" si="22"/>
        <v>Tuesday</v>
      </c>
      <c r="M375" s="4" t="str">
        <f t="shared" si="23"/>
        <v>Normal Day</v>
      </c>
      <c r="N375" s="4" t="str">
        <f>TEXT(CleanedData[[#This Row],[DAY]], "mmm yyyy")</f>
        <v>Mar 2024</v>
      </c>
    </row>
    <row r="376" spans="1:14" x14ac:dyDescent="0.3">
      <c r="A376" s="5">
        <v>45370</v>
      </c>
      <c r="B376" s="12">
        <v>411</v>
      </c>
      <c r="C376" s="12">
        <v>27</v>
      </c>
      <c r="D376" s="2" t="s">
        <v>6</v>
      </c>
      <c r="E376" s="2" t="s">
        <v>7</v>
      </c>
      <c r="F376" s="1">
        <v>198</v>
      </c>
      <c r="G376" s="13">
        <v>404.53682003744575</v>
      </c>
      <c r="H376" s="14" t="b">
        <v>0</v>
      </c>
      <c r="I376" s="15">
        <f t="shared" si="20"/>
        <v>411</v>
      </c>
      <c r="J376" s="15">
        <f t="shared" si="20"/>
        <v>27</v>
      </c>
      <c r="K376" s="15">
        <f t="shared" si="21"/>
        <v>405</v>
      </c>
      <c r="L376" s="3" t="str">
        <f t="shared" si="22"/>
        <v>Tuesday</v>
      </c>
      <c r="M376" s="4" t="str">
        <f t="shared" si="23"/>
        <v>Normal Day</v>
      </c>
      <c r="N376" s="4" t="str">
        <f>TEXT(CleanedData[[#This Row],[DAY]], "mmm yyyy")</f>
        <v>Mar 2024</v>
      </c>
    </row>
    <row r="377" spans="1:14" x14ac:dyDescent="0.3">
      <c r="A377" s="5">
        <v>45370</v>
      </c>
      <c r="B377" s="12">
        <v>414</v>
      </c>
      <c r="C377" s="12">
        <v>27</v>
      </c>
      <c r="D377" s="2" t="s">
        <v>6</v>
      </c>
      <c r="E377" s="2" t="s">
        <v>8</v>
      </c>
      <c r="F377" s="1">
        <v>71</v>
      </c>
      <c r="G377" s="13">
        <v>377.83284923250494</v>
      </c>
      <c r="H377" s="14" t="b">
        <v>0</v>
      </c>
      <c r="I377" s="15">
        <f t="shared" si="20"/>
        <v>414</v>
      </c>
      <c r="J377" s="15">
        <f t="shared" si="20"/>
        <v>27</v>
      </c>
      <c r="K377" s="15">
        <f t="shared" si="21"/>
        <v>378</v>
      </c>
      <c r="L377" s="3" t="str">
        <f t="shared" si="22"/>
        <v>Tuesday</v>
      </c>
      <c r="M377" s="4" t="str">
        <f t="shared" si="23"/>
        <v>Normal Day</v>
      </c>
      <c r="N377" s="4" t="str">
        <f>TEXT(CleanedData[[#This Row],[DAY]], "mmm yyyy")</f>
        <v>Mar 2024</v>
      </c>
    </row>
    <row r="378" spans="1:14" x14ac:dyDescent="0.3">
      <c r="A378" s="5">
        <v>45370</v>
      </c>
      <c r="B378" s="12">
        <v>4222.5</v>
      </c>
      <c r="C378" s="12">
        <v>166.5</v>
      </c>
      <c r="D378" s="2" t="s">
        <v>9</v>
      </c>
      <c r="E378" s="2" t="s">
        <v>8</v>
      </c>
      <c r="F378" s="1">
        <v>1736</v>
      </c>
      <c r="G378" s="13">
        <v>3715.2643719867638</v>
      </c>
      <c r="H378" s="14" t="b">
        <v>0</v>
      </c>
      <c r="I378" s="15">
        <f t="shared" si="20"/>
        <v>4223</v>
      </c>
      <c r="J378" s="15">
        <f t="shared" si="20"/>
        <v>167</v>
      </c>
      <c r="K378" s="15">
        <f t="shared" si="21"/>
        <v>3715</v>
      </c>
      <c r="L378" s="3" t="str">
        <f t="shared" si="22"/>
        <v>Tuesday</v>
      </c>
      <c r="M378" s="4" t="str">
        <f t="shared" si="23"/>
        <v>Normal Day</v>
      </c>
      <c r="N378" s="4" t="str">
        <f>TEXT(CleanedData[[#This Row],[DAY]], "mmm yyyy")</f>
        <v>Mar 2024</v>
      </c>
    </row>
    <row r="379" spans="1:14" x14ac:dyDescent="0.3">
      <c r="A379" s="5">
        <v>45370</v>
      </c>
      <c r="B379" s="12">
        <v>4636.5</v>
      </c>
      <c r="C379" s="12">
        <v>259.5</v>
      </c>
      <c r="D379" s="2" t="s">
        <v>10</v>
      </c>
      <c r="E379" s="2" t="s">
        <v>7</v>
      </c>
      <c r="F379" s="1">
        <v>1819</v>
      </c>
      <c r="G379" s="13">
        <v>4493.6208915484822</v>
      </c>
      <c r="H379" s="14" t="b">
        <v>1</v>
      </c>
      <c r="I379" s="15">
        <f t="shared" si="20"/>
        <v>4637</v>
      </c>
      <c r="J379" s="15">
        <f t="shared" si="20"/>
        <v>260</v>
      </c>
      <c r="K379" s="15">
        <f t="shared" si="21"/>
        <v>4494</v>
      </c>
      <c r="L379" s="3" t="str">
        <f t="shared" si="22"/>
        <v>Tuesday</v>
      </c>
      <c r="M379" s="4" t="str">
        <f t="shared" si="23"/>
        <v>Outage Day</v>
      </c>
      <c r="N379" s="4" t="str">
        <f>TEXT(CleanedData[[#This Row],[DAY]], "mmm yyyy")</f>
        <v>Mar 2024</v>
      </c>
    </row>
    <row r="380" spans="1:14" x14ac:dyDescent="0.3">
      <c r="A380" s="5">
        <v>45371</v>
      </c>
      <c r="B380" s="12">
        <v>582</v>
      </c>
      <c r="C380" s="12">
        <v>1.5</v>
      </c>
      <c r="D380" s="2" t="s">
        <v>6</v>
      </c>
      <c r="E380" s="2" t="s">
        <v>8</v>
      </c>
      <c r="F380" s="1">
        <v>320</v>
      </c>
      <c r="G380" s="13">
        <v>480.04150606713034</v>
      </c>
      <c r="H380" s="14" t="b">
        <v>1</v>
      </c>
      <c r="I380" s="15">
        <f t="shared" si="20"/>
        <v>582</v>
      </c>
      <c r="J380" s="15">
        <f t="shared" si="20"/>
        <v>2</v>
      </c>
      <c r="K380" s="15">
        <f t="shared" si="21"/>
        <v>480</v>
      </c>
      <c r="L380" s="3" t="str">
        <f t="shared" si="22"/>
        <v>Wednesday</v>
      </c>
      <c r="M380" s="4" t="str">
        <f t="shared" si="23"/>
        <v>Outage Day</v>
      </c>
      <c r="N380" s="4" t="str">
        <f>TEXT(CleanedData[[#This Row],[DAY]], "mmm yyyy")</f>
        <v>Mar 2024</v>
      </c>
    </row>
    <row r="381" spans="1:14" x14ac:dyDescent="0.3">
      <c r="A381" s="5">
        <v>45371</v>
      </c>
      <c r="B381" s="12">
        <v>637.5</v>
      </c>
      <c r="C381" s="12">
        <v>1.5</v>
      </c>
      <c r="D381" s="2" t="s">
        <v>6</v>
      </c>
      <c r="E381" s="2" t="s">
        <v>7</v>
      </c>
      <c r="F381" s="1">
        <v>405</v>
      </c>
      <c r="G381" s="13">
        <v>591.38882688810747</v>
      </c>
      <c r="H381" s="14" t="b">
        <v>1</v>
      </c>
      <c r="I381" s="15">
        <f t="shared" si="20"/>
        <v>638</v>
      </c>
      <c r="J381" s="15">
        <f t="shared" si="20"/>
        <v>2</v>
      </c>
      <c r="K381" s="15">
        <f t="shared" si="21"/>
        <v>591</v>
      </c>
      <c r="L381" s="3" t="str">
        <f t="shared" si="22"/>
        <v>Wednesday</v>
      </c>
      <c r="M381" s="4" t="str">
        <f t="shared" si="23"/>
        <v>Outage Day</v>
      </c>
      <c r="N381" s="4" t="str">
        <f>TEXT(CleanedData[[#This Row],[DAY]], "mmm yyyy")</f>
        <v>Mar 2024</v>
      </c>
    </row>
    <row r="382" spans="1:14" x14ac:dyDescent="0.3">
      <c r="A382" s="5">
        <v>45371</v>
      </c>
      <c r="B382" s="12">
        <v>2653.5</v>
      </c>
      <c r="C382" s="12">
        <v>43.5</v>
      </c>
      <c r="D382" s="2" t="s">
        <v>9</v>
      </c>
      <c r="E382" s="2" t="s">
        <v>8</v>
      </c>
      <c r="F382" s="1">
        <v>1627</v>
      </c>
      <c r="G382" s="13">
        <v>2371.1964785440232</v>
      </c>
      <c r="H382" s="14" t="b">
        <v>1</v>
      </c>
      <c r="I382" s="15">
        <f t="shared" si="20"/>
        <v>2654</v>
      </c>
      <c r="J382" s="15">
        <f t="shared" si="20"/>
        <v>44</v>
      </c>
      <c r="K382" s="15">
        <f t="shared" si="21"/>
        <v>2371</v>
      </c>
      <c r="L382" s="3" t="str">
        <f t="shared" si="22"/>
        <v>Wednesday</v>
      </c>
      <c r="M382" s="4" t="str">
        <f t="shared" si="23"/>
        <v>Outage Day</v>
      </c>
      <c r="N382" s="4" t="str">
        <f>TEXT(CleanedData[[#This Row],[DAY]], "mmm yyyy")</f>
        <v>Mar 2024</v>
      </c>
    </row>
    <row r="383" spans="1:14" x14ac:dyDescent="0.3">
      <c r="A383" s="5">
        <v>45371</v>
      </c>
      <c r="B383" s="12">
        <v>4950</v>
      </c>
      <c r="C383" s="12">
        <v>10.5</v>
      </c>
      <c r="D383" s="2" t="s">
        <v>10</v>
      </c>
      <c r="E383" s="2" t="s">
        <v>7</v>
      </c>
      <c r="F383" s="1">
        <v>2170</v>
      </c>
      <c r="G383" s="13">
        <v>4336.0477124709105</v>
      </c>
      <c r="H383" s="14" t="b">
        <v>1</v>
      </c>
      <c r="I383" s="15">
        <f t="shared" si="20"/>
        <v>4950</v>
      </c>
      <c r="J383" s="15">
        <f t="shared" si="20"/>
        <v>11</v>
      </c>
      <c r="K383" s="15">
        <f t="shared" si="21"/>
        <v>4336</v>
      </c>
      <c r="L383" s="3" t="str">
        <f t="shared" si="22"/>
        <v>Wednesday</v>
      </c>
      <c r="M383" s="4" t="str">
        <f t="shared" si="23"/>
        <v>Outage Day</v>
      </c>
      <c r="N383" s="4" t="str">
        <f>TEXT(CleanedData[[#This Row],[DAY]], "mmm yyyy")</f>
        <v>Mar 2024</v>
      </c>
    </row>
    <row r="384" spans="1:14" x14ac:dyDescent="0.3">
      <c r="A384" s="5">
        <v>45372</v>
      </c>
      <c r="B384" s="12">
        <v>3</v>
      </c>
      <c r="C384" s="12">
        <v>0</v>
      </c>
      <c r="D384" s="2" t="s">
        <v>10</v>
      </c>
      <c r="E384" s="2" t="s">
        <v>8</v>
      </c>
      <c r="F384" s="1">
        <v>1</v>
      </c>
      <c r="G384" s="13">
        <v>2.6460934399393499</v>
      </c>
      <c r="H384" s="14" t="b">
        <v>0</v>
      </c>
      <c r="I384" s="15">
        <f t="shared" si="20"/>
        <v>3</v>
      </c>
      <c r="J384" s="15">
        <f t="shared" si="20"/>
        <v>0</v>
      </c>
      <c r="K384" s="15">
        <f t="shared" si="21"/>
        <v>3</v>
      </c>
      <c r="L384" s="3" t="str">
        <f t="shared" si="22"/>
        <v>Thursday</v>
      </c>
      <c r="M384" s="4" t="str">
        <f t="shared" si="23"/>
        <v>Normal Day</v>
      </c>
      <c r="N384" s="4" t="str">
        <f>TEXT(CleanedData[[#This Row],[DAY]], "mmm yyyy")</f>
        <v>Mar 2024</v>
      </c>
    </row>
    <row r="385" spans="1:14" x14ac:dyDescent="0.3">
      <c r="A385" s="5">
        <v>45372</v>
      </c>
      <c r="B385" s="12">
        <v>142.5</v>
      </c>
      <c r="C385" s="12">
        <v>1.5</v>
      </c>
      <c r="D385" s="2" t="s">
        <v>6</v>
      </c>
      <c r="E385" s="2" t="s">
        <v>7</v>
      </c>
      <c r="F385" s="1">
        <v>28</v>
      </c>
      <c r="G385" s="13">
        <v>127.36724413880924</v>
      </c>
      <c r="H385" s="14" t="b">
        <v>0</v>
      </c>
      <c r="I385" s="15">
        <f t="shared" si="20"/>
        <v>143</v>
      </c>
      <c r="J385" s="15">
        <f t="shared" si="20"/>
        <v>2</v>
      </c>
      <c r="K385" s="15">
        <f t="shared" si="21"/>
        <v>127</v>
      </c>
      <c r="L385" s="3" t="str">
        <f t="shared" si="22"/>
        <v>Thursday</v>
      </c>
      <c r="M385" s="4" t="str">
        <f t="shared" si="23"/>
        <v>Normal Day</v>
      </c>
      <c r="N385" s="4" t="str">
        <f>TEXT(CleanedData[[#This Row],[DAY]], "mmm yyyy")</f>
        <v>Mar 2024</v>
      </c>
    </row>
    <row r="386" spans="1:14" x14ac:dyDescent="0.3">
      <c r="A386" s="5">
        <v>45372</v>
      </c>
      <c r="B386" s="12">
        <v>786</v>
      </c>
      <c r="C386" s="12">
        <v>1.5</v>
      </c>
      <c r="D386" s="2" t="s">
        <v>6</v>
      </c>
      <c r="E386" s="2" t="s">
        <v>8</v>
      </c>
      <c r="F386" s="1">
        <v>281</v>
      </c>
      <c r="G386" s="13">
        <v>641.30988623311646</v>
      </c>
      <c r="H386" s="14" t="b">
        <v>0</v>
      </c>
      <c r="I386" s="15">
        <f t="shared" ref="I386:J449" si="24">ROUND(B386, 0)</f>
        <v>786</v>
      </c>
      <c r="J386" s="15">
        <f t="shared" si="24"/>
        <v>2</v>
      </c>
      <c r="K386" s="15">
        <f t="shared" ref="K386:K449" si="25">ROUND(G386, 0)</f>
        <v>641</v>
      </c>
      <c r="L386" s="3" t="str">
        <f t="shared" si="22"/>
        <v>Thursday</v>
      </c>
      <c r="M386" s="4" t="str">
        <f t="shared" si="23"/>
        <v>Normal Day</v>
      </c>
      <c r="N386" s="4" t="str">
        <f>TEXT(CleanedData[[#This Row],[DAY]], "mmm yyyy")</f>
        <v>Mar 2024</v>
      </c>
    </row>
    <row r="387" spans="1:14" x14ac:dyDescent="0.3">
      <c r="A387" s="5">
        <v>45372</v>
      </c>
      <c r="B387" s="12">
        <v>3313.5</v>
      </c>
      <c r="C387" s="12">
        <v>45</v>
      </c>
      <c r="D387" s="2" t="s">
        <v>9</v>
      </c>
      <c r="E387" s="2" t="s">
        <v>8</v>
      </c>
      <c r="F387" s="1">
        <v>803</v>
      </c>
      <c r="G387" s="13">
        <v>2722.1488406489766</v>
      </c>
      <c r="H387" s="14" t="b">
        <v>0</v>
      </c>
      <c r="I387" s="15">
        <f t="shared" si="24"/>
        <v>3314</v>
      </c>
      <c r="J387" s="15">
        <f t="shared" si="24"/>
        <v>45</v>
      </c>
      <c r="K387" s="15">
        <f t="shared" si="25"/>
        <v>2722</v>
      </c>
      <c r="L387" s="3" t="str">
        <f t="shared" ref="L387:L450" si="26">TEXT(A387,"dddd")</f>
        <v>Thursday</v>
      </c>
      <c r="M387" s="4" t="str">
        <f t="shared" ref="M387:M450" si="27">IF(H387=TRUE, "Outage Day", "Normal Day")</f>
        <v>Normal Day</v>
      </c>
      <c r="N387" s="4" t="str">
        <f>TEXT(CleanedData[[#This Row],[DAY]], "mmm yyyy")</f>
        <v>Mar 2024</v>
      </c>
    </row>
    <row r="388" spans="1:14" x14ac:dyDescent="0.3">
      <c r="A388" s="5">
        <v>45372</v>
      </c>
      <c r="B388" s="12">
        <v>4695</v>
      </c>
      <c r="C388" s="12">
        <v>69</v>
      </c>
      <c r="D388" s="2" t="s">
        <v>10</v>
      </c>
      <c r="E388" s="2" t="s">
        <v>7</v>
      </c>
      <c r="F388" s="1">
        <v>1554</v>
      </c>
      <c r="G388" s="13">
        <v>4335.4115141983712</v>
      </c>
      <c r="H388" s="14" t="b">
        <v>0</v>
      </c>
      <c r="I388" s="15">
        <f t="shared" si="24"/>
        <v>4695</v>
      </c>
      <c r="J388" s="15">
        <f t="shared" si="24"/>
        <v>69</v>
      </c>
      <c r="K388" s="15">
        <f t="shared" si="25"/>
        <v>4335</v>
      </c>
      <c r="L388" s="3" t="str">
        <f t="shared" si="26"/>
        <v>Thursday</v>
      </c>
      <c r="M388" s="4" t="str">
        <f t="shared" si="27"/>
        <v>Normal Day</v>
      </c>
      <c r="N388" s="4" t="str">
        <f>TEXT(CleanedData[[#This Row],[DAY]], "mmm yyyy")</f>
        <v>Mar 2024</v>
      </c>
    </row>
    <row r="389" spans="1:14" x14ac:dyDescent="0.3">
      <c r="A389" s="5">
        <v>45373</v>
      </c>
      <c r="B389" s="12">
        <v>958.5</v>
      </c>
      <c r="C389" s="12">
        <v>15</v>
      </c>
      <c r="D389" s="2" t="s">
        <v>6</v>
      </c>
      <c r="E389" s="2" t="s">
        <v>7</v>
      </c>
      <c r="F389" s="1">
        <v>55</v>
      </c>
      <c r="G389" s="13">
        <v>863.31361088602091</v>
      </c>
      <c r="H389" s="14" t="b">
        <v>1</v>
      </c>
      <c r="I389" s="15">
        <f t="shared" si="24"/>
        <v>959</v>
      </c>
      <c r="J389" s="15">
        <f t="shared" si="24"/>
        <v>15</v>
      </c>
      <c r="K389" s="15">
        <f t="shared" si="25"/>
        <v>863</v>
      </c>
      <c r="L389" s="3" t="str">
        <f t="shared" si="26"/>
        <v>Friday</v>
      </c>
      <c r="M389" s="4" t="str">
        <f t="shared" si="27"/>
        <v>Outage Day</v>
      </c>
      <c r="N389" s="4" t="str">
        <f>TEXT(CleanedData[[#This Row],[DAY]], "mmm yyyy")</f>
        <v>Mar 2024</v>
      </c>
    </row>
    <row r="390" spans="1:14" x14ac:dyDescent="0.3">
      <c r="A390" s="5">
        <v>45373</v>
      </c>
      <c r="B390" s="12">
        <v>1102.5</v>
      </c>
      <c r="C390" s="12">
        <v>15</v>
      </c>
      <c r="D390" s="2" t="s">
        <v>6</v>
      </c>
      <c r="E390" s="2" t="s">
        <v>8</v>
      </c>
      <c r="F390" s="1">
        <v>560</v>
      </c>
      <c r="G390" s="13">
        <v>912.0529539977075</v>
      </c>
      <c r="H390" s="14" t="b">
        <v>1</v>
      </c>
      <c r="I390" s="15">
        <f t="shared" si="24"/>
        <v>1103</v>
      </c>
      <c r="J390" s="15">
        <f t="shared" si="24"/>
        <v>15</v>
      </c>
      <c r="K390" s="15">
        <f t="shared" si="25"/>
        <v>912</v>
      </c>
      <c r="L390" s="3" t="str">
        <f t="shared" si="26"/>
        <v>Friday</v>
      </c>
      <c r="M390" s="4" t="str">
        <f t="shared" si="27"/>
        <v>Outage Day</v>
      </c>
      <c r="N390" s="4" t="str">
        <f>TEXT(CleanedData[[#This Row],[DAY]], "mmm yyyy")</f>
        <v>Mar 2024</v>
      </c>
    </row>
    <row r="391" spans="1:14" x14ac:dyDescent="0.3">
      <c r="A391" s="5">
        <v>45373</v>
      </c>
      <c r="B391" s="12">
        <v>4311</v>
      </c>
      <c r="C391" s="12">
        <v>55.5</v>
      </c>
      <c r="D391" s="2" t="s">
        <v>9</v>
      </c>
      <c r="E391" s="2" t="s">
        <v>8</v>
      </c>
      <c r="F391" s="1">
        <v>36</v>
      </c>
      <c r="G391" s="13">
        <v>3879.6339584724296</v>
      </c>
      <c r="H391" s="14" t="b">
        <v>1</v>
      </c>
      <c r="I391" s="15">
        <f t="shared" si="24"/>
        <v>4311</v>
      </c>
      <c r="J391" s="15">
        <f t="shared" si="24"/>
        <v>56</v>
      </c>
      <c r="K391" s="15">
        <f t="shared" si="25"/>
        <v>3880</v>
      </c>
      <c r="L391" s="3" t="str">
        <f t="shared" si="26"/>
        <v>Friday</v>
      </c>
      <c r="M391" s="4" t="str">
        <f t="shared" si="27"/>
        <v>Outage Day</v>
      </c>
      <c r="N391" s="4" t="str">
        <f>TEXT(CleanedData[[#This Row],[DAY]], "mmm yyyy")</f>
        <v>Mar 2024</v>
      </c>
    </row>
    <row r="392" spans="1:14" x14ac:dyDescent="0.3">
      <c r="A392" s="5">
        <v>45373</v>
      </c>
      <c r="B392" s="12">
        <v>5190</v>
      </c>
      <c r="C392" s="12">
        <v>88.5</v>
      </c>
      <c r="D392" s="2" t="s">
        <v>10</v>
      </c>
      <c r="E392" s="2" t="s">
        <v>7</v>
      </c>
      <c r="F392" s="1">
        <v>3356</v>
      </c>
      <c r="G392" s="13">
        <v>4901.0205507784649</v>
      </c>
      <c r="H392" s="14" t="b">
        <v>1</v>
      </c>
      <c r="I392" s="15">
        <f t="shared" si="24"/>
        <v>5190</v>
      </c>
      <c r="J392" s="15">
        <f t="shared" si="24"/>
        <v>89</v>
      </c>
      <c r="K392" s="15">
        <f t="shared" si="25"/>
        <v>4901</v>
      </c>
      <c r="L392" s="3" t="str">
        <f t="shared" si="26"/>
        <v>Friday</v>
      </c>
      <c r="M392" s="4" t="str">
        <f t="shared" si="27"/>
        <v>Outage Day</v>
      </c>
      <c r="N392" s="4" t="str">
        <f>TEXT(CleanedData[[#This Row],[DAY]], "mmm yyyy")</f>
        <v>Mar 2024</v>
      </c>
    </row>
    <row r="393" spans="1:14" x14ac:dyDescent="0.3">
      <c r="A393" s="5">
        <v>45374</v>
      </c>
      <c r="B393" s="12">
        <v>1.5</v>
      </c>
      <c r="C393" s="12">
        <v>0</v>
      </c>
      <c r="D393" s="2" t="s">
        <v>10</v>
      </c>
      <c r="E393" s="2" t="s">
        <v>8</v>
      </c>
      <c r="F393" s="1">
        <v>1</v>
      </c>
      <c r="G393" s="13">
        <v>1.2830507301365803</v>
      </c>
      <c r="H393" s="14" t="b">
        <v>1</v>
      </c>
      <c r="I393" s="15">
        <f t="shared" si="24"/>
        <v>2</v>
      </c>
      <c r="J393" s="15">
        <f t="shared" si="24"/>
        <v>0</v>
      </c>
      <c r="K393" s="15">
        <f t="shared" si="25"/>
        <v>1</v>
      </c>
      <c r="L393" s="3" t="str">
        <f t="shared" si="26"/>
        <v>Saturday</v>
      </c>
      <c r="M393" s="4" t="str">
        <f t="shared" si="27"/>
        <v>Outage Day</v>
      </c>
      <c r="N393" s="4" t="str">
        <f>TEXT(CleanedData[[#This Row],[DAY]], "mmm yyyy")</f>
        <v>Mar 2024</v>
      </c>
    </row>
    <row r="394" spans="1:14" x14ac:dyDescent="0.3">
      <c r="A394" s="5">
        <v>45374</v>
      </c>
      <c r="B394" s="12">
        <v>1066.5</v>
      </c>
      <c r="C394" s="12">
        <v>64.5</v>
      </c>
      <c r="D394" s="2" t="s">
        <v>6</v>
      </c>
      <c r="E394" s="2" t="s">
        <v>8</v>
      </c>
      <c r="F394" s="1">
        <v>375</v>
      </c>
      <c r="G394" s="13">
        <v>949.59249395745928</v>
      </c>
      <c r="H394" s="14" t="b">
        <v>1</v>
      </c>
      <c r="I394" s="15">
        <f t="shared" si="24"/>
        <v>1067</v>
      </c>
      <c r="J394" s="15">
        <f t="shared" si="24"/>
        <v>65</v>
      </c>
      <c r="K394" s="15">
        <f t="shared" si="25"/>
        <v>950</v>
      </c>
      <c r="L394" s="3" t="str">
        <f t="shared" si="26"/>
        <v>Saturday</v>
      </c>
      <c r="M394" s="4" t="str">
        <f t="shared" si="27"/>
        <v>Outage Day</v>
      </c>
      <c r="N394" s="4" t="str">
        <f>TEXT(CleanedData[[#This Row],[DAY]], "mmm yyyy")</f>
        <v>Mar 2024</v>
      </c>
    </row>
    <row r="395" spans="1:14" x14ac:dyDescent="0.3">
      <c r="A395" s="5">
        <v>45374</v>
      </c>
      <c r="B395" s="12">
        <v>1269</v>
      </c>
      <c r="C395" s="12">
        <v>64.5</v>
      </c>
      <c r="D395" s="2" t="s">
        <v>6</v>
      </c>
      <c r="E395" s="2" t="s">
        <v>7</v>
      </c>
      <c r="F395" s="1">
        <v>722</v>
      </c>
      <c r="G395" s="13">
        <v>1217.1873077988869</v>
      </c>
      <c r="H395" s="14" t="b">
        <v>1</v>
      </c>
      <c r="I395" s="15">
        <f t="shared" si="24"/>
        <v>1269</v>
      </c>
      <c r="J395" s="15">
        <f t="shared" si="24"/>
        <v>65</v>
      </c>
      <c r="K395" s="15">
        <f t="shared" si="25"/>
        <v>1217</v>
      </c>
      <c r="L395" s="3" t="str">
        <f t="shared" si="26"/>
        <v>Saturday</v>
      </c>
      <c r="M395" s="4" t="str">
        <f t="shared" si="27"/>
        <v>Outage Day</v>
      </c>
      <c r="N395" s="4" t="str">
        <f>TEXT(CleanedData[[#This Row],[DAY]], "mmm yyyy")</f>
        <v>Mar 2024</v>
      </c>
    </row>
    <row r="396" spans="1:14" x14ac:dyDescent="0.3">
      <c r="A396" s="5">
        <v>45374</v>
      </c>
      <c r="B396" s="12">
        <v>3358.5</v>
      </c>
      <c r="C396" s="12">
        <v>90</v>
      </c>
      <c r="D396" s="2" t="s">
        <v>9</v>
      </c>
      <c r="E396" s="2" t="s">
        <v>8</v>
      </c>
      <c r="F396" s="1">
        <v>1639</v>
      </c>
      <c r="G396" s="13">
        <v>2992.8018747582555</v>
      </c>
      <c r="H396" s="14" t="b">
        <v>1</v>
      </c>
      <c r="I396" s="15">
        <f t="shared" si="24"/>
        <v>3359</v>
      </c>
      <c r="J396" s="15">
        <f t="shared" si="24"/>
        <v>90</v>
      </c>
      <c r="K396" s="15">
        <f t="shared" si="25"/>
        <v>2993</v>
      </c>
      <c r="L396" s="3" t="str">
        <f t="shared" si="26"/>
        <v>Saturday</v>
      </c>
      <c r="M396" s="4" t="str">
        <f t="shared" si="27"/>
        <v>Outage Day</v>
      </c>
      <c r="N396" s="4" t="str">
        <f>TEXT(CleanedData[[#This Row],[DAY]], "mmm yyyy")</f>
        <v>Mar 2024</v>
      </c>
    </row>
    <row r="397" spans="1:14" x14ac:dyDescent="0.3">
      <c r="A397" s="5">
        <v>45374</v>
      </c>
      <c r="B397" s="12">
        <v>4698</v>
      </c>
      <c r="C397" s="12">
        <v>46.5</v>
      </c>
      <c r="D397" s="2" t="s">
        <v>10</v>
      </c>
      <c r="E397" s="2" t="s">
        <v>7</v>
      </c>
      <c r="F397" s="1">
        <v>3078</v>
      </c>
      <c r="G397" s="13">
        <v>4232.857937077024</v>
      </c>
      <c r="H397" s="14" t="b">
        <v>1</v>
      </c>
      <c r="I397" s="15">
        <f t="shared" si="24"/>
        <v>4698</v>
      </c>
      <c r="J397" s="15">
        <f t="shared" si="24"/>
        <v>47</v>
      </c>
      <c r="K397" s="15">
        <f t="shared" si="25"/>
        <v>4233</v>
      </c>
      <c r="L397" s="3" t="str">
        <f t="shared" si="26"/>
        <v>Saturday</v>
      </c>
      <c r="M397" s="4" t="str">
        <f t="shared" si="27"/>
        <v>Outage Day</v>
      </c>
      <c r="N397" s="4" t="str">
        <f>TEXT(CleanedData[[#This Row],[DAY]], "mmm yyyy")</f>
        <v>Mar 2024</v>
      </c>
    </row>
    <row r="398" spans="1:14" x14ac:dyDescent="0.3">
      <c r="A398" s="5">
        <v>45375</v>
      </c>
      <c r="B398" s="12">
        <v>769.5</v>
      </c>
      <c r="C398" s="12">
        <v>46.5</v>
      </c>
      <c r="D398" s="2" t="s">
        <v>6</v>
      </c>
      <c r="E398" s="2" t="s">
        <v>8</v>
      </c>
      <c r="F398" s="1">
        <v>193</v>
      </c>
      <c r="G398" s="13">
        <v>708.97149674326113</v>
      </c>
      <c r="H398" s="14" t="b">
        <v>0</v>
      </c>
      <c r="I398" s="15">
        <f t="shared" si="24"/>
        <v>770</v>
      </c>
      <c r="J398" s="15">
        <f t="shared" si="24"/>
        <v>47</v>
      </c>
      <c r="K398" s="15">
        <f t="shared" si="25"/>
        <v>709</v>
      </c>
      <c r="L398" s="3" t="str">
        <f t="shared" si="26"/>
        <v>Sunday</v>
      </c>
      <c r="M398" s="4" t="str">
        <f t="shared" si="27"/>
        <v>Normal Day</v>
      </c>
      <c r="N398" s="4" t="str">
        <f>TEXT(CleanedData[[#This Row],[DAY]], "mmm yyyy")</f>
        <v>Mar 2024</v>
      </c>
    </row>
    <row r="399" spans="1:14" x14ac:dyDescent="0.3">
      <c r="A399" s="5">
        <v>45375</v>
      </c>
      <c r="B399" s="12">
        <v>1122</v>
      </c>
      <c r="C399" s="12">
        <v>46.5</v>
      </c>
      <c r="D399" s="2" t="s">
        <v>6</v>
      </c>
      <c r="E399" s="2" t="s">
        <v>7</v>
      </c>
      <c r="F399" s="1">
        <v>693</v>
      </c>
      <c r="G399" s="13">
        <v>1091.1340306776503</v>
      </c>
      <c r="H399" s="14" t="b">
        <v>0</v>
      </c>
      <c r="I399" s="15">
        <f t="shared" si="24"/>
        <v>1122</v>
      </c>
      <c r="J399" s="15">
        <f t="shared" si="24"/>
        <v>47</v>
      </c>
      <c r="K399" s="15">
        <f t="shared" si="25"/>
        <v>1091</v>
      </c>
      <c r="L399" s="3" t="str">
        <f t="shared" si="26"/>
        <v>Sunday</v>
      </c>
      <c r="M399" s="4" t="str">
        <f t="shared" si="27"/>
        <v>Normal Day</v>
      </c>
      <c r="N399" s="4" t="str">
        <f>TEXT(CleanedData[[#This Row],[DAY]], "mmm yyyy")</f>
        <v>Mar 2024</v>
      </c>
    </row>
    <row r="400" spans="1:14" x14ac:dyDescent="0.3">
      <c r="A400" s="5">
        <v>45375</v>
      </c>
      <c r="B400" s="12">
        <v>3445.5</v>
      </c>
      <c r="C400" s="12">
        <v>181.5</v>
      </c>
      <c r="D400" s="2" t="s">
        <v>10</v>
      </c>
      <c r="E400" s="2" t="s">
        <v>7</v>
      </c>
      <c r="F400" s="1">
        <v>2102</v>
      </c>
      <c r="G400" s="13">
        <v>3366.2317535805228</v>
      </c>
      <c r="H400" s="14" t="b">
        <v>0</v>
      </c>
      <c r="I400" s="15">
        <f t="shared" si="24"/>
        <v>3446</v>
      </c>
      <c r="J400" s="15">
        <f t="shared" si="24"/>
        <v>182</v>
      </c>
      <c r="K400" s="15">
        <f t="shared" si="25"/>
        <v>3366</v>
      </c>
      <c r="L400" s="3" t="str">
        <f t="shared" si="26"/>
        <v>Sunday</v>
      </c>
      <c r="M400" s="4" t="str">
        <f t="shared" si="27"/>
        <v>Normal Day</v>
      </c>
      <c r="N400" s="4" t="str">
        <f>TEXT(CleanedData[[#This Row],[DAY]], "mmm yyyy")</f>
        <v>Mar 2024</v>
      </c>
    </row>
    <row r="401" spans="1:14" x14ac:dyDescent="0.3">
      <c r="A401" s="5">
        <v>45375</v>
      </c>
      <c r="B401" s="12">
        <v>4354.5</v>
      </c>
      <c r="C401" s="12">
        <v>7.5</v>
      </c>
      <c r="D401" s="2" t="s">
        <v>9</v>
      </c>
      <c r="E401" s="2" t="s">
        <v>8</v>
      </c>
      <c r="F401" s="1">
        <v>2584</v>
      </c>
      <c r="G401" s="13">
        <v>3824.8617829247742</v>
      </c>
      <c r="H401" s="14" t="b">
        <v>0</v>
      </c>
      <c r="I401" s="15">
        <f t="shared" si="24"/>
        <v>4355</v>
      </c>
      <c r="J401" s="15">
        <f t="shared" si="24"/>
        <v>8</v>
      </c>
      <c r="K401" s="15">
        <f t="shared" si="25"/>
        <v>3825</v>
      </c>
      <c r="L401" s="3" t="str">
        <f t="shared" si="26"/>
        <v>Sunday</v>
      </c>
      <c r="M401" s="4" t="str">
        <f t="shared" si="27"/>
        <v>Normal Day</v>
      </c>
      <c r="N401" s="4" t="str">
        <f>TEXT(CleanedData[[#This Row],[DAY]], "mmm yyyy")</f>
        <v>Mar 2024</v>
      </c>
    </row>
    <row r="402" spans="1:14" x14ac:dyDescent="0.3">
      <c r="A402" s="5">
        <v>45376</v>
      </c>
      <c r="B402" s="12">
        <v>325.5</v>
      </c>
      <c r="C402" s="12">
        <v>18</v>
      </c>
      <c r="D402" s="2" t="s">
        <v>6</v>
      </c>
      <c r="E402" s="2" t="s">
        <v>7</v>
      </c>
      <c r="F402" s="1">
        <v>165</v>
      </c>
      <c r="G402" s="13">
        <v>304.18429593505869</v>
      </c>
      <c r="H402" s="14" t="b">
        <v>1</v>
      </c>
      <c r="I402" s="15">
        <f t="shared" si="24"/>
        <v>326</v>
      </c>
      <c r="J402" s="15">
        <f t="shared" si="24"/>
        <v>18</v>
      </c>
      <c r="K402" s="15">
        <f t="shared" si="25"/>
        <v>304</v>
      </c>
      <c r="L402" s="3" t="str">
        <f t="shared" si="26"/>
        <v>Monday</v>
      </c>
      <c r="M402" s="4" t="str">
        <f t="shared" si="27"/>
        <v>Outage Day</v>
      </c>
      <c r="N402" s="4" t="str">
        <f>TEXT(CleanedData[[#This Row],[DAY]], "mmm yyyy")</f>
        <v>Mar 2024</v>
      </c>
    </row>
    <row r="403" spans="1:14" x14ac:dyDescent="0.3">
      <c r="A403" s="5">
        <v>45376</v>
      </c>
      <c r="B403" s="12">
        <v>484.5</v>
      </c>
      <c r="C403" s="12">
        <v>18</v>
      </c>
      <c r="D403" s="2" t="s">
        <v>6</v>
      </c>
      <c r="E403" s="2" t="s">
        <v>8</v>
      </c>
      <c r="F403" s="1">
        <v>302</v>
      </c>
      <c r="G403" s="13">
        <v>442.32333224529566</v>
      </c>
      <c r="H403" s="14" t="b">
        <v>1</v>
      </c>
      <c r="I403" s="15">
        <f t="shared" si="24"/>
        <v>485</v>
      </c>
      <c r="J403" s="15">
        <f t="shared" si="24"/>
        <v>18</v>
      </c>
      <c r="K403" s="15">
        <f t="shared" si="25"/>
        <v>442</v>
      </c>
      <c r="L403" s="3" t="str">
        <f t="shared" si="26"/>
        <v>Monday</v>
      </c>
      <c r="M403" s="4" t="str">
        <f t="shared" si="27"/>
        <v>Outage Day</v>
      </c>
      <c r="N403" s="4" t="str">
        <f>TEXT(CleanedData[[#This Row],[DAY]], "mmm yyyy")</f>
        <v>Mar 2024</v>
      </c>
    </row>
    <row r="404" spans="1:14" x14ac:dyDescent="0.3">
      <c r="A404" s="5">
        <v>45376</v>
      </c>
      <c r="B404" s="12">
        <v>3474</v>
      </c>
      <c r="C404" s="12">
        <v>99</v>
      </c>
      <c r="D404" s="2" t="s">
        <v>9</v>
      </c>
      <c r="E404" s="2" t="s">
        <v>8</v>
      </c>
      <c r="F404" s="1">
        <v>2016</v>
      </c>
      <c r="G404" s="13">
        <v>3147.6749821906401</v>
      </c>
      <c r="H404" s="14" t="b">
        <v>1</v>
      </c>
      <c r="I404" s="15">
        <f t="shared" si="24"/>
        <v>3474</v>
      </c>
      <c r="J404" s="15">
        <f t="shared" si="24"/>
        <v>99</v>
      </c>
      <c r="K404" s="15">
        <f t="shared" si="25"/>
        <v>3148</v>
      </c>
      <c r="L404" s="3" t="str">
        <f t="shared" si="26"/>
        <v>Monday</v>
      </c>
      <c r="M404" s="4" t="str">
        <f t="shared" si="27"/>
        <v>Outage Day</v>
      </c>
      <c r="N404" s="4" t="str">
        <f>TEXT(CleanedData[[#This Row],[DAY]], "mmm yyyy")</f>
        <v>Mar 2024</v>
      </c>
    </row>
    <row r="405" spans="1:14" x14ac:dyDescent="0.3">
      <c r="A405" s="5">
        <v>45376</v>
      </c>
      <c r="B405" s="12">
        <v>3816</v>
      </c>
      <c r="C405" s="12">
        <v>199.5</v>
      </c>
      <c r="D405" s="2" t="s">
        <v>10</v>
      </c>
      <c r="E405" s="2" t="s">
        <v>7</v>
      </c>
      <c r="F405" s="1">
        <v>2467</v>
      </c>
      <c r="G405" s="13">
        <v>3645.2585486662247</v>
      </c>
      <c r="H405" s="14" t="b">
        <v>1</v>
      </c>
      <c r="I405" s="15">
        <f t="shared" si="24"/>
        <v>3816</v>
      </c>
      <c r="J405" s="15">
        <f t="shared" si="24"/>
        <v>200</v>
      </c>
      <c r="K405" s="15">
        <f t="shared" si="25"/>
        <v>3645</v>
      </c>
      <c r="L405" s="3" t="str">
        <f t="shared" si="26"/>
        <v>Monday</v>
      </c>
      <c r="M405" s="4" t="str">
        <f t="shared" si="27"/>
        <v>Outage Day</v>
      </c>
      <c r="N405" s="4" t="str">
        <f>TEXT(CleanedData[[#This Row],[DAY]], "mmm yyyy")</f>
        <v>Mar 2024</v>
      </c>
    </row>
    <row r="406" spans="1:14" x14ac:dyDescent="0.3">
      <c r="A406" s="5">
        <v>45377</v>
      </c>
      <c r="B406" s="12">
        <v>364.5</v>
      </c>
      <c r="C406" s="12">
        <v>9</v>
      </c>
      <c r="D406" s="2" t="s">
        <v>6</v>
      </c>
      <c r="E406" s="2" t="s">
        <v>8</v>
      </c>
      <c r="F406" s="1">
        <v>208</v>
      </c>
      <c r="G406" s="13">
        <v>328.44752149836881</v>
      </c>
      <c r="H406" s="14" t="b">
        <v>0</v>
      </c>
      <c r="I406" s="15">
        <f t="shared" si="24"/>
        <v>365</v>
      </c>
      <c r="J406" s="15">
        <f t="shared" si="24"/>
        <v>9</v>
      </c>
      <c r="K406" s="15">
        <f t="shared" si="25"/>
        <v>328</v>
      </c>
      <c r="L406" s="3" t="str">
        <f t="shared" si="26"/>
        <v>Tuesday</v>
      </c>
      <c r="M406" s="4" t="str">
        <f t="shared" si="27"/>
        <v>Normal Day</v>
      </c>
      <c r="N406" s="4" t="str">
        <f>TEXT(CleanedData[[#This Row],[DAY]], "mmm yyyy")</f>
        <v>Mar 2024</v>
      </c>
    </row>
    <row r="407" spans="1:14" x14ac:dyDescent="0.3">
      <c r="A407" s="5">
        <v>45377</v>
      </c>
      <c r="B407" s="12">
        <v>481.5</v>
      </c>
      <c r="C407" s="12">
        <v>9</v>
      </c>
      <c r="D407" s="2" t="s">
        <v>6</v>
      </c>
      <c r="E407" s="2" t="s">
        <v>7</v>
      </c>
      <c r="F407" s="1">
        <v>30</v>
      </c>
      <c r="G407" s="13">
        <v>436.45662162480801</v>
      </c>
      <c r="H407" s="14" t="b">
        <v>0</v>
      </c>
      <c r="I407" s="15">
        <f t="shared" si="24"/>
        <v>482</v>
      </c>
      <c r="J407" s="15">
        <f t="shared" si="24"/>
        <v>9</v>
      </c>
      <c r="K407" s="15">
        <f t="shared" si="25"/>
        <v>436</v>
      </c>
      <c r="L407" s="3" t="str">
        <f t="shared" si="26"/>
        <v>Tuesday</v>
      </c>
      <c r="M407" s="4" t="str">
        <f t="shared" si="27"/>
        <v>Normal Day</v>
      </c>
      <c r="N407" s="4" t="str">
        <f>TEXT(CleanedData[[#This Row],[DAY]], "mmm yyyy")</f>
        <v>Mar 2024</v>
      </c>
    </row>
    <row r="408" spans="1:14" x14ac:dyDescent="0.3">
      <c r="A408" s="5">
        <v>45377</v>
      </c>
      <c r="B408" s="12">
        <v>2691</v>
      </c>
      <c r="C408" s="12">
        <v>93</v>
      </c>
      <c r="D408" s="2" t="s">
        <v>9</v>
      </c>
      <c r="E408" s="2" t="s">
        <v>8</v>
      </c>
      <c r="F408" s="1">
        <v>1642</v>
      </c>
      <c r="G408" s="13">
        <v>2281.375806199258</v>
      </c>
      <c r="H408" s="14" t="b">
        <v>0</v>
      </c>
      <c r="I408" s="15">
        <f t="shared" si="24"/>
        <v>2691</v>
      </c>
      <c r="J408" s="15">
        <f t="shared" si="24"/>
        <v>93</v>
      </c>
      <c r="K408" s="15">
        <f t="shared" si="25"/>
        <v>2281</v>
      </c>
      <c r="L408" s="3" t="str">
        <f t="shared" si="26"/>
        <v>Tuesday</v>
      </c>
      <c r="M408" s="4" t="str">
        <f t="shared" si="27"/>
        <v>Normal Day</v>
      </c>
      <c r="N408" s="4" t="str">
        <f>TEXT(CleanedData[[#This Row],[DAY]], "mmm yyyy")</f>
        <v>Mar 2024</v>
      </c>
    </row>
    <row r="409" spans="1:14" x14ac:dyDescent="0.3">
      <c r="A409" s="5">
        <v>45377</v>
      </c>
      <c r="B409" s="12">
        <v>3681</v>
      </c>
      <c r="C409" s="12">
        <v>136.5</v>
      </c>
      <c r="D409" s="2" t="s">
        <v>10</v>
      </c>
      <c r="E409" s="2" t="s">
        <v>7</v>
      </c>
      <c r="F409" s="1">
        <v>620</v>
      </c>
      <c r="G409" s="13">
        <v>3518.4135411351836</v>
      </c>
      <c r="H409" s="14" t="b">
        <v>0</v>
      </c>
      <c r="I409" s="15">
        <f t="shared" si="24"/>
        <v>3681</v>
      </c>
      <c r="J409" s="15">
        <f t="shared" si="24"/>
        <v>137</v>
      </c>
      <c r="K409" s="15">
        <f t="shared" si="25"/>
        <v>3518</v>
      </c>
      <c r="L409" s="3" t="str">
        <f t="shared" si="26"/>
        <v>Tuesday</v>
      </c>
      <c r="M409" s="4" t="str">
        <f t="shared" si="27"/>
        <v>Normal Day</v>
      </c>
      <c r="N409" s="4" t="str">
        <f>TEXT(CleanedData[[#This Row],[DAY]], "mmm yyyy")</f>
        <v>Mar 2024</v>
      </c>
    </row>
    <row r="410" spans="1:14" x14ac:dyDescent="0.3">
      <c r="A410" s="5">
        <v>45378</v>
      </c>
      <c r="B410" s="12">
        <v>318</v>
      </c>
      <c r="C410" s="12">
        <v>19.5</v>
      </c>
      <c r="D410" s="2" t="s">
        <v>6</v>
      </c>
      <c r="E410" s="2" t="s">
        <v>8</v>
      </c>
      <c r="F410" s="1">
        <v>56</v>
      </c>
      <c r="G410" s="13">
        <v>288.7128901765908</v>
      </c>
      <c r="H410" s="14" t="b">
        <v>0</v>
      </c>
      <c r="I410" s="15">
        <f t="shared" si="24"/>
        <v>318</v>
      </c>
      <c r="J410" s="15">
        <f t="shared" si="24"/>
        <v>20</v>
      </c>
      <c r="K410" s="15">
        <f t="shared" si="25"/>
        <v>289</v>
      </c>
      <c r="L410" s="3" t="str">
        <f t="shared" si="26"/>
        <v>Wednesday</v>
      </c>
      <c r="M410" s="4" t="str">
        <f t="shared" si="27"/>
        <v>Normal Day</v>
      </c>
      <c r="N410" s="4" t="str">
        <f>TEXT(CleanedData[[#This Row],[DAY]], "mmm yyyy")</f>
        <v>Mar 2024</v>
      </c>
    </row>
    <row r="411" spans="1:14" x14ac:dyDescent="0.3">
      <c r="A411" s="5">
        <v>45378</v>
      </c>
      <c r="B411" s="12">
        <v>349.5</v>
      </c>
      <c r="C411" s="12">
        <v>19.5</v>
      </c>
      <c r="D411" s="2" t="s">
        <v>6</v>
      </c>
      <c r="E411" s="2" t="s">
        <v>7</v>
      </c>
      <c r="F411" s="1">
        <v>184</v>
      </c>
      <c r="G411" s="13">
        <v>325.34282851802038</v>
      </c>
      <c r="H411" s="14" t="b">
        <v>0</v>
      </c>
      <c r="I411" s="15">
        <f t="shared" si="24"/>
        <v>350</v>
      </c>
      <c r="J411" s="15">
        <f t="shared" si="24"/>
        <v>20</v>
      </c>
      <c r="K411" s="15">
        <f t="shared" si="25"/>
        <v>325</v>
      </c>
      <c r="L411" s="3" t="str">
        <f t="shared" si="26"/>
        <v>Wednesday</v>
      </c>
      <c r="M411" s="4" t="str">
        <f t="shared" si="27"/>
        <v>Normal Day</v>
      </c>
      <c r="N411" s="4" t="str">
        <f>TEXT(CleanedData[[#This Row],[DAY]], "mmm yyyy")</f>
        <v>Mar 2024</v>
      </c>
    </row>
    <row r="412" spans="1:14" x14ac:dyDescent="0.3">
      <c r="A412" s="5">
        <v>45378</v>
      </c>
      <c r="B412" s="12">
        <v>2340</v>
      </c>
      <c r="C412" s="12">
        <v>31.5</v>
      </c>
      <c r="D412" s="2" t="s">
        <v>9</v>
      </c>
      <c r="E412" s="2" t="s">
        <v>8</v>
      </c>
      <c r="F412" s="1">
        <v>1268</v>
      </c>
      <c r="G412" s="13">
        <v>2083.5491270244729</v>
      </c>
      <c r="H412" s="14" t="b">
        <v>0</v>
      </c>
      <c r="I412" s="15">
        <f t="shared" si="24"/>
        <v>2340</v>
      </c>
      <c r="J412" s="15">
        <f t="shared" si="24"/>
        <v>32</v>
      </c>
      <c r="K412" s="15">
        <f t="shared" si="25"/>
        <v>2084</v>
      </c>
      <c r="L412" s="3" t="str">
        <f t="shared" si="26"/>
        <v>Wednesday</v>
      </c>
      <c r="M412" s="4" t="str">
        <f t="shared" si="27"/>
        <v>Normal Day</v>
      </c>
      <c r="N412" s="4" t="str">
        <f>TEXT(CleanedData[[#This Row],[DAY]], "mmm yyyy")</f>
        <v>Mar 2024</v>
      </c>
    </row>
    <row r="413" spans="1:14" x14ac:dyDescent="0.3">
      <c r="A413" s="5">
        <v>45378</v>
      </c>
      <c r="B413" s="12">
        <v>4600.5</v>
      </c>
      <c r="C413" s="12">
        <v>258</v>
      </c>
      <c r="D413" s="2" t="s">
        <v>10</v>
      </c>
      <c r="E413" s="2" t="s">
        <v>7</v>
      </c>
      <c r="F413" s="1">
        <v>1807</v>
      </c>
      <c r="G413" s="13">
        <v>4311.4614831784129</v>
      </c>
      <c r="H413" s="14" t="b">
        <v>0</v>
      </c>
      <c r="I413" s="15">
        <f t="shared" si="24"/>
        <v>4601</v>
      </c>
      <c r="J413" s="15">
        <f t="shared" si="24"/>
        <v>258</v>
      </c>
      <c r="K413" s="15">
        <f t="shared" si="25"/>
        <v>4311</v>
      </c>
      <c r="L413" s="3" t="str">
        <f t="shared" si="26"/>
        <v>Wednesday</v>
      </c>
      <c r="M413" s="4" t="str">
        <f t="shared" si="27"/>
        <v>Normal Day</v>
      </c>
      <c r="N413" s="4" t="str">
        <f>TEXT(CleanedData[[#This Row],[DAY]], "mmm yyyy")</f>
        <v>Mar 2024</v>
      </c>
    </row>
    <row r="414" spans="1:14" x14ac:dyDescent="0.3">
      <c r="A414" s="5">
        <v>45379</v>
      </c>
      <c r="B414" s="12">
        <v>421.5</v>
      </c>
      <c r="C414" s="12">
        <v>31.5</v>
      </c>
      <c r="D414" s="2" t="s">
        <v>6</v>
      </c>
      <c r="E414" s="2" t="s">
        <v>8</v>
      </c>
      <c r="F414" s="1">
        <v>56</v>
      </c>
      <c r="G414" s="13">
        <v>389.16918576411626</v>
      </c>
      <c r="H414" s="14" t="b">
        <v>0</v>
      </c>
      <c r="I414" s="15">
        <f t="shared" si="24"/>
        <v>422</v>
      </c>
      <c r="J414" s="15">
        <f t="shared" si="24"/>
        <v>32</v>
      </c>
      <c r="K414" s="15">
        <f t="shared" si="25"/>
        <v>389</v>
      </c>
      <c r="L414" s="3" t="str">
        <f t="shared" si="26"/>
        <v>Thursday</v>
      </c>
      <c r="M414" s="4" t="str">
        <f t="shared" si="27"/>
        <v>Normal Day</v>
      </c>
      <c r="N414" s="4" t="str">
        <f>TEXT(CleanedData[[#This Row],[DAY]], "mmm yyyy")</f>
        <v>Mar 2024</v>
      </c>
    </row>
    <row r="415" spans="1:14" x14ac:dyDescent="0.3">
      <c r="A415" s="5">
        <v>45379</v>
      </c>
      <c r="B415" s="12">
        <v>528</v>
      </c>
      <c r="C415" s="12">
        <v>31.5</v>
      </c>
      <c r="D415" s="2" t="s">
        <v>6</v>
      </c>
      <c r="E415" s="2" t="s">
        <v>7</v>
      </c>
      <c r="F415" s="1">
        <v>261</v>
      </c>
      <c r="G415" s="13">
        <v>499.74856177682454</v>
      </c>
      <c r="H415" s="14" t="b">
        <v>0</v>
      </c>
      <c r="I415" s="15">
        <f t="shared" si="24"/>
        <v>528</v>
      </c>
      <c r="J415" s="15">
        <f t="shared" si="24"/>
        <v>32</v>
      </c>
      <c r="K415" s="15">
        <f t="shared" si="25"/>
        <v>500</v>
      </c>
      <c r="L415" s="3" t="str">
        <f t="shared" si="26"/>
        <v>Thursday</v>
      </c>
      <c r="M415" s="4" t="str">
        <f t="shared" si="27"/>
        <v>Normal Day</v>
      </c>
      <c r="N415" s="4" t="str">
        <f>TEXT(CleanedData[[#This Row],[DAY]], "mmm yyyy")</f>
        <v>Mar 2024</v>
      </c>
    </row>
    <row r="416" spans="1:14" x14ac:dyDescent="0.3">
      <c r="A416" s="5">
        <v>45379</v>
      </c>
      <c r="B416" s="12">
        <v>2166</v>
      </c>
      <c r="C416" s="12">
        <v>51</v>
      </c>
      <c r="D416" s="2" t="s">
        <v>9</v>
      </c>
      <c r="E416" s="2" t="s">
        <v>8</v>
      </c>
      <c r="F416" s="1">
        <v>1246</v>
      </c>
      <c r="G416" s="13">
        <v>1830.9887804023847</v>
      </c>
      <c r="H416" s="14" t="b">
        <v>0</v>
      </c>
      <c r="I416" s="15">
        <f t="shared" si="24"/>
        <v>2166</v>
      </c>
      <c r="J416" s="15">
        <f t="shared" si="24"/>
        <v>51</v>
      </c>
      <c r="K416" s="15">
        <f t="shared" si="25"/>
        <v>1831</v>
      </c>
      <c r="L416" s="3" t="str">
        <f t="shared" si="26"/>
        <v>Thursday</v>
      </c>
      <c r="M416" s="4" t="str">
        <f t="shared" si="27"/>
        <v>Normal Day</v>
      </c>
      <c r="N416" s="4" t="str">
        <f>TEXT(CleanedData[[#This Row],[DAY]], "mmm yyyy")</f>
        <v>Mar 2024</v>
      </c>
    </row>
    <row r="417" spans="1:14" x14ac:dyDescent="0.3">
      <c r="A417" s="5">
        <v>45379</v>
      </c>
      <c r="B417" s="12">
        <v>4968</v>
      </c>
      <c r="C417" s="12">
        <v>39</v>
      </c>
      <c r="D417" s="2" t="s">
        <v>10</v>
      </c>
      <c r="E417" s="2" t="s">
        <v>7</v>
      </c>
      <c r="F417" s="1">
        <v>2286</v>
      </c>
      <c r="G417" s="13">
        <v>4595.5069646472975</v>
      </c>
      <c r="H417" s="14" t="b">
        <v>0</v>
      </c>
      <c r="I417" s="15">
        <f t="shared" si="24"/>
        <v>4968</v>
      </c>
      <c r="J417" s="15">
        <f t="shared" si="24"/>
        <v>39</v>
      </c>
      <c r="K417" s="15">
        <f t="shared" si="25"/>
        <v>4596</v>
      </c>
      <c r="L417" s="3" t="str">
        <f t="shared" si="26"/>
        <v>Thursday</v>
      </c>
      <c r="M417" s="4" t="str">
        <f t="shared" si="27"/>
        <v>Normal Day</v>
      </c>
      <c r="N417" s="4" t="str">
        <f>TEXT(CleanedData[[#This Row],[DAY]], "mmm yyyy")</f>
        <v>Mar 2024</v>
      </c>
    </row>
    <row r="418" spans="1:14" x14ac:dyDescent="0.3">
      <c r="A418" s="5">
        <v>45380</v>
      </c>
      <c r="B418" s="12">
        <v>540</v>
      </c>
      <c r="C418" s="12">
        <v>6</v>
      </c>
      <c r="D418" s="2" t="s">
        <v>6</v>
      </c>
      <c r="E418" s="2" t="s">
        <v>7</v>
      </c>
      <c r="F418" s="1">
        <v>323</v>
      </c>
      <c r="G418" s="13">
        <v>482.58937373825347</v>
      </c>
      <c r="H418" s="14" t="b">
        <v>1</v>
      </c>
      <c r="I418" s="15">
        <f t="shared" si="24"/>
        <v>540</v>
      </c>
      <c r="J418" s="15">
        <f t="shared" si="24"/>
        <v>6</v>
      </c>
      <c r="K418" s="15">
        <f t="shared" si="25"/>
        <v>483</v>
      </c>
      <c r="L418" s="3" t="str">
        <f t="shared" si="26"/>
        <v>Friday</v>
      </c>
      <c r="M418" s="4" t="str">
        <f t="shared" si="27"/>
        <v>Outage Day</v>
      </c>
      <c r="N418" s="4" t="str">
        <f>TEXT(CleanedData[[#This Row],[DAY]], "mmm yyyy")</f>
        <v>Mar 2024</v>
      </c>
    </row>
    <row r="419" spans="1:14" x14ac:dyDescent="0.3">
      <c r="A419" s="5">
        <v>45380</v>
      </c>
      <c r="B419" s="12">
        <v>903</v>
      </c>
      <c r="C419" s="12">
        <v>6</v>
      </c>
      <c r="D419" s="2" t="s">
        <v>6</v>
      </c>
      <c r="E419" s="2" t="s">
        <v>8</v>
      </c>
      <c r="F419" s="1">
        <v>561</v>
      </c>
      <c r="G419" s="13">
        <v>749.4902815921148</v>
      </c>
      <c r="H419" s="14" t="b">
        <v>1</v>
      </c>
      <c r="I419" s="15">
        <f t="shared" si="24"/>
        <v>903</v>
      </c>
      <c r="J419" s="15">
        <f t="shared" si="24"/>
        <v>6</v>
      </c>
      <c r="K419" s="15">
        <f t="shared" si="25"/>
        <v>749</v>
      </c>
      <c r="L419" s="3" t="str">
        <f t="shared" si="26"/>
        <v>Friday</v>
      </c>
      <c r="M419" s="4" t="str">
        <f t="shared" si="27"/>
        <v>Outage Day</v>
      </c>
      <c r="N419" s="4" t="str">
        <f>TEXT(CleanedData[[#This Row],[DAY]], "mmm yyyy")</f>
        <v>Mar 2024</v>
      </c>
    </row>
    <row r="420" spans="1:14" x14ac:dyDescent="0.3">
      <c r="A420" s="5">
        <v>45380</v>
      </c>
      <c r="B420" s="12">
        <v>3297</v>
      </c>
      <c r="C420" s="12">
        <v>75</v>
      </c>
      <c r="D420" s="2" t="s">
        <v>9</v>
      </c>
      <c r="E420" s="2" t="s">
        <v>8</v>
      </c>
      <c r="F420" s="1">
        <v>889</v>
      </c>
      <c r="G420" s="13">
        <v>2875.1552076485291</v>
      </c>
      <c r="H420" s="14" t="b">
        <v>1</v>
      </c>
      <c r="I420" s="15">
        <f t="shared" si="24"/>
        <v>3297</v>
      </c>
      <c r="J420" s="15">
        <f t="shared" si="24"/>
        <v>75</v>
      </c>
      <c r="K420" s="15">
        <f t="shared" si="25"/>
        <v>2875</v>
      </c>
      <c r="L420" s="3" t="str">
        <f t="shared" si="26"/>
        <v>Friday</v>
      </c>
      <c r="M420" s="4" t="str">
        <f t="shared" si="27"/>
        <v>Outage Day</v>
      </c>
      <c r="N420" s="4" t="str">
        <f>TEXT(CleanedData[[#This Row],[DAY]], "mmm yyyy")</f>
        <v>Mar 2024</v>
      </c>
    </row>
    <row r="421" spans="1:14" x14ac:dyDescent="0.3">
      <c r="A421" s="5">
        <v>45380</v>
      </c>
      <c r="B421" s="12">
        <v>4942.5</v>
      </c>
      <c r="C421" s="12">
        <v>49.5</v>
      </c>
      <c r="D421" s="2" t="s">
        <v>10</v>
      </c>
      <c r="E421" s="2" t="s">
        <v>7</v>
      </c>
      <c r="F421" s="1">
        <v>1968</v>
      </c>
      <c r="G421" s="13">
        <v>4365.0160340451821</v>
      </c>
      <c r="H421" s="14" t="b">
        <v>1</v>
      </c>
      <c r="I421" s="15">
        <f t="shared" si="24"/>
        <v>4943</v>
      </c>
      <c r="J421" s="15">
        <f t="shared" si="24"/>
        <v>50</v>
      </c>
      <c r="K421" s="15">
        <f t="shared" si="25"/>
        <v>4365</v>
      </c>
      <c r="L421" s="3" t="str">
        <f t="shared" si="26"/>
        <v>Friday</v>
      </c>
      <c r="M421" s="4" t="str">
        <f t="shared" si="27"/>
        <v>Outage Day</v>
      </c>
      <c r="N421" s="4" t="str">
        <f>TEXT(CleanedData[[#This Row],[DAY]], "mmm yyyy")</f>
        <v>Mar 2024</v>
      </c>
    </row>
    <row r="422" spans="1:14" x14ac:dyDescent="0.3">
      <c r="A422" s="5">
        <v>45381</v>
      </c>
      <c r="B422" s="12">
        <v>373.5</v>
      </c>
      <c r="C422" s="12">
        <v>4.5</v>
      </c>
      <c r="D422" s="2" t="s">
        <v>6</v>
      </c>
      <c r="E422" s="2" t="s">
        <v>7</v>
      </c>
      <c r="F422" s="1">
        <v>80</v>
      </c>
      <c r="G422" s="13">
        <v>341.57417749874043</v>
      </c>
      <c r="H422" s="14" t="b">
        <v>0</v>
      </c>
      <c r="I422" s="15">
        <f t="shared" si="24"/>
        <v>374</v>
      </c>
      <c r="J422" s="15">
        <f t="shared" si="24"/>
        <v>5</v>
      </c>
      <c r="K422" s="15">
        <f t="shared" si="25"/>
        <v>342</v>
      </c>
      <c r="L422" s="3" t="str">
        <f t="shared" si="26"/>
        <v>Saturday</v>
      </c>
      <c r="M422" s="4" t="str">
        <f t="shared" si="27"/>
        <v>Normal Day</v>
      </c>
      <c r="N422" s="4" t="str">
        <f>TEXT(CleanedData[[#This Row],[DAY]], "mmm yyyy")</f>
        <v>Mar 2024</v>
      </c>
    </row>
    <row r="423" spans="1:14" x14ac:dyDescent="0.3">
      <c r="A423" s="5">
        <v>45381</v>
      </c>
      <c r="B423" s="12">
        <v>523.5</v>
      </c>
      <c r="C423" s="12">
        <v>4.5</v>
      </c>
      <c r="D423" s="2" t="s">
        <v>6</v>
      </c>
      <c r="E423" s="2" t="s">
        <v>8</v>
      </c>
      <c r="F423" s="1">
        <v>82</v>
      </c>
      <c r="G423" s="13">
        <v>467.62166988257576</v>
      </c>
      <c r="H423" s="14" t="b">
        <v>0</v>
      </c>
      <c r="I423" s="15">
        <f t="shared" si="24"/>
        <v>524</v>
      </c>
      <c r="J423" s="15">
        <f t="shared" si="24"/>
        <v>5</v>
      </c>
      <c r="K423" s="15">
        <f t="shared" si="25"/>
        <v>468</v>
      </c>
      <c r="L423" s="3" t="str">
        <f t="shared" si="26"/>
        <v>Saturday</v>
      </c>
      <c r="M423" s="4" t="str">
        <f t="shared" si="27"/>
        <v>Normal Day</v>
      </c>
      <c r="N423" s="4" t="str">
        <f>TEXT(CleanedData[[#This Row],[DAY]], "mmm yyyy")</f>
        <v>Mar 2024</v>
      </c>
    </row>
    <row r="424" spans="1:14" x14ac:dyDescent="0.3">
      <c r="A424" s="5">
        <v>45381</v>
      </c>
      <c r="B424" s="12">
        <v>4006.5</v>
      </c>
      <c r="C424" s="12">
        <v>82.5</v>
      </c>
      <c r="D424" s="2" t="s">
        <v>9</v>
      </c>
      <c r="E424" s="2" t="s">
        <v>8</v>
      </c>
      <c r="F424" s="1">
        <v>2576</v>
      </c>
      <c r="G424" s="13">
        <v>3621.7083751013374</v>
      </c>
      <c r="H424" s="14" t="b">
        <v>0</v>
      </c>
      <c r="I424" s="15">
        <f t="shared" si="24"/>
        <v>4007</v>
      </c>
      <c r="J424" s="15">
        <f t="shared" si="24"/>
        <v>83</v>
      </c>
      <c r="K424" s="15">
        <f t="shared" si="25"/>
        <v>3622</v>
      </c>
      <c r="L424" s="3" t="str">
        <f t="shared" si="26"/>
        <v>Saturday</v>
      </c>
      <c r="M424" s="4" t="str">
        <f t="shared" si="27"/>
        <v>Normal Day</v>
      </c>
      <c r="N424" s="4" t="str">
        <f>TEXT(CleanedData[[#This Row],[DAY]], "mmm yyyy")</f>
        <v>Mar 2024</v>
      </c>
    </row>
    <row r="425" spans="1:14" x14ac:dyDescent="0.3">
      <c r="A425" s="5">
        <v>45381</v>
      </c>
      <c r="B425" s="12">
        <v>5703</v>
      </c>
      <c r="C425" s="12">
        <v>126</v>
      </c>
      <c r="D425" s="2" t="s">
        <v>10</v>
      </c>
      <c r="E425" s="2" t="s">
        <v>7</v>
      </c>
      <c r="F425" s="1">
        <v>3795</v>
      </c>
      <c r="G425" s="13">
        <v>5204.5266144399811</v>
      </c>
      <c r="H425" s="14" t="b">
        <v>0</v>
      </c>
      <c r="I425" s="15">
        <f t="shared" si="24"/>
        <v>5703</v>
      </c>
      <c r="J425" s="15">
        <f t="shared" si="24"/>
        <v>126</v>
      </c>
      <c r="K425" s="15">
        <f t="shared" si="25"/>
        <v>5205</v>
      </c>
      <c r="L425" s="3" t="str">
        <f t="shared" si="26"/>
        <v>Saturday</v>
      </c>
      <c r="M425" s="4" t="str">
        <f t="shared" si="27"/>
        <v>Normal Day</v>
      </c>
      <c r="N425" s="4" t="str">
        <f>TEXT(CleanedData[[#This Row],[DAY]], "mmm yyyy")</f>
        <v>Mar 2024</v>
      </c>
    </row>
    <row r="426" spans="1:14" x14ac:dyDescent="0.3">
      <c r="A426" s="5">
        <v>45382</v>
      </c>
      <c r="B426" s="12">
        <v>769.5</v>
      </c>
      <c r="C426" s="12">
        <v>42</v>
      </c>
      <c r="D426" s="2" t="s">
        <v>6</v>
      </c>
      <c r="E426" s="2" t="s">
        <v>7</v>
      </c>
      <c r="F426" s="1">
        <v>36</v>
      </c>
      <c r="G426" s="13">
        <v>745.44300519102455</v>
      </c>
      <c r="H426" s="14" t="b">
        <v>1</v>
      </c>
      <c r="I426" s="15">
        <f t="shared" si="24"/>
        <v>770</v>
      </c>
      <c r="J426" s="15">
        <f t="shared" si="24"/>
        <v>42</v>
      </c>
      <c r="K426" s="15">
        <f t="shared" si="25"/>
        <v>745</v>
      </c>
      <c r="L426" s="3" t="str">
        <f t="shared" si="26"/>
        <v>Sunday</v>
      </c>
      <c r="M426" s="4" t="str">
        <f t="shared" si="27"/>
        <v>Outage Day</v>
      </c>
      <c r="N426" s="4" t="str">
        <f>TEXT(CleanedData[[#This Row],[DAY]], "mmm yyyy")</f>
        <v>Mar 2024</v>
      </c>
    </row>
    <row r="427" spans="1:14" x14ac:dyDescent="0.3">
      <c r="A427" s="5">
        <v>45382</v>
      </c>
      <c r="B427" s="12">
        <v>987</v>
      </c>
      <c r="C427" s="12">
        <v>42</v>
      </c>
      <c r="D427" s="2" t="s">
        <v>6</v>
      </c>
      <c r="E427" s="2" t="s">
        <v>8</v>
      </c>
      <c r="F427" s="1">
        <v>420</v>
      </c>
      <c r="G427" s="13">
        <v>827.94682239636722</v>
      </c>
      <c r="H427" s="14" t="b">
        <v>1</v>
      </c>
      <c r="I427" s="15">
        <f t="shared" si="24"/>
        <v>987</v>
      </c>
      <c r="J427" s="15">
        <f t="shared" si="24"/>
        <v>42</v>
      </c>
      <c r="K427" s="15">
        <f t="shared" si="25"/>
        <v>828</v>
      </c>
      <c r="L427" s="3" t="str">
        <f t="shared" si="26"/>
        <v>Sunday</v>
      </c>
      <c r="M427" s="4" t="str">
        <f t="shared" si="27"/>
        <v>Outage Day</v>
      </c>
      <c r="N427" s="4" t="str">
        <f>TEXT(CleanedData[[#This Row],[DAY]], "mmm yyyy")</f>
        <v>Mar 2024</v>
      </c>
    </row>
    <row r="428" spans="1:14" x14ac:dyDescent="0.3">
      <c r="A428" s="5">
        <v>45382</v>
      </c>
      <c r="B428" s="12">
        <v>4359</v>
      </c>
      <c r="C428" s="12">
        <v>186</v>
      </c>
      <c r="D428" s="2" t="s">
        <v>10</v>
      </c>
      <c r="E428" s="2" t="s">
        <v>7</v>
      </c>
      <c r="F428" s="1">
        <v>827</v>
      </c>
      <c r="G428" s="13">
        <v>4097.4892369565732</v>
      </c>
      <c r="H428" s="14" t="b">
        <v>1</v>
      </c>
      <c r="I428" s="15">
        <f t="shared" si="24"/>
        <v>4359</v>
      </c>
      <c r="J428" s="15">
        <f t="shared" si="24"/>
        <v>186</v>
      </c>
      <c r="K428" s="15">
        <f t="shared" si="25"/>
        <v>4097</v>
      </c>
      <c r="L428" s="3" t="str">
        <f t="shared" si="26"/>
        <v>Sunday</v>
      </c>
      <c r="M428" s="4" t="str">
        <f t="shared" si="27"/>
        <v>Outage Day</v>
      </c>
      <c r="N428" s="4" t="str">
        <f>TEXT(CleanedData[[#This Row],[DAY]], "mmm yyyy")</f>
        <v>Mar 2024</v>
      </c>
    </row>
    <row r="429" spans="1:14" x14ac:dyDescent="0.3">
      <c r="A429" s="5">
        <v>45382</v>
      </c>
      <c r="B429" s="12">
        <v>4456.5</v>
      </c>
      <c r="C429" s="12">
        <v>7.5</v>
      </c>
      <c r="D429" s="2" t="s">
        <v>9</v>
      </c>
      <c r="E429" s="2" t="s">
        <v>8</v>
      </c>
      <c r="F429" s="1">
        <v>202</v>
      </c>
      <c r="G429" s="13">
        <v>3660.6704406146278</v>
      </c>
      <c r="H429" s="14" t="b">
        <v>1</v>
      </c>
      <c r="I429" s="15">
        <f t="shared" si="24"/>
        <v>4457</v>
      </c>
      <c r="J429" s="15">
        <f t="shared" si="24"/>
        <v>8</v>
      </c>
      <c r="K429" s="15">
        <f t="shared" si="25"/>
        <v>3661</v>
      </c>
      <c r="L429" s="3" t="str">
        <f t="shared" si="26"/>
        <v>Sunday</v>
      </c>
      <c r="M429" s="4" t="str">
        <f t="shared" si="27"/>
        <v>Outage Day</v>
      </c>
      <c r="N429" s="4" t="str">
        <f>TEXT(CleanedData[[#This Row],[DAY]], "mmm yyyy")</f>
        <v>Mar 2024</v>
      </c>
    </row>
    <row r="430" spans="1:14" x14ac:dyDescent="0.3">
      <c r="A430" s="5">
        <v>45383</v>
      </c>
      <c r="B430" s="12">
        <v>249</v>
      </c>
      <c r="C430" s="12">
        <v>6</v>
      </c>
      <c r="D430" s="2" t="s">
        <v>6</v>
      </c>
      <c r="E430" s="2" t="s">
        <v>7</v>
      </c>
      <c r="F430" s="1">
        <v>16</v>
      </c>
      <c r="G430" s="13">
        <v>238.52478257387335</v>
      </c>
      <c r="H430" s="14" t="b">
        <v>1</v>
      </c>
      <c r="I430" s="15">
        <f t="shared" si="24"/>
        <v>249</v>
      </c>
      <c r="J430" s="15">
        <f t="shared" si="24"/>
        <v>6</v>
      </c>
      <c r="K430" s="15">
        <f t="shared" si="25"/>
        <v>239</v>
      </c>
      <c r="L430" s="3" t="str">
        <f t="shared" si="26"/>
        <v>Monday</v>
      </c>
      <c r="M430" s="4" t="str">
        <f t="shared" si="27"/>
        <v>Outage Day</v>
      </c>
      <c r="N430" s="4" t="str">
        <f>TEXT(CleanedData[[#This Row],[DAY]], "mmm yyyy")</f>
        <v>Apr 2024</v>
      </c>
    </row>
    <row r="431" spans="1:14" x14ac:dyDescent="0.3">
      <c r="A431" s="5">
        <v>45383</v>
      </c>
      <c r="B431" s="12">
        <v>399</v>
      </c>
      <c r="C431" s="12">
        <v>6</v>
      </c>
      <c r="D431" s="2" t="s">
        <v>6</v>
      </c>
      <c r="E431" s="2" t="s">
        <v>8</v>
      </c>
      <c r="F431" s="1">
        <v>33</v>
      </c>
      <c r="G431" s="13">
        <v>350.92725811116054</v>
      </c>
      <c r="H431" s="14" t="b">
        <v>1</v>
      </c>
      <c r="I431" s="15">
        <f t="shared" si="24"/>
        <v>399</v>
      </c>
      <c r="J431" s="15">
        <f t="shared" si="24"/>
        <v>6</v>
      </c>
      <c r="K431" s="15">
        <f t="shared" si="25"/>
        <v>351</v>
      </c>
      <c r="L431" s="3" t="str">
        <f t="shared" si="26"/>
        <v>Monday</v>
      </c>
      <c r="M431" s="4" t="str">
        <f t="shared" si="27"/>
        <v>Outage Day</v>
      </c>
      <c r="N431" s="4" t="str">
        <f>TEXT(CleanedData[[#This Row],[DAY]], "mmm yyyy")</f>
        <v>Apr 2024</v>
      </c>
    </row>
    <row r="432" spans="1:14" x14ac:dyDescent="0.3">
      <c r="A432" s="5">
        <v>45383</v>
      </c>
      <c r="B432" s="12">
        <v>3735</v>
      </c>
      <c r="C432" s="12">
        <v>37.5</v>
      </c>
      <c r="D432" s="2" t="s">
        <v>9</v>
      </c>
      <c r="E432" s="2" t="s">
        <v>8</v>
      </c>
      <c r="F432" s="1">
        <v>1826</v>
      </c>
      <c r="G432" s="13">
        <v>3168.1761922222822</v>
      </c>
      <c r="H432" s="14" t="b">
        <v>1</v>
      </c>
      <c r="I432" s="15">
        <f t="shared" si="24"/>
        <v>3735</v>
      </c>
      <c r="J432" s="15">
        <f t="shared" si="24"/>
        <v>38</v>
      </c>
      <c r="K432" s="15">
        <f t="shared" si="25"/>
        <v>3168</v>
      </c>
      <c r="L432" s="3" t="str">
        <f t="shared" si="26"/>
        <v>Monday</v>
      </c>
      <c r="M432" s="4" t="str">
        <f t="shared" si="27"/>
        <v>Outage Day</v>
      </c>
      <c r="N432" s="4" t="str">
        <f>TEXT(CleanedData[[#This Row],[DAY]], "mmm yyyy")</f>
        <v>Apr 2024</v>
      </c>
    </row>
    <row r="433" spans="1:14" x14ac:dyDescent="0.3">
      <c r="A433" s="5">
        <v>45383</v>
      </c>
      <c r="B433" s="12">
        <v>4515</v>
      </c>
      <c r="C433" s="12">
        <v>207</v>
      </c>
      <c r="D433" s="2" t="s">
        <v>10</v>
      </c>
      <c r="E433" s="2" t="s">
        <v>7</v>
      </c>
      <c r="F433" s="1">
        <v>2990</v>
      </c>
      <c r="G433" s="13">
        <v>4227.7184642749025</v>
      </c>
      <c r="H433" s="14" t="b">
        <v>1</v>
      </c>
      <c r="I433" s="15">
        <f t="shared" si="24"/>
        <v>4515</v>
      </c>
      <c r="J433" s="15">
        <f t="shared" si="24"/>
        <v>207</v>
      </c>
      <c r="K433" s="15">
        <f t="shared" si="25"/>
        <v>4228</v>
      </c>
      <c r="L433" s="3" t="str">
        <f t="shared" si="26"/>
        <v>Monday</v>
      </c>
      <c r="M433" s="4" t="str">
        <f t="shared" si="27"/>
        <v>Outage Day</v>
      </c>
      <c r="N433" s="4" t="str">
        <f>TEXT(CleanedData[[#This Row],[DAY]], "mmm yyyy")</f>
        <v>Apr 2024</v>
      </c>
    </row>
    <row r="434" spans="1:14" x14ac:dyDescent="0.3">
      <c r="A434" s="5">
        <v>45384</v>
      </c>
      <c r="B434" s="12">
        <v>307.5</v>
      </c>
      <c r="C434" s="12">
        <v>13.5</v>
      </c>
      <c r="D434" s="2" t="s">
        <v>6</v>
      </c>
      <c r="E434" s="2" t="s">
        <v>8</v>
      </c>
      <c r="F434" s="1">
        <v>196</v>
      </c>
      <c r="G434" s="13">
        <v>266.14700894631386</v>
      </c>
      <c r="H434" s="14" t="b">
        <v>0</v>
      </c>
      <c r="I434" s="15">
        <f t="shared" si="24"/>
        <v>308</v>
      </c>
      <c r="J434" s="15">
        <f t="shared" si="24"/>
        <v>14</v>
      </c>
      <c r="K434" s="15">
        <f t="shared" si="25"/>
        <v>266</v>
      </c>
      <c r="L434" s="3" t="str">
        <f t="shared" si="26"/>
        <v>Tuesday</v>
      </c>
      <c r="M434" s="4" t="str">
        <f t="shared" si="27"/>
        <v>Normal Day</v>
      </c>
      <c r="N434" s="4" t="str">
        <f>TEXT(CleanedData[[#This Row],[DAY]], "mmm yyyy")</f>
        <v>Apr 2024</v>
      </c>
    </row>
    <row r="435" spans="1:14" x14ac:dyDescent="0.3">
      <c r="A435" s="5">
        <v>45384</v>
      </c>
      <c r="B435" s="12">
        <v>421.5</v>
      </c>
      <c r="C435" s="12">
        <v>13.5</v>
      </c>
      <c r="D435" s="2" t="s">
        <v>6</v>
      </c>
      <c r="E435" s="2" t="s">
        <v>7</v>
      </c>
      <c r="F435" s="1">
        <v>91</v>
      </c>
      <c r="G435" s="13">
        <v>381.70193293762145</v>
      </c>
      <c r="H435" s="14" t="b">
        <v>0</v>
      </c>
      <c r="I435" s="15">
        <f t="shared" si="24"/>
        <v>422</v>
      </c>
      <c r="J435" s="15">
        <f t="shared" si="24"/>
        <v>14</v>
      </c>
      <c r="K435" s="15">
        <f t="shared" si="25"/>
        <v>382</v>
      </c>
      <c r="L435" s="3" t="str">
        <f t="shared" si="26"/>
        <v>Tuesday</v>
      </c>
      <c r="M435" s="4" t="str">
        <f t="shared" si="27"/>
        <v>Normal Day</v>
      </c>
      <c r="N435" s="4" t="str">
        <f>TEXT(CleanedData[[#This Row],[DAY]], "mmm yyyy")</f>
        <v>Apr 2024</v>
      </c>
    </row>
    <row r="436" spans="1:14" x14ac:dyDescent="0.3">
      <c r="A436" s="5">
        <v>45384</v>
      </c>
      <c r="B436" s="12">
        <v>3756</v>
      </c>
      <c r="C436" s="12">
        <v>207</v>
      </c>
      <c r="D436" s="2" t="s">
        <v>10</v>
      </c>
      <c r="E436" s="2" t="s">
        <v>7</v>
      </c>
      <c r="F436" s="1">
        <v>1102</v>
      </c>
      <c r="G436" s="13">
        <v>3497.8926177890394</v>
      </c>
      <c r="H436" s="14" t="b">
        <v>0</v>
      </c>
      <c r="I436" s="15">
        <f t="shared" si="24"/>
        <v>3756</v>
      </c>
      <c r="J436" s="15">
        <f t="shared" si="24"/>
        <v>207</v>
      </c>
      <c r="K436" s="15">
        <f t="shared" si="25"/>
        <v>3498</v>
      </c>
      <c r="L436" s="3" t="str">
        <f t="shared" si="26"/>
        <v>Tuesday</v>
      </c>
      <c r="M436" s="4" t="str">
        <f t="shared" si="27"/>
        <v>Normal Day</v>
      </c>
      <c r="N436" s="4" t="str">
        <f>TEXT(CleanedData[[#This Row],[DAY]], "mmm yyyy")</f>
        <v>Apr 2024</v>
      </c>
    </row>
    <row r="437" spans="1:14" x14ac:dyDescent="0.3">
      <c r="A437" s="5">
        <v>45384</v>
      </c>
      <c r="B437" s="12">
        <v>4524</v>
      </c>
      <c r="C437" s="12">
        <v>112.5</v>
      </c>
      <c r="D437" s="2" t="s">
        <v>9</v>
      </c>
      <c r="E437" s="2" t="s">
        <v>8</v>
      </c>
      <c r="F437" s="1">
        <v>197</v>
      </c>
      <c r="G437" s="13">
        <v>3783.5624667342977</v>
      </c>
      <c r="H437" s="14" t="b">
        <v>0</v>
      </c>
      <c r="I437" s="15">
        <f t="shared" si="24"/>
        <v>4524</v>
      </c>
      <c r="J437" s="15">
        <f t="shared" si="24"/>
        <v>113</v>
      </c>
      <c r="K437" s="15">
        <f t="shared" si="25"/>
        <v>3784</v>
      </c>
      <c r="L437" s="3" t="str">
        <f t="shared" si="26"/>
        <v>Tuesday</v>
      </c>
      <c r="M437" s="4" t="str">
        <f t="shared" si="27"/>
        <v>Normal Day</v>
      </c>
      <c r="N437" s="4" t="str">
        <f>TEXT(CleanedData[[#This Row],[DAY]], "mmm yyyy")</f>
        <v>Apr 2024</v>
      </c>
    </row>
    <row r="438" spans="1:14" x14ac:dyDescent="0.3">
      <c r="A438" s="5">
        <v>45385</v>
      </c>
      <c r="B438" s="12">
        <v>1.5</v>
      </c>
      <c r="C438" s="12">
        <v>0</v>
      </c>
      <c r="D438" s="2" t="s">
        <v>9</v>
      </c>
      <c r="E438" s="2" t="s">
        <v>7</v>
      </c>
      <c r="F438" s="1">
        <v>1</v>
      </c>
      <c r="G438" s="13">
        <v>1.383377777033814</v>
      </c>
      <c r="H438" s="14" t="b">
        <v>0</v>
      </c>
      <c r="I438" s="15">
        <f t="shared" si="24"/>
        <v>2</v>
      </c>
      <c r="J438" s="15">
        <f t="shared" si="24"/>
        <v>0</v>
      </c>
      <c r="K438" s="15">
        <f t="shared" si="25"/>
        <v>1</v>
      </c>
      <c r="L438" s="3" t="str">
        <f t="shared" si="26"/>
        <v>Wednesday</v>
      </c>
      <c r="M438" s="4" t="str">
        <f t="shared" si="27"/>
        <v>Normal Day</v>
      </c>
      <c r="N438" s="4" t="str">
        <f>TEXT(CleanedData[[#This Row],[DAY]], "mmm yyyy")</f>
        <v>Apr 2024</v>
      </c>
    </row>
    <row r="439" spans="1:14" x14ac:dyDescent="0.3">
      <c r="A439" s="5">
        <v>45385</v>
      </c>
      <c r="B439" s="12">
        <v>628.5</v>
      </c>
      <c r="C439" s="12">
        <v>22.5</v>
      </c>
      <c r="D439" s="2" t="s">
        <v>6</v>
      </c>
      <c r="E439" s="2" t="s">
        <v>8</v>
      </c>
      <c r="F439" s="1">
        <v>230</v>
      </c>
      <c r="G439" s="13">
        <v>556.65145325266747</v>
      </c>
      <c r="H439" s="14" t="b">
        <v>0</v>
      </c>
      <c r="I439" s="15">
        <f t="shared" si="24"/>
        <v>629</v>
      </c>
      <c r="J439" s="15">
        <f t="shared" si="24"/>
        <v>23</v>
      </c>
      <c r="K439" s="15">
        <f t="shared" si="25"/>
        <v>557</v>
      </c>
      <c r="L439" s="3" t="str">
        <f t="shared" si="26"/>
        <v>Wednesday</v>
      </c>
      <c r="M439" s="4" t="str">
        <f t="shared" si="27"/>
        <v>Normal Day</v>
      </c>
      <c r="N439" s="4" t="str">
        <f>TEXT(CleanedData[[#This Row],[DAY]], "mmm yyyy")</f>
        <v>Apr 2024</v>
      </c>
    </row>
    <row r="440" spans="1:14" x14ac:dyDescent="0.3">
      <c r="A440" s="5">
        <v>45385</v>
      </c>
      <c r="B440" s="12">
        <v>789</v>
      </c>
      <c r="C440" s="12">
        <v>22.5</v>
      </c>
      <c r="D440" s="2" t="s">
        <v>6</v>
      </c>
      <c r="E440" s="2" t="s">
        <v>7</v>
      </c>
      <c r="F440" s="1">
        <v>203</v>
      </c>
      <c r="G440" s="13">
        <v>717.81091152424108</v>
      </c>
      <c r="H440" s="14" t="b">
        <v>0</v>
      </c>
      <c r="I440" s="15">
        <f t="shared" si="24"/>
        <v>789</v>
      </c>
      <c r="J440" s="15">
        <f t="shared" si="24"/>
        <v>23</v>
      </c>
      <c r="K440" s="15">
        <f t="shared" si="25"/>
        <v>718</v>
      </c>
      <c r="L440" s="3" t="str">
        <f t="shared" si="26"/>
        <v>Wednesday</v>
      </c>
      <c r="M440" s="4" t="str">
        <f t="shared" si="27"/>
        <v>Normal Day</v>
      </c>
      <c r="N440" s="4" t="str">
        <f>TEXT(CleanedData[[#This Row],[DAY]], "mmm yyyy")</f>
        <v>Apr 2024</v>
      </c>
    </row>
    <row r="441" spans="1:14" x14ac:dyDescent="0.3">
      <c r="A441" s="5">
        <v>45385</v>
      </c>
      <c r="B441" s="12">
        <v>3448.5</v>
      </c>
      <c r="C441" s="12">
        <v>73.5</v>
      </c>
      <c r="D441" s="2" t="s">
        <v>10</v>
      </c>
      <c r="E441" s="2" t="s">
        <v>7</v>
      </c>
      <c r="F441" s="1">
        <v>1716</v>
      </c>
      <c r="G441" s="13">
        <v>3096.1969307293843</v>
      </c>
      <c r="H441" s="14" t="b">
        <v>0</v>
      </c>
      <c r="I441" s="15">
        <f t="shared" si="24"/>
        <v>3449</v>
      </c>
      <c r="J441" s="15">
        <f t="shared" si="24"/>
        <v>74</v>
      </c>
      <c r="K441" s="15">
        <f t="shared" si="25"/>
        <v>3096</v>
      </c>
      <c r="L441" s="3" t="str">
        <f t="shared" si="26"/>
        <v>Wednesday</v>
      </c>
      <c r="M441" s="4" t="str">
        <f t="shared" si="27"/>
        <v>Normal Day</v>
      </c>
      <c r="N441" s="4" t="str">
        <f>TEXT(CleanedData[[#This Row],[DAY]], "mmm yyyy")</f>
        <v>Apr 2024</v>
      </c>
    </row>
    <row r="442" spans="1:14" x14ac:dyDescent="0.3">
      <c r="A442" s="5">
        <v>45385</v>
      </c>
      <c r="B442" s="12">
        <v>4243.5</v>
      </c>
      <c r="C442" s="12">
        <v>60</v>
      </c>
      <c r="D442" s="2" t="s">
        <v>9</v>
      </c>
      <c r="E442" s="2" t="s">
        <v>8</v>
      </c>
      <c r="F442" s="1">
        <v>2798</v>
      </c>
      <c r="G442" s="13">
        <v>3652.7353761086674</v>
      </c>
      <c r="H442" s="14" t="b">
        <v>0</v>
      </c>
      <c r="I442" s="15">
        <f t="shared" si="24"/>
        <v>4244</v>
      </c>
      <c r="J442" s="15">
        <f t="shared" si="24"/>
        <v>60</v>
      </c>
      <c r="K442" s="15">
        <f t="shared" si="25"/>
        <v>3653</v>
      </c>
      <c r="L442" s="3" t="str">
        <f t="shared" si="26"/>
        <v>Wednesday</v>
      </c>
      <c r="M442" s="4" t="str">
        <f t="shared" si="27"/>
        <v>Normal Day</v>
      </c>
      <c r="N442" s="4" t="str">
        <f>TEXT(CleanedData[[#This Row],[DAY]], "mmm yyyy")</f>
        <v>Apr 2024</v>
      </c>
    </row>
    <row r="443" spans="1:14" x14ac:dyDescent="0.3">
      <c r="A443" s="5">
        <v>45386</v>
      </c>
      <c r="B443" s="12">
        <v>1.5</v>
      </c>
      <c r="C443" s="12">
        <v>0</v>
      </c>
      <c r="D443" s="2" t="s">
        <v>9</v>
      </c>
      <c r="E443" s="2" t="s">
        <v>7</v>
      </c>
      <c r="F443" s="1">
        <v>1</v>
      </c>
      <c r="G443" s="13">
        <v>1.377810222467031</v>
      </c>
      <c r="H443" s="14" t="b">
        <v>1</v>
      </c>
      <c r="I443" s="15">
        <f t="shared" si="24"/>
        <v>2</v>
      </c>
      <c r="J443" s="15">
        <f t="shared" si="24"/>
        <v>0</v>
      </c>
      <c r="K443" s="15">
        <f t="shared" si="25"/>
        <v>1</v>
      </c>
      <c r="L443" s="3" t="str">
        <f t="shared" si="26"/>
        <v>Thursday</v>
      </c>
      <c r="M443" s="4" t="str">
        <f t="shared" si="27"/>
        <v>Outage Day</v>
      </c>
      <c r="N443" s="4" t="str">
        <f>TEXT(CleanedData[[#This Row],[DAY]], "mmm yyyy")</f>
        <v>Apr 2024</v>
      </c>
    </row>
    <row r="444" spans="1:14" x14ac:dyDescent="0.3">
      <c r="A444" s="5">
        <v>45386</v>
      </c>
      <c r="B444" s="12">
        <v>600</v>
      </c>
      <c r="C444" s="12">
        <v>21</v>
      </c>
      <c r="D444" s="2" t="s">
        <v>6</v>
      </c>
      <c r="E444" s="2" t="s">
        <v>8</v>
      </c>
      <c r="F444" s="1">
        <v>117</v>
      </c>
      <c r="G444" s="13">
        <v>512.71601719506862</v>
      </c>
      <c r="H444" s="14" t="b">
        <v>1</v>
      </c>
      <c r="I444" s="15">
        <f t="shared" si="24"/>
        <v>600</v>
      </c>
      <c r="J444" s="15">
        <f t="shared" si="24"/>
        <v>21</v>
      </c>
      <c r="K444" s="15">
        <f t="shared" si="25"/>
        <v>513</v>
      </c>
      <c r="L444" s="3" t="str">
        <f t="shared" si="26"/>
        <v>Thursday</v>
      </c>
      <c r="M444" s="4" t="str">
        <f t="shared" si="27"/>
        <v>Outage Day</v>
      </c>
      <c r="N444" s="4" t="str">
        <f>TEXT(CleanedData[[#This Row],[DAY]], "mmm yyyy")</f>
        <v>Apr 2024</v>
      </c>
    </row>
    <row r="445" spans="1:14" x14ac:dyDescent="0.3">
      <c r="A445" s="5">
        <v>45386</v>
      </c>
      <c r="B445" s="12">
        <v>778.5</v>
      </c>
      <c r="C445" s="12">
        <v>21</v>
      </c>
      <c r="D445" s="2" t="s">
        <v>6</v>
      </c>
      <c r="E445" s="2" t="s">
        <v>7</v>
      </c>
      <c r="F445" s="1">
        <v>46</v>
      </c>
      <c r="G445" s="13">
        <v>718.62626623025881</v>
      </c>
      <c r="H445" s="14" t="b">
        <v>1</v>
      </c>
      <c r="I445" s="15">
        <f t="shared" si="24"/>
        <v>779</v>
      </c>
      <c r="J445" s="15">
        <f t="shared" si="24"/>
        <v>21</v>
      </c>
      <c r="K445" s="15">
        <f t="shared" si="25"/>
        <v>719</v>
      </c>
      <c r="L445" s="3" t="str">
        <f t="shared" si="26"/>
        <v>Thursday</v>
      </c>
      <c r="M445" s="4" t="str">
        <f t="shared" si="27"/>
        <v>Outage Day</v>
      </c>
      <c r="N445" s="4" t="str">
        <f>TEXT(CleanedData[[#This Row],[DAY]], "mmm yyyy")</f>
        <v>Apr 2024</v>
      </c>
    </row>
    <row r="446" spans="1:14" x14ac:dyDescent="0.3">
      <c r="A446" s="5">
        <v>45386</v>
      </c>
      <c r="B446" s="12">
        <v>4042.5</v>
      </c>
      <c r="C446" s="12">
        <v>199.5</v>
      </c>
      <c r="D446" s="2" t="s">
        <v>9</v>
      </c>
      <c r="E446" s="2" t="s">
        <v>8</v>
      </c>
      <c r="F446" s="1">
        <v>2598</v>
      </c>
      <c r="G446" s="13">
        <v>3417.3110870225855</v>
      </c>
      <c r="H446" s="14" t="b">
        <v>1</v>
      </c>
      <c r="I446" s="15">
        <f t="shared" si="24"/>
        <v>4043</v>
      </c>
      <c r="J446" s="15">
        <f t="shared" si="24"/>
        <v>200</v>
      </c>
      <c r="K446" s="15">
        <f t="shared" si="25"/>
        <v>3417</v>
      </c>
      <c r="L446" s="3" t="str">
        <f t="shared" si="26"/>
        <v>Thursday</v>
      </c>
      <c r="M446" s="4" t="str">
        <f t="shared" si="27"/>
        <v>Outage Day</v>
      </c>
      <c r="N446" s="4" t="str">
        <f>TEXT(CleanedData[[#This Row],[DAY]], "mmm yyyy")</f>
        <v>Apr 2024</v>
      </c>
    </row>
    <row r="447" spans="1:14" x14ac:dyDescent="0.3">
      <c r="A447" s="5">
        <v>45386</v>
      </c>
      <c r="B447" s="12">
        <v>4050</v>
      </c>
      <c r="C447" s="12">
        <v>63</v>
      </c>
      <c r="D447" s="2" t="s">
        <v>10</v>
      </c>
      <c r="E447" s="2" t="s">
        <v>7</v>
      </c>
      <c r="F447" s="1">
        <v>2077</v>
      </c>
      <c r="G447" s="13">
        <v>3586.7996446261955</v>
      </c>
      <c r="H447" s="14" t="b">
        <v>1</v>
      </c>
      <c r="I447" s="15">
        <f t="shared" si="24"/>
        <v>4050</v>
      </c>
      <c r="J447" s="15">
        <f t="shared" si="24"/>
        <v>63</v>
      </c>
      <c r="K447" s="15">
        <f t="shared" si="25"/>
        <v>3587</v>
      </c>
      <c r="L447" s="3" t="str">
        <f t="shared" si="26"/>
        <v>Thursday</v>
      </c>
      <c r="M447" s="4" t="str">
        <f t="shared" si="27"/>
        <v>Outage Day</v>
      </c>
      <c r="N447" s="4" t="str">
        <f>TEXT(CleanedData[[#This Row],[DAY]], "mmm yyyy")</f>
        <v>Apr 2024</v>
      </c>
    </row>
    <row r="448" spans="1:14" x14ac:dyDescent="0.3">
      <c r="A448" s="5">
        <v>45387</v>
      </c>
      <c r="B448" s="12">
        <v>553.5</v>
      </c>
      <c r="C448" s="12">
        <v>33</v>
      </c>
      <c r="D448" s="2" t="s">
        <v>6</v>
      </c>
      <c r="E448" s="2" t="s">
        <v>8</v>
      </c>
      <c r="F448" s="1">
        <v>110</v>
      </c>
      <c r="G448" s="13">
        <v>480.66483355091401</v>
      </c>
      <c r="H448" s="14" t="b">
        <v>0</v>
      </c>
      <c r="I448" s="15">
        <f t="shared" si="24"/>
        <v>554</v>
      </c>
      <c r="J448" s="15">
        <f t="shared" si="24"/>
        <v>33</v>
      </c>
      <c r="K448" s="15">
        <f t="shared" si="25"/>
        <v>481</v>
      </c>
      <c r="L448" s="3" t="str">
        <f t="shared" si="26"/>
        <v>Friday</v>
      </c>
      <c r="M448" s="4" t="str">
        <f t="shared" si="27"/>
        <v>Normal Day</v>
      </c>
      <c r="N448" s="4" t="str">
        <f>TEXT(CleanedData[[#This Row],[DAY]], "mmm yyyy")</f>
        <v>Apr 2024</v>
      </c>
    </row>
    <row r="449" spans="1:14" x14ac:dyDescent="0.3">
      <c r="A449" s="5">
        <v>45387</v>
      </c>
      <c r="B449" s="12">
        <v>918</v>
      </c>
      <c r="C449" s="12">
        <v>33</v>
      </c>
      <c r="D449" s="2" t="s">
        <v>6</v>
      </c>
      <c r="E449" s="2" t="s">
        <v>7</v>
      </c>
      <c r="F449" s="1">
        <v>543</v>
      </c>
      <c r="G449" s="13">
        <v>852.05152259829151</v>
      </c>
      <c r="H449" s="14" t="b">
        <v>0</v>
      </c>
      <c r="I449" s="15">
        <f t="shared" si="24"/>
        <v>918</v>
      </c>
      <c r="J449" s="15">
        <f t="shared" si="24"/>
        <v>33</v>
      </c>
      <c r="K449" s="15">
        <f t="shared" si="25"/>
        <v>852</v>
      </c>
      <c r="L449" s="3" t="str">
        <f t="shared" si="26"/>
        <v>Friday</v>
      </c>
      <c r="M449" s="4" t="str">
        <f t="shared" si="27"/>
        <v>Normal Day</v>
      </c>
      <c r="N449" s="4" t="str">
        <f>TEXT(CleanedData[[#This Row],[DAY]], "mmm yyyy")</f>
        <v>Apr 2024</v>
      </c>
    </row>
    <row r="450" spans="1:14" x14ac:dyDescent="0.3">
      <c r="A450" s="5">
        <v>45387</v>
      </c>
      <c r="B450" s="12">
        <v>3976.5</v>
      </c>
      <c r="C450" s="12">
        <v>232.5</v>
      </c>
      <c r="D450" s="2" t="s">
        <v>10</v>
      </c>
      <c r="E450" s="2" t="s">
        <v>7</v>
      </c>
      <c r="F450" s="1">
        <v>673</v>
      </c>
      <c r="G450" s="13">
        <v>3950.1002584992457</v>
      </c>
      <c r="H450" s="14" t="b">
        <v>1</v>
      </c>
      <c r="I450" s="15">
        <f t="shared" ref="I450:J513" si="28">ROUND(B450, 0)</f>
        <v>3977</v>
      </c>
      <c r="J450" s="15">
        <f t="shared" si="28"/>
        <v>233</v>
      </c>
      <c r="K450" s="15">
        <f t="shared" ref="K450:K513" si="29">ROUND(G450, 0)</f>
        <v>3950</v>
      </c>
      <c r="L450" s="3" t="str">
        <f t="shared" si="26"/>
        <v>Friday</v>
      </c>
      <c r="M450" s="4" t="str">
        <f t="shared" si="27"/>
        <v>Outage Day</v>
      </c>
      <c r="N450" s="4" t="str">
        <f>TEXT(CleanedData[[#This Row],[DAY]], "mmm yyyy")</f>
        <v>Apr 2024</v>
      </c>
    </row>
    <row r="451" spans="1:14" x14ac:dyDescent="0.3">
      <c r="A451" s="5">
        <v>45387</v>
      </c>
      <c r="B451" s="12">
        <v>4716</v>
      </c>
      <c r="C451" s="12">
        <v>157.5</v>
      </c>
      <c r="D451" s="2" t="s">
        <v>9</v>
      </c>
      <c r="E451" s="2" t="s">
        <v>8</v>
      </c>
      <c r="F451" s="1">
        <v>1789</v>
      </c>
      <c r="G451" s="13">
        <v>3978.7936391125559</v>
      </c>
      <c r="H451" s="14" t="b">
        <v>0</v>
      </c>
      <c r="I451" s="15">
        <f t="shared" si="28"/>
        <v>4716</v>
      </c>
      <c r="J451" s="15">
        <f t="shared" si="28"/>
        <v>158</v>
      </c>
      <c r="K451" s="15">
        <f t="shared" si="29"/>
        <v>3979</v>
      </c>
      <c r="L451" s="3" t="str">
        <f t="shared" ref="L451:L514" si="30">TEXT(A451,"dddd")</f>
        <v>Friday</v>
      </c>
      <c r="M451" s="4" t="str">
        <f t="shared" ref="M451:M514" si="31">IF(H451=TRUE, "Outage Day", "Normal Day")</f>
        <v>Normal Day</v>
      </c>
      <c r="N451" s="4" t="str">
        <f>TEXT(CleanedData[[#This Row],[DAY]], "mmm yyyy")</f>
        <v>Apr 2024</v>
      </c>
    </row>
    <row r="452" spans="1:14" x14ac:dyDescent="0.3">
      <c r="A452" s="5">
        <v>45388</v>
      </c>
      <c r="B452" s="12">
        <v>403.5</v>
      </c>
      <c r="C452" s="12">
        <v>60</v>
      </c>
      <c r="D452" s="2" t="s">
        <v>6</v>
      </c>
      <c r="E452" s="2" t="s">
        <v>8</v>
      </c>
      <c r="F452" s="1">
        <v>181</v>
      </c>
      <c r="G452" s="13">
        <v>410.79940872195527</v>
      </c>
      <c r="H452" s="14" t="b">
        <v>1</v>
      </c>
      <c r="I452" s="15">
        <f t="shared" si="28"/>
        <v>404</v>
      </c>
      <c r="J452" s="15">
        <f t="shared" si="28"/>
        <v>60</v>
      </c>
      <c r="K452" s="15">
        <f t="shared" si="29"/>
        <v>411</v>
      </c>
      <c r="L452" s="3" t="str">
        <f t="shared" si="30"/>
        <v>Saturday</v>
      </c>
      <c r="M452" s="4" t="str">
        <f t="shared" si="31"/>
        <v>Outage Day</v>
      </c>
      <c r="N452" s="4" t="str">
        <f>TEXT(CleanedData[[#This Row],[DAY]], "mmm yyyy")</f>
        <v>Apr 2024</v>
      </c>
    </row>
    <row r="453" spans="1:14" x14ac:dyDescent="0.3">
      <c r="A453" s="5">
        <v>45388</v>
      </c>
      <c r="B453" s="12">
        <v>886.5</v>
      </c>
      <c r="C453" s="12">
        <v>60</v>
      </c>
      <c r="D453" s="2" t="s">
        <v>6</v>
      </c>
      <c r="E453" s="2" t="s">
        <v>7</v>
      </c>
      <c r="F453" s="1">
        <v>586</v>
      </c>
      <c r="G453" s="13">
        <v>829.77480428069043</v>
      </c>
      <c r="H453" s="14" t="b">
        <v>1</v>
      </c>
      <c r="I453" s="15">
        <f t="shared" si="28"/>
        <v>887</v>
      </c>
      <c r="J453" s="15">
        <f t="shared" si="28"/>
        <v>60</v>
      </c>
      <c r="K453" s="15">
        <f t="shared" si="29"/>
        <v>830</v>
      </c>
      <c r="L453" s="3" t="str">
        <f t="shared" si="30"/>
        <v>Saturday</v>
      </c>
      <c r="M453" s="4" t="str">
        <f t="shared" si="31"/>
        <v>Outage Day</v>
      </c>
      <c r="N453" s="4" t="str">
        <f>TEXT(CleanedData[[#This Row],[DAY]], "mmm yyyy")</f>
        <v>Apr 2024</v>
      </c>
    </row>
    <row r="454" spans="1:14" x14ac:dyDescent="0.3">
      <c r="A454" s="5">
        <v>45388</v>
      </c>
      <c r="B454" s="12">
        <v>3090</v>
      </c>
      <c r="C454" s="12">
        <v>181.5</v>
      </c>
      <c r="D454" s="2" t="s">
        <v>10</v>
      </c>
      <c r="E454" s="2" t="s">
        <v>7</v>
      </c>
      <c r="F454" s="1">
        <v>49</v>
      </c>
      <c r="G454" s="13">
        <v>3034.0359635613336</v>
      </c>
      <c r="H454" s="14" t="b">
        <v>1</v>
      </c>
      <c r="I454" s="15">
        <f t="shared" si="28"/>
        <v>3090</v>
      </c>
      <c r="J454" s="15">
        <f t="shared" si="28"/>
        <v>182</v>
      </c>
      <c r="K454" s="15">
        <f t="shared" si="29"/>
        <v>3034</v>
      </c>
      <c r="L454" s="3" t="str">
        <f t="shared" si="30"/>
        <v>Saturday</v>
      </c>
      <c r="M454" s="4" t="str">
        <f t="shared" si="31"/>
        <v>Outage Day</v>
      </c>
      <c r="N454" s="4" t="str">
        <f>TEXT(CleanedData[[#This Row],[DAY]], "mmm yyyy")</f>
        <v>Apr 2024</v>
      </c>
    </row>
    <row r="455" spans="1:14" x14ac:dyDescent="0.3">
      <c r="A455" s="5">
        <v>45388</v>
      </c>
      <c r="B455" s="12">
        <v>4437</v>
      </c>
      <c r="C455" s="12">
        <v>21</v>
      </c>
      <c r="D455" s="2" t="s">
        <v>9</v>
      </c>
      <c r="E455" s="2" t="s">
        <v>8</v>
      </c>
      <c r="F455" s="1">
        <v>2844</v>
      </c>
      <c r="G455" s="13">
        <v>3691.4040127606654</v>
      </c>
      <c r="H455" s="14" t="b">
        <v>1</v>
      </c>
      <c r="I455" s="15">
        <f t="shared" si="28"/>
        <v>4437</v>
      </c>
      <c r="J455" s="15">
        <f t="shared" si="28"/>
        <v>21</v>
      </c>
      <c r="K455" s="15">
        <f t="shared" si="29"/>
        <v>3691</v>
      </c>
      <c r="L455" s="3" t="str">
        <f t="shared" si="30"/>
        <v>Saturday</v>
      </c>
      <c r="M455" s="4" t="str">
        <f t="shared" si="31"/>
        <v>Outage Day</v>
      </c>
      <c r="N455" s="4" t="str">
        <f>TEXT(CleanedData[[#This Row],[DAY]], "mmm yyyy")</f>
        <v>Apr 2024</v>
      </c>
    </row>
    <row r="456" spans="1:14" x14ac:dyDescent="0.3">
      <c r="A456" s="5">
        <v>45389</v>
      </c>
      <c r="B456" s="12">
        <v>1.5</v>
      </c>
      <c r="C456" s="12">
        <v>0</v>
      </c>
      <c r="D456" s="2" t="s">
        <v>9</v>
      </c>
      <c r="E456" s="2" t="s">
        <v>7</v>
      </c>
      <c r="F456" s="1">
        <v>1</v>
      </c>
      <c r="G456" s="13">
        <v>1.3336700365660272</v>
      </c>
      <c r="H456" s="14" t="b">
        <v>0</v>
      </c>
      <c r="I456" s="15">
        <f t="shared" si="28"/>
        <v>2</v>
      </c>
      <c r="J456" s="15">
        <f t="shared" si="28"/>
        <v>0</v>
      </c>
      <c r="K456" s="15">
        <f t="shared" si="29"/>
        <v>1</v>
      </c>
      <c r="L456" s="3" t="str">
        <f t="shared" si="30"/>
        <v>Sunday</v>
      </c>
      <c r="M456" s="4" t="str">
        <f t="shared" si="31"/>
        <v>Normal Day</v>
      </c>
      <c r="N456" s="4" t="str">
        <f>TEXT(CleanedData[[#This Row],[DAY]], "mmm yyyy")</f>
        <v>Apr 2024</v>
      </c>
    </row>
    <row r="457" spans="1:14" x14ac:dyDescent="0.3">
      <c r="A457" s="5">
        <v>45389</v>
      </c>
      <c r="B457" s="12">
        <v>132</v>
      </c>
      <c r="C457" s="12">
        <v>4.5</v>
      </c>
      <c r="D457" s="2" t="s">
        <v>10</v>
      </c>
      <c r="E457" s="2" t="s">
        <v>8</v>
      </c>
      <c r="F457" s="1">
        <v>47</v>
      </c>
      <c r="G457" s="13">
        <v>119.95050156505606</v>
      </c>
      <c r="H457" s="14" t="b">
        <v>0</v>
      </c>
      <c r="I457" s="15">
        <f t="shared" si="28"/>
        <v>132</v>
      </c>
      <c r="J457" s="15">
        <f t="shared" si="28"/>
        <v>5</v>
      </c>
      <c r="K457" s="15">
        <f t="shared" si="29"/>
        <v>120</v>
      </c>
      <c r="L457" s="3" t="str">
        <f t="shared" si="30"/>
        <v>Sunday</v>
      </c>
      <c r="M457" s="4" t="str">
        <f t="shared" si="31"/>
        <v>Normal Day</v>
      </c>
      <c r="N457" s="4" t="str">
        <f>TEXT(CleanedData[[#This Row],[DAY]], "mmm yyyy")</f>
        <v>Apr 2024</v>
      </c>
    </row>
    <row r="458" spans="1:14" x14ac:dyDescent="0.3">
      <c r="A458" s="5">
        <v>45389</v>
      </c>
      <c r="B458" s="12">
        <v>562.5</v>
      </c>
      <c r="C458" s="12">
        <v>36</v>
      </c>
      <c r="D458" s="2" t="s">
        <v>6</v>
      </c>
      <c r="E458" s="2" t="s">
        <v>7</v>
      </c>
      <c r="F458" s="1">
        <v>319</v>
      </c>
      <c r="G458" s="13">
        <v>545.60737951416718</v>
      </c>
      <c r="H458" s="14" t="b">
        <v>0</v>
      </c>
      <c r="I458" s="15">
        <f t="shared" si="28"/>
        <v>563</v>
      </c>
      <c r="J458" s="15">
        <f t="shared" si="28"/>
        <v>36</v>
      </c>
      <c r="K458" s="15">
        <f t="shared" si="29"/>
        <v>546</v>
      </c>
      <c r="L458" s="3" t="str">
        <f t="shared" si="30"/>
        <v>Sunday</v>
      </c>
      <c r="M458" s="4" t="str">
        <f t="shared" si="31"/>
        <v>Normal Day</v>
      </c>
      <c r="N458" s="4" t="str">
        <f>TEXT(CleanedData[[#This Row],[DAY]], "mmm yyyy")</f>
        <v>Apr 2024</v>
      </c>
    </row>
    <row r="459" spans="1:14" x14ac:dyDescent="0.3">
      <c r="A459" s="5">
        <v>45389</v>
      </c>
      <c r="B459" s="12">
        <v>732</v>
      </c>
      <c r="C459" s="12">
        <v>36</v>
      </c>
      <c r="D459" s="2" t="s">
        <v>6</v>
      </c>
      <c r="E459" s="2" t="s">
        <v>8</v>
      </c>
      <c r="F459" s="1">
        <v>55</v>
      </c>
      <c r="G459" s="13">
        <v>650.53292929630015</v>
      </c>
      <c r="H459" s="14" t="b">
        <v>0</v>
      </c>
      <c r="I459" s="15">
        <f t="shared" si="28"/>
        <v>732</v>
      </c>
      <c r="J459" s="15">
        <f t="shared" si="28"/>
        <v>36</v>
      </c>
      <c r="K459" s="15">
        <f t="shared" si="29"/>
        <v>651</v>
      </c>
      <c r="L459" s="3" t="str">
        <f t="shared" si="30"/>
        <v>Sunday</v>
      </c>
      <c r="M459" s="4" t="str">
        <f t="shared" si="31"/>
        <v>Normal Day</v>
      </c>
      <c r="N459" s="4" t="str">
        <f>TEXT(CleanedData[[#This Row],[DAY]], "mmm yyyy")</f>
        <v>Apr 2024</v>
      </c>
    </row>
    <row r="460" spans="1:14" x14ac:dyDescent="0.3">
      <c r="A460" s="5">
        <v>45389</v>
      </c>
      <c r="B460" s="12">
        <v>3397.5</v>
      </c>
      <c r="C460" s="12">
        <v>178.5</v>
      </c>
      <c r="D460" s="2" t="s">
        <v>10</v>
      </c>
      <c r="E460" s="2" t="s">
        <v>7</v>
      </c>
      <c r="F460" s="1">
        <v>154</v>
      </c>
      <c r="G460" s="13">
        <v>3229.8042609162394</v>
      </c>
      <c r="H460" s="14" t="b">
        <v>0</v>
      </c>
      <c r="I460" s="15">
        <f t="shared" si="28"/>
        <v>3398</v>
      </c>
      <c r="J460" s="15">
        <f t="shared" si="28"/>
        <v>179</v>
      </c>
      <c r="K460" s="15">
        <f t="shared" si="29"/>
        <v>3230</v>
      </c>
      <c r="L460" s="3" t="str">
        <f t="shared" si="30"/>
        <v>Sunday</v>
      </c>
      <c r="M460" s="4" t="str">
        <f t="shared" si="31"/>
        <v>Normal Day</v>
      </c>
      <c r="N460" s="4" t="str">
        <f>TEXT(CleanedData[[#This Row],[DAY]], "mmm yyyy")</f>
        <v>Apr 2024</v>
      </c>
    </row>
    <row r="461" spans="1:14" x14ac:dyDescent="0.3">
      <c r="A461" s="5">
        <v>45389</v>
      </c>
      <c r="B461" s="12">
        <v>4659</v>
      </c>
      <c r="C461" s="12">
        <v>178.5</v>
      </c>
      <c r="D461" s="2" t="s">
        <v>9</v>
      </c>
      <c r="E461" s="2" t="s">
        <v>8</v>
      </c>
      <c r="F461" s="1">
        <v>2079</v>
      </c>
      <c r="G461" s="13">
        <v>3889.1547841374154</v>
      </c>
      <c r="H461" s="14" t="b">
        <v>0</v>
      </c>
      <c r="I461" s="15">
        <f t="shared" si="28"/>
        <v>4659</v>
      </c>
      <c r="J461" s="15">
        <f t="shared" si="28"/>
        <v>179</v>
      </c>
      <c r="K461" s="15">
        <f t="shared" si="29"/>
        <v>3889</v>
      </c>
      <c r="L461" s="3" t="str">
        <f t="shared" si="30"/>
        <v>Sunday</v>
      </c>
      <c r="M461" s="4" t="str">
        <f t="shared" si="31"/>
        <v>Normal Day</v>
      </c>
      <c r="N461" s="4" t="str">
        <f>TEXT(CleanedData[[#This Row],[DAY]], "mmm yyyy")</f>
        <v>Apr 2024</v>
      </c>
    </row>
    <row r="462" spans="1:14" x14ac:dyDescent="0.3">
      <c r="A462" s="5">
        <v>45390</v>
      </c>
      <c r="B462" s="12">
        <v>685.5</v>
      </c>
      <c r="C462" s="12">
        <v>33</v>
      </c>
      <c r="D462" s="2" t="s">
        <v>6</v>
      </c>
      <c r="E462" s="2" t="s">
        <v>7</v>
      </c>
      <c r="F462" s="1">
        <v>234</v>
      </c>
      <c r="G462" s="13">
        <v>626.0175029223409</v>
      </c>
      <c r="H462" s="14" t="b">
        <v>0</v>
      </c>
      <c r="I462" s="15">
        <f t="shared" si="28"/>
        <v>686</v>
      </c>
      <c r="J462" s="15">
        <f t="shared" si="28"/>
        <v>33</v>
      </c>
      <c r="K462" s="15">
        <f t="shared" si="29"/>
        <v>626</v>
      </c>
      <c r="L462" s="3" t="str">
        <f t="shared" si="30"/>
        <v>Monday</v>
      </c>
      <c r="M462" s="4" t="str">
        <f t="shared" si="31"/>
        <v>Normal Day</v>
      </c>
      <c r="N462" s="4" t="str">
        <f>TEXT(CleanedData[[#This Row],[DAY]], "mmm yyyy")</f>
        <v>Apr 2024</v>
      </c>
    </row>
    <row r="463" spans="1:14" x14ac:dyDescent="0.3">
      <c r="A463" s="5">
        <v>45390</v>
      </c>
      <c r="B463" s="12">
        <v>771</v>
      </c>
      <c r="C463" s="12">
        <v>33</v>
      </c>
      <c r="D463" s="2" t="s">
        <v>6</v>
      </c>
      <c r="E463" s="2" t="s">
        <v>8</v>
      </c>
      <c r="F463" s="1">
        <v>208</v>
      </c>
      <c r="G463" s="13">
        <v>697.66022082849156</v>
      </c>
      <c r="H463" s="14" t="b">
        <v>0</v>
      </c>
      <c r="I463" s="15">
        <f t="shared" si="28"/>
        <v>771</v>
      </c>
      <c r="J463" s="15">
        <f t="shared" si="28"/>
        <v>33</v>
      </c>
      <c r="K463" s="15">
        <f t="shared" si="29"/>
        <v>698</v>
      </c>
      <c r="L463" s="3" t="str">
        <f t="shared" si="30"/>
        <v>Monday</v>
      </c>
      <c r="M463" s="4" t="str">
        <f t="shared" si="31"/>
        <v>Normal Day</v>
      </c>
      <c r="N463" s="4" t="str">
        <f>TEXT(CleanedData[[#This Row],[DAY]], "mmm yyyy")</f>
        <v>Apr 2024</v>
      </c>
    </row>
    <row r="464" spans="1:14" x14ac:dyDescent="0.3">
      <c r="A464" s="5">
        <v>45390</v>
      </c>
      <c r="B464" s="12">
        <v>3378</v>
      </c>
      <c r="C464" s="12">
        <v>121.5</v>
      </c>
      <c r="D464" s="2" t="s">
        <v>9</v>
      </c>
      <c r="E464" s="2" t="s">
        <v>8</v>
      </c>
      <c r="F464" s="1">
        <v>498</v>
      </c>
      <c r="G464" s="13">
        <v>2885.9399377567615</v>
      </c>
      <c r="H464" s="14" t="b">
        <v>0</v>
      </c>
      <c r="I464" s="15">
        <f t="shared" si="28"/>
        <v>3378</v>
      </c>
      <c r="J464" s="15">
        <f t="shared" si="28"/>
        <v>122</v>
      </c>
      <c r="K464" s="15">
        <f t="shared" si="29"/>
        <v>2886</v>
      </c>
      <c r="L464" s="3" t="str">
        <f t="shared" si="30"/>
        <v>Monday</v>
      </c>
      <c r="M464" s="4" t="str">
        <f t="shared" si="31"/>
        <v>Normal Day</v>
      </c>
      <c r="N464" s="4" t="str">
        <f>TEXT(CleanedData[[#This Row],[DAY]], "mmm yyyy")</f>
        <v>Apr 2024</v>
      </c>
    </row>
    <row r="465" spans="1:14" x14ac:dyDescent="0.3">
      <c r="A465" s="5">
        <v>45390</v>
      </c>
      <c r="B465" s="12">
        <v>3441</v>
      </c>
      <c r="C465" s="12">
        <v>127.5</v>
      </c>
      <c r="D465" s="2" t="s">
        <v>10</v>
      </c>
      <c r="E465" s="2" t="s">
        <v>7</v>
      </c>
      <c r="F465" s="1">
        <v>1979</v>
      </c>
      <c r="G465" s="13">
        <v>3337.3955132763558</v>
      </c>
      <c r="H465" s="14" t="b">
        <v>0</v>
      </c>
      <c r="I465" s="15">
        <f t="shared" si="28"/>
        <v>3441</v>
      </c>
      <c r="J465" s="15">
        <f t="shared" si="28"/>
        <v>128</v>
      </c>
      <c r="K465" s="15">
        <f t="shared" si="29"/>
        <v>3337</v>
      </c>
      <c r="L465" s="3" t="str">
        <f t="shared" si="30"/>
        <v>Monday</v>
      </c>
      <c r="M465" s="4" t="str">
        <f t="shared" si="31"/>
        <v>Normal Day</v>
      </c>
      <c r="N465" s="4" t="str">
        <f>TEXT(CleanedData[[#This Row],[DAY]], "mmm yyyy")</f>
        <v>Apr 2024</v>
      </c>
    </row>
    <row r="466" spans="1:14" x14ac:dyDescent="0.3">
      <c r="A466" s="5">
        <v>45391</v>
      </c>
      <c r="B466" s="12">
        <v>337.5</v>
      </c>
      <c r="C466" s="12">
        <v>16.5</v>
      </c>
      <c r="D466" s="2" t="s">
        <v>6</v>
      </c>
      <c r="E466" s="2" t="s">
        <v>8</v>
      </c>
      <c r="F466" s="1">
        <v>200</v>
      </c>
      <c r="G466" s="13">
        <v>308.95384910198737</v>
      </c>
      <c r="H466" s="14" t="b">
        <v>0</v>
      </c>
      <c r="I466" s="15">
        <f t="shared" si="28"/>
        <v>338</v>
      </c>
      <c r="J466" s="15">
        <f t="shared" si="28"/>
        <v>17</v>
      </c>
      <c r="K466" s="15">
        <f t="shared" si="29"/>
        <v>309</v>
      </c>
      <c r="L466" s="3" t="str">
        <f t="shared" si="30"/>
        <v>Tuesday</v>
      </c>
      <c r="M466" s="4" t="str">
        <f t="shared" si="31"/>
        <v>Normal Day</v>
      </c>
      <c r="N466" s="4" t="str">
        <f>TEXT(CleanedData[[#This Row],[DAY]], "mmm yyyy")</f>
        <v>Apr 2024</v>
      </c>
    </row>
    <row r="467" spans="1:14" x14ac:dyDescent="0.3">
      <c r="A467" s="5">
        <v>45391</v>
      </c>
      <c r="B467" s="12">
        <v>468</v>
      </c>
      <c r="C467" s="12">
        <v>16.5</v>
      </c>
      <c r="D467" s="2" t="s">
        <v>6</v>
      </c>
      <c r="E467" s="2" t="s">
        <v>7</v>
      </c>
      <c r="F467" s="1">
        <v>122</v>
      </c>
      <c r="G467" s="13">
        <v>434.93494470623273</v>
      </c>
      <c r="H467" s="14" t="b">
        <v>0</v>
      </c>
      <c r="I467" s="15">
        <f t="shared" si="28"/>
        <v>468</v>
      </c>
      <c r="J467" s="15">
        <f t="shared" si="28"/>
        <v>17</v>
      </c>
      <c r="K467" s="15">
        <f t="shared" si="29"/>
        <v>435</v>
      </c>
      <c r="L467" s="3" t="str">
        <f t="shared" si="30"/>
        <v>Tuesday</v>
      </c>
      <c r="M467" s="4" t="str">
        <f t="shared" si="31"/>
        <v>Normal Day</v>
      </c>
      <c r="N467" s="4" t="str">
        <f>TEXT(CleanedData[[#This Row],[DAY]], "mmm yyyy")</f>
        <v>Apr 2024</v>
      </c>
    </row>
    <row r="468" spans="1:14" x14ac:dyDescent="0.3">
      <c r="A468" s="5">
        <v>45391</v>
      </c>
      <c r="B468" s="12">
        <v>3105</v>
      </c>
      <c r="C468" s="12">
        <v>39</v>
      </c>
      <c r="D468" s="2" t="s">
        <v>9</v>
      </c>
      <c r="E468" s="2" t="s">
        <v>8</v>
      </c>
      <c r="F468" s="1">
        <v>579</v>
      </c>
      <c r="G468" s="13">
        <v>2533.9317001759878</v>
      </c>
      <c r="H468" s="14" t="b">
        <v>1</v>
      </c>
      <c r="I468" s="15">
        <f t="shared" si="28"/>
        <v>3105</v>
      </c>
      <c r="J468" s="15">
        <f t="shared" si="28"/>
        <v>39</v>
      </c>
      <c r="K468" s="15">
        <f t="shared" si="29"/>
        <v>2534</v>
      </c>
      <c r="L468" s="3" t="str">
        <f t="shared" si="30"/>
        <v>Tuesday</v>
      </c>
      <c r="M468" s="4" t="str">
        <f t="shared" si="31"/>
        <v>Outage Day</v>
      </c>
      <c r="N468" s="4" t="str">
        <f>TEXT(CleanedData[[#This Row],[DAY]], "mmm yyyy")</f>
        <v>Apr 2024</v>
      </c>
    </row>
    <row r="469" spans="1:14" x14ac:dyDescent="0.3">
      <c r="A469" s="5">
        <v>45391</v>
      </c>
      <c r="B469" s="12">
        <v>3333</v>
      </c>
      <c r="C469" s="12">
        <v>31.5</v>
      </c>
      <c r="D469" s="2" t="s">
        <v>10</v>
      </c>
      <c r="E469" s="2" t="s">
        <v>7</v>
      </c>
      <c r="F469" s="1">
        <v>987</v>
      </c>
      <c r="G469" s="13">
        <v>3139.8434042569515</v>
      </c>
      <c r="H469" s="14" t="b">
        <v>0</v>
      </c>
      <c r="I469" s="15">
        <f t="shared" si="28"/>
        <v>3333</v>
      </c>
      <c r="J469" s="15">
        <f t="shared" si="28"/>
        <v>32</v>
      </c>
      <c r="K469" s="15">
        <f t="shared" si="29"/>
        <v>3140</v>
      </c>
      <c r="L469" s="3" t="str">
        <f t="shared" si="30"/>
        <v>Tuesday</v>
      </c>
      <c r="M469" s="4" t="str">
        <f t="shared" si="31"/>
        <v>Normal Day</v>
      </c>
      <c r="N469" s="4" t="str">
        <f>TEXT(CleanedData[[#This Row],[DAY]], "mmm yyyy")</f>
        <v>Apr 2024</v>
      </c>
    </row>
    <row r="470" spans="1:14" x14ac:dyDescent="0.3">
      <c r="A470" s="5">
        <v>45392</v>
      </c>
      <c r="B470" s="12">
        <v>423</v>
      </c>
      <c r="C470" s="12">
        <v>7.5</v>
      </c>
      <c r="D470" s="2" t="s">
        <v>6</v>
      </c>
      <c r="E470" s="2" t="s">
        <v>8</v>
      </c>
      <c r="F470" s="1">
        <v>210</v>
      </c>
      <c r="G470" s="13">
        <v>377.27784000639457</v>
      </c>
      <c r="H470" s="14" t="b">
        <v>0</v>
      </c>
      <c r="I470" s="15">
        <f t="shared" si="28"/>
        <v>423</v>
      </c>
      <c r="J470" s="15">
        <f t="shared" si="28"/>
        <v>8</v>
      </c>
      <c r="K470" s="15">
        <f t="shared" si="29"/>
        <v>377</v>
      </c>
      <c r="L470" s="3" t="str">
        <f t="shared" si="30"/>
        <v>Wednesday</v>
      </c>
      <c r="M470" s="4" t="str">
        <f t="shared" si="31"/>
        <v>Normal Day</v>
      </c>
      <c r="N470" s="4" t="str">
        <f>TEXT(CleanedData[[#This Row],[DAY]], "mmm yyyy")</f>
        <v>Apr 2024</v>
      </c>
    </row>
    <row r="471" spans="1:14" x14ac:dyDescent="0.3">
      <c r="A471" s="5">
        <v>45392</v>
      </c>
      <c r="B471" s="12">
        <v>441</v>
      </c>
      <c r="C471" s="12">
        <v>7.5</v>
      </c>
      <c r="D471" s="2" t="s">
        <v>6</v>
      </c>
      <c r="E471" s="2" t="s">
        <v>7</v>
      </c>
      <c r="F471" s="1">
        <v>71</v>
      </c>
      <c r="G471" s="13">
        <v>396.01880821289603</v>
      </c>
      <c r="H471" s="14" t="b">
        <v>0</v>
      </c>
      <c r="I471" s="15">
        <f t="shared" si="28"/>
        <v>441</v>
      </c>
      <c r="J471" s="15">
        <f t="shared" si="28"/>
        <v>8</v>
      </c>
      <c r="K471" s="15">
        <f t="shared" si="29"/>
        <v>396</v>
      </c>
      <c r="L471" s="3" t="str">
        <f t="shared" si="30"/>
        <v>Wednesday</v>
      </c>
      <c r="M471" s="4" t="str">
        <f t="shared" si="31"/>
        <v>Normal Day</v>
      </c>
      <c r="N471" s="4" t="str">
        <f>TEXT(CleanedData[[#This Row],[DAY]], "mmm yyyy")</f>
        <v>Apr 2024</v>
      </c>
    </row>
    <row r="472" spans="1:14" x14ac:dyDescent="0.3">
      <c r="A472" s="5">
        <v>45392</v>
      </c>
      <c r="B472" s="12">
        <v>2991</v>
      </c>
      <c r="C472" s="12">
        <v>49.5</v>
      </c>
      <c r="D472" s="2" t="s">
        <v>9</v>
      </c>
      <c r="E472" s="2" t="s">
        <v>8</v>
      </c>
      <c r="F472" s="1">
        <v>1924</v>
      </c>
      <c r="G472" s="13">
        <v>2511.9855172073371</v>
      </c>
      <c r="H472" s="14" t="b">
        <v>0</v>
      </c>
      <c r="I472" s="15">
        <f t="shared" si="28"/>
        <v>2991</v>
      </c>
      <c r="J472" s="15">
        <f t="shared" si="28"/>
        <v>50</v>
      </c>
      <c r="K472" s="15">
        <f t="shared" si="29"/>
        <v>2512</v>
      </c>
      <c r="L472" s="3" t="str">
        <f t="shared" si="30"/>
        <v>Wednesday</v>
      </c>
      <c r="M472" s="4" t="str">
        <f t="shared" si="31"/>
        <v>Normal Day</v>
      </c>
      <c r="N472" s="4" t="str">
        <f>TEXT(CleanedData[[#This Row],[DAY]], "mmm yyyy")</f>
        <v>Apr 2024</v>
      </c>
    </row>
    <row r="473" spans="1:14" x14ac:dyDescent="0.3">
      <c r="A473" s="5">
        <v>45392</v>
      </c>
      <c r="B473" s="12">
        <v>4434</v>
      </c>
      <c r="C473" s="12">
        <v>61.5</v>
      </c>
      <c r="D473" s="2" t="s">
        <v>10</v>
      </c>
      <c r="E473" s="2" t="s">
        <v>7</v>
      </c>
      <c r="F473" s="1">
        <v>2069</v>
      </c>
      <c r="G473" s="13">
        <v>4148.9143453268834</v>
      </c>
      <c r="H473" s="14" t="b">
        <v>0</v>
      </c>
      <c r="I473" s="15">
        <f t="shared" si="28"/>
        <v>4434</v>
      </c>
      <c r="J473" s="15">
        <f t="shared" si="28"/>
        <v>62</v>
      </c>
      <c r="K473" s="15">
        <f t="shared" si="29"/>
        <v>4149</v>
      </c>
      <c r="L473" s="3" t="str">
        <f t="shared" si="30"/>
        <v>Wednesday</v>
      </c>
      <c r="M473" s="4" t="str">
        <f t="shared" si="31"/>
        <v>Normal Day</v>
      </c>
      <c r="N473" s="4" t="str">
        <f>TEXT(CleanedData[[#This Row],[DAY]], "mmm yyyy")</f>
        <v>Apr 2024</v>
      </c>
    </row>
    <row r="474" spans="1:14" x14ac:dyDescent="0.3">
      <c r="A474" s="5">
        <v>45393</v>
      </c>
      <c r="B474" s="12">
        <v>421.5</v>
      </c>
      <c r="C474" s="12">
        <v>63</v>
      </c>
      <c r="D474" s="2" t="s">
        <v>6</v>
      </c>
      <c r="E474" s="2" t="s">
        <v>8</v>
      </c>
      <c r="F474" s="1">
        <v>83</v>
      </c>
      <c r="G474" s="13">
        <v>413.2760956796958</v>
      </c>
      <c r="H474" s="14" t="b">
        <v>0</v>
      </c>
      <c r="I474" s="15">
        <f t="shared" si="28"/>
        <v>422</v>
      </c>
      <c r="J474" s="15">
        <f t="shared" si="28"/>
        <v>63</v>
      </c>
      <c r="K474" s="15">
        <f t="shared" si="29"/>
        <v>413</v>
      </c>
      <c r="L474" s="3" t="str">
        <f t="shared" si="30"/>
        <v>Thursday</v>
      </c>
      <c r="M474" s="4" t="str">
        <f t="shared" si="31"/>
        <v>Normal Day</v>
      </c>
      <c r="N474" s="4" t="str">
        <f>TEXT(CleanedData[[#This Row],[DAY]], "mmm yyyy")</f>
        <v>Apr 2024</v>
      </c>
    </row>
    <row r="475" spans="1:14" x14ac:dyDescent="0.3">
      <c r="A475" s="5">
        <v>45393</v>
      </c>
      <c r="B475" s="12">
        <v>994.5</v>
      </c>
      <c r="C475" s="12">
        <v>63</v>
      </c>
      <c r="D475" s="2" t="s">
        <v>6</v>
      </c>
      <c r="E475" s="2" t="s">
        <v>7</v>
      </c>
      <c r="F475" s="1">
        <v>472</v>
      </c>
      <c r="G475" s="13">
        <v>946.81121101860992</v>
      </c>
      <c r="H475" s="14" t="b">
        <v>0</v>
      </c>
      <c r="I475" s="15">
        <f t="shared" si="28"/>
        <v>995</v>
      </c>
      <c r="J475" s="15">
        <f t="shared" si="28"/>
        <v>63</v>
      </c>
      <c r="K475" s="15">
        <f t="shared" si="29"/>
        <v>947</v>
      </c>
      <c r="L475" s="3" t="str">
        <f t="shared" si="30"/>
        <v>Thursday</v>
      </c>
      <c r="M475" s="4" t="str">
        <f t="shared" si="31"/>
        <v>Normal Day</v>
      </c>
      <c r="N475" s="4" t="str">
        <f>TEXT(CleanedData[[#This Row],[DAY]], "mmm yyyy")</f>
        <v>Apr 2024</v>
      </c>
    </row>
    <row r="476" spans="1:14" x14ac:dyDescent="0.3">
      <c r="A476" s="5">
        <v>45393</v>
      </c>
      <c r="B476" s="12">
        <v>2281.5</v>
      </c>
      <c r="C476" s="12">
        <v>15</v>
      </c>
      <c r="D476" s="2" t="s">
        <v>9</v>
      </c>
      <c r="E476" s="2" t="s">
        <v>8</v>
      </c>
      <c r="F476" s="1">
        <v>1236</v>
      </c>
      <c r="G476" s="13">
        <v>1956.9131934252721</v>
      </c>
      <c r="H476" s="14" t="b">
        <v>0</v>
      </c>
      <c r="I476" s="15">
        <f t="shared" si="28"/>
        <v>2282</v>
      </c>
      <c r="J476" s="15">
        <f t="shared" si="28"/>
        <v>15</v>
      </c>
      <c r="K476" s="15">
        <f t="shared" si="29"/>
        <v>1957</v>
      </c>
      <c r="L476" s="3" t="str">
        <f t="shared" si="30"/>
        <v>Thursday</v>
      </c>
      <c r="M476" s="4" t="str">
        <f t="shared" si="31"/>
        <v>Normal Day</v>
      </c>
      <c r="N476" s="4" t="str">
        <f>TEXT(CleanedData[[#This Row],[DAY]], "mmm yyyy")</f>
        <v>Apr 2024</v>
      </c>
    </row>
    <row r="477" spans="1:14" x14ac:dyDescent="0.3">
      <c r="A477" s="5">
        <v>45393</v>
      </c>
      <c r="B477" s="12">
        <v>4318.5</v>
      </c>
      <c r="C477" s="12">
        <v>192</v>
      </c>
      <c r="D477" s="2" t="s">
        <v>10</v>
      </c>
      <c r="E477" s="2" t="s">
        <v>7</v>
      </c>
      <c r="F477" s="1">
        <v>1078</v>
      </c>
      <c r="G477" s="13">
        <v>4068.4093149540631</v>
      </c>
      <c r="H477" s="14" t="b">
        <v>0</v>
      </c>
      <c r="I477" s="15">
        <f t="shared" si="28"/>
        <v>4319</v>
      </c>
      <c r="J477" s="15">
        <f t="shared" si="28"/>
        <v>192</v>
      </c>
      <c r="K477" s="15">
        <f t="shared" si="29"/>
        <v>4068</v>
      </c>
      <c r="L477" s="3" t="str">
        <f t="shared" si="30"/>
        <v>Thursday</v>
      </c>
      <c r="M477" s="4" t="str">
        <f t="shared" si="31"/>
        <v>Normal Day</v>
      </c>
      <c r="N477" s="4" t="str">
        <f>TEXT(CleanedData[[#This Row],[DAY]], "mmm yyyy")</f>
        <v>Apr 2024</v>
      </c>
    </row>
    <row r="478" spans="1:14" x14ac:dyDescent="0.3">
      <c r="A478" s="5">
        <v>45394</v>
      </c>
      <c r="B478" s="12">
        <v>511.5</v>
      </c>
      <c r="C478" s="12">
        <v>19.5</v>
      </c>
      <c r="D478" s="2" t="s">
        <v>6</v>
      </c>
      <c r="E478" s="2" t="s">
        <v>8</v>
      </c>
      <c r="F478" s="1">
        <v>321</v>
      </c>
      <c r="G478" s="13">
        <v>472.34560177626565</v>
      </c>
      <c r="H478" s="14" t="b">
        <v>0</v>
      </c>
      <c r="I478" s="15">
        <f t="shared" si="28"/>
        <v>512</v>
      </c>
      <c r="J478" s="15">
        <f t="shared" si="28"/>
        <v>20</v>
      </c>
      <c r="K478" s="15">
        <f t="shared" si="29"/>
        <v>472</v>
      </c>
      <c r="L478" s="3" t="str">
        <f t="shared" si="30"/>
        <v>Friday</v>
      </c>
      <c r="M478" s="4" t="str">
        <f t="shared" si="31"/>
        <v>Normal Day</v>
      </c>
      <c r="N478" s="4" t="str">
        <f>TEXT(CleanedData[[#This Row],[DAY]], "mmm yyyy")</f>
        <v>Apr 2024</v>
      </c>
    </row>
    <row r="479" spans="1:14" x14ac:dyDescent="0.3">
      <c r="A479" s="5">
        <v>45394</v>
      </c>
      <c r="B479" s="12">
        <v>693</v>
      </c>
      <c r="C479" s="12">
        <v>19.5</v>
      </c>
      <c r="D479" s="2" t="s">
        <v>6</v>
      </c>
      <c r="E479" s="2" t="s">
        <v>7</v>
      </c>
      <c r="F479" s="1">
        <v>9</v>
      </c>
      <c r="G479" s="13">
        <v>659.98930788543157</v>
      </c>
      <c r="H479" s="14" t="b">
        <v>0</v>
      </c>
      <c r="I479" s="15">
        <f t="shared" si="28"/>
        <v>693</v>
      </c>
      <c r="J479" s="15">
        <f t="shared" si="28"/>
        <v>20</v>
      </c>
      <c r="K479" s="15">
        <f t="shared" si="29"/>
        <v>660</v>
      </c>
      <c r="L479" s="3" t="str">
        <f t="shared" si="30"/>
        <v>Friday</v>
      </c>
      <c r="M479" s="4" t="str">
        <f t="shared" si="31"/>
        <v>Normal Day</v>
      </c>
      <c r="N479" s="4" t="str">
        <f>TEXT(CleanedData[[#This Row],[DAY]], "mmm yyyy")</f>
        <v>Apr 2024</v>
      </c>
    </row>
    <row r="480" spans="1:14" x14ac:dyDescent="0.3">
      <c r="A480" s="5">
        <v>45394</v>
      </c>
      <c r="B480" s="12">
        <v>2374.5</v>
      </c>
      <c r="C480" s="12">
        <v>16.5</v>
      </c>
      <c r="D480" s="2" t="s">
        <v>9</v>
      </c>
      <c r="E480" s="2" t="s">
        <v>8</v>
      </c>
      <c r="F480" s="1">
        <v>466</v>
      </c>
      <c r="G480" s="13">
        <v>2003.5383262156872</v>
      </c>
      <c r="H480" s="14" t="b">
        <v>0</v>
      </c>
      <c r="I480" s="15">
        <f t="shared" si="28"/>
        <v>2375</v>
      </c>
      <c r="J480" s="15">
        <f t="shared" si="28"/>
        <v>17</v>
      </c>
      <c r="K480" s="15">
        <f t="shared" si="29"/>
        <v>2004</v>
      </c>
      <c r="L480" s="3" t="str">
        <f t="shared" si="30"/>
        <v>Friday</v>
      </c>
      <c r="M480" s="4" t="str">
        <f t="shared" si="31"/>
        <v>Normal Day</v>
      </c>
      <c r="N480" s="4" t="str">
        <f>TEXT(CleanedData[[#This Row],[DAY]], "mmm yyyy")</f>
        <v>Apr 2024</v>
      </c>
    </row>
    <row r="481" spans="1:14" x14ac:dyDescent="0.3">
      <c r="A481" s="5">
        <v>45394</v>
      </c>
      <c r="B481" s="12">
        <v>4257</v>
      </c>
      <c r="C481" s="12">
        <v>85.5</v>
      </c>
      <c r="D481" s="2" t="s">
        <v>10</v>
      </c>
      <c r="E481" s="2" t="s">
        <v>7</v>
      </c>
      <c r="F481" s="1">
        <v>2046</v>
      </c>
      <c r="G481" s="13">
        <v>3881.7647752247085</v>
      </c>
      <c r="H481" s="14" t="b">
        <v>0</v>
      </c>
      <c r="I481" s="15">
        <f t="shared" si="28"/>
        <v>4257</v>
      </c>
      <c r="J481" s="15">
        <f t="shared" si="28"/>
        <v>86</v>
      </c>
      <c r="K481" s="15">
        <f t="shared" si="29"/>
        <v>3882</v>
      </c>
      <c r="L481" s="3" t="str">
        <f t="shared" si="30"/>
        <v>Friday</v>
      </c>
      <c r="M481" s="4" t="str">
        <f t="shared" si="31"/>
        <v>Normal Day</v>
      </c>
      <c r="N481" s="4" t="str">
        <f>TEXT(CleanedData[[#This Row],[DAY]], "mmm yyyy")</f>
        <v>Apr 2024</v>
      </c>
    </row>
    <row r="482" spans="1:14" x14ac:dyDescent="0.3">
      <c r="A482" s="5">
        <v>45395</v>
      </c>
      <c r="B482" s="12">
        <v>271.5</v>
      </c>
      <c r="C482" s="12">
        <v>37.5</v>
      </c>
      <c r="D482" s="2" t="s">
        <v>6</v>
      </c>
      <c r="E482" s="2" t="s">
        <v>8</v>
      </c>
      <c r="F482" s="1">
        <v>24</v>
      </c>
      <c r="G482" s="13">
        <v>274.60617071925077</v>
      </c>
      <c r="H482" s="14" t="b">
        <v>0</v>
      </c>
      <c r="I482" s="15">
        <f t="shared" si="28"/>
        <v>272</v>
      </c>
      <c r="J482" s="15">
        <f t="shared" si="28"/>
        <v>38</v>
      </c>
      <c r="K482" s="15">
        <f t="shared" si="29"/>
        <v>275</v>
      </c>
      <c r="L482" s="3" t="str">
        <f t="shared" si="30"/>
        <v>Saturday</v>
      </c>
      <c r="M482" s="4" t="str">
        <f t="shared" si="31"/>
        <v>Normal Day</v>
      </c>
      <c r="N482" s="4" t="str">
        <f>TEXT(CleanedData[[#This Row],[DAY]], "mmm yyyy")</f>
        <v>Apr 2024</v>
      </c>
    </row>
    <row r="483" spans="1:14" x14ac:dyDescent="0.3">
      <c r="A483" s="5">
        <v>45395</v>
      </c>
      <c r="B483" s="12">
        <v>760.5</v>
      </c>
      <c r="C483" s="12">
        <v>37.5</v>
      </c>
      <c r="D483" s="2" t="s">
        <v>6</v>
      </c>
      <c r="E483" s="2" t="s">
        <v>7</v>
      </c>
      <c r="F483" s="1">
        <v>250</v>
      </c>
      <c r="G483" s="13">
        <v>703.32758788744093</v>
      </c>
      <c r="H483" s="14" t="b">
        <v>0</v>
      </c>
      <c r="I483" s="15">
        <f t="shared" si="28"/>
        <v>761</v>
      </c>
      <c r="J483" s="15">
        <f t="shared" si="28"/>
        <v>38</v>
      </c>
      <c r="K483" s="15">
        <f t="shared" si="29"/>
        <v>703</v>
      </c>
      <c r="L483" s="3" t="str">
        <f t="shared" si="30"/>
        <v>Saturday</v>
      </c>
      <c r="M483" s="4" t="str">
        <f t="shared" si="31"/>
        <v>Normal Day</v>
      </c>
      <c r="N483" s="4" t="str">
        <f>TEXT(CleanedData[[#This Row],[DAY]], "mmm yyyy")</f>
        <v>Apr 2024</v>
      </c>
    </row>
    <row r="484" spans="1:14" x14ac:dyDescent="0.3">
      <c r="A484" s="5">
        <v>45395</v>
      </c>
      <c r="B484" s="12">
        <v>2784</v>
      </c>
      <c r="C484" s="12">
        <v>3</v>
      </c>
      <c r="D484" s="2" t="s">
        <v>9</v>
      </c>
      <c r="E484" s="2" t="s">
        <v>8</v>
      </c>
      <c r="F484" s="1">
        <v>1784</v>
      </c>
      <c r="G484" s="13">
        <v>2371.250251999586</v>
      </c>
      <c r="H484" s="14" t="b">
        <v>0</v>
      </c>
      <c r="I484" s="15">
        <f t="shared" si="28"/>
        <v>2784</v>
      </c>
      <c r="J484" s="15">
        <f t="shared" si="28"/>
        <v>3</v>
      </c>
      <c r="K484" s="15">
        <f t="shared" si="29"/>
        <v>2371</v>
      </c>
      <c r="L484" s="3" t="str">
        <f t="shared" si="30"/>
        <v>Saturday</v>
      </c>
      <c r="M484" s="4" t="str">
        <f t="shared" si="31"/>
        <v>Normal Day</v>
      </c>
      <c r="N484" s="4" t="str">
        <f>TEXT(CleanedData[[#This Row],[DAY]], "mmm yyyy")</f>
        <v>Apr 2024</v>
      </c>
    </row>
    <row r="485" spans="1:14" x14ac:dyDescent="0.3">
      <c r="A485" s="5">
        <v>45395</v>
      </c>
      <c r="B485" s="12">
        <v>4315.5</v>
      </c>
      <c r="C485" s="12">
        <v>243</v>
      </c>
      <c r="D485" s="2" t="s">
        <v>10</v>
      </c>
      <c r="E485" s="2" t="s">
        <v>7</v>
      </c>
      <c r="F485" s="1">
        <v>836</v>
      </c>
      <c r="G485" s="13">
        <v>4215.7440056457226</v>
      </c>
      <c r="H485" s="14" t="b">
        <v>0</v>
      </c>
      <c r="I485" s="15">
        <f t="shared" si="28"/>
        <v>4316</v>
      </c>
      <c r="J485" s="15">
        <f t="shared" si="28"/>
        <v>243</v>
      </c>
      <c r="K485" s="15">
        <f t="shared" si="29"/>
        <v>4216</v>
      </c>
      <c r="L485" s="3" t="str">
        <f t="shared" si="30"/>
        <v>Saturday</v>
      </c>
      <c r="M485" s="4" t="str">
        <f t="shared" si="31"/>
        <v>Normal Day</v>
      </c>
      <c r="N485" s="4" t="str">
        <f>TEXT(CleanedData[[#This Row],[DAY]], "mmm yyyy")</f>
        <v>Apr 2024</v>
      </c>
    </row>
    <row r="486" spans="1:14" x14ac:dyDescent="0.3">
      <c r="A486" s="5">
        <v>45396</v>
      </c>
      <c r="B486" s="12">
        <v>699</v>
      </c>
      <c r="C486" s="12">
        <v>13.5</v>
      </c>
      <c r="D486" s="2" t="s">
        <v>6</v>
      </c>
      <c r="E486" s="2" t="s">
        <v>8</v>
      </c>
      <c r="F486" s="1">
        <v>73</v>
      </c>
      <c r="G486" s="13">
        <v>605.99053698517866</v>
      </c>
      <c r="H486" s="14" t="b">
        <v>0</v>
      </c>
      <c r="I486" s="15">
        <f t="shared" si="28"/>
        <v>699</v>
      </c>
      <c r="J486" s="15">
        <f t="shared" si="28"/>
        <v>14</v>
      </c>
      <c r="K486" s="15">
        <f t="shared" si="29"/>
        <v>606</v>
      </c>
      <c r="L486" s="3" t="str">
        <f t="shared" si="30"/>
        <v>Sunday</v>
      </c>
      <c r="M486" s="4" t="str">
        <f t="shared" si="31"/>
        <v>Normal Day</v>
      </c>
      <c r="N486" s="4" t="str">
        <f>TEXT(CleanedData[[#This Row],[DAY]], "mmm yyyy")</f>
        <v>Apr 2024</v>
      </c>
    </row>
    <row r="487" spans="1:14" x14ac:dyDescent="0.3">
      <c r="A487" s="5">
        <v>45396</v>
      </c>
      <c r="B487" s="12">
        <v>703.5</v>
      </c>
      <c r="C487" s="12">
        <v>13.5</v>
      </c>
      <c r="D487" s="2" t="s">
        <v>6</v>
      </c>
      <c r="E487" s="2" t="s">
        <v>7</v>
      </c>
      <c r="F487" s="1">
        <v>97</v>
      </c>
      <c r="G487" s="13">
        <v>669.95463515068593</v>
      </c>
      <c r="H487" s="14" t="b">
        <v>0</v>
      </c>
      <c r="I487" s="15">
        <f t="shared" si="28"/>
        <v>704</v>
      </c>
      <c r="J487" s="15">
        <f t="shared" si="28"/>
        <v>14</v>
      </c>
      <c r="K487" s="15">
        <f t="shared" si="29"/>
        <v>670</v>
      </c>
      <c r="L487" s="3" t="str">
        <f t="shared" si="30"/>
        <v>Sunday</v>
      </c>
      <c r="M487" s="4" t="str">
        <f t="shared" si="31"/>
        <v>Normal Day</v>
      </c>
      <c r="N487" s="4" t="str">
        <f>TEXT(CleanedData[[#This Row],[DAY]], "mmm yyyy")</f>
        <v>Apr 2024</v>
      </c>
    </row>
    <row r="488" spans="1:14" x14ac:dyDescent="0.3">
      <c r="A488" s="5">
        <v>45396</v>
      </c>
      <c r="B488" s="12">
        <v>2377.5</v>
      </c>
      <c r="C488" s="12">
        <v>79.5</v>
      </c>
      <c r="D488" s="2" t="s">
        <v>9</v>
      </c>
      <c r="E488" s="2" t="s">
        <v>8</v>
      </c>
      <c r="F488" s="1">
        <v>1059</v>
      </c>
      <c r="G488" s="13">
        <v>2008.1071175658592</v>
      </c>
      <c r="H488" s="14" t="b">
        <v>0</v>
      </c>
      <c r="I488" s="15">
        <f t="shared" si="28"/>
        <v>2378</v>
      </c>
      <c r="J488" s="15">
        <f t="shared" si="28"/>
        <v>80</v>
      </c>
      <c r="K488" s="15">
        <f t="shared" si="29"/>
        <v>2008</v>
      </c>
      <c r="L488" s="3" t="str">
        <f t="shared" si="30"/>
        <v>Sunday</v>
      </c>
      <c r="M488" s="4" t="str">
        <f t="shared" si="31"/>
        <v>Normal Day</v>
      </c>
      <c r="N488" s="4" t="str">
        <f>TEXT(CleanedData[[#This Row],[DAY]], "mmm yyyy")</f>
        <v>Apr 2024</v>
      </c>
    </row>
    <row r="489" spans="1:14" x14ac:dyDescent="0.3">
      <c r="A489" s="5">
        <v>45396</v>
      </c>
      <c r="B489" s="12">
        <v>3984</v>
      </c>
      <c r="C489" s="12">
        <v>243</v>
      </c>
      <c r="D489" s="2" t="s">
        <v>10</v>
      </c>
      <c r="E489" s="2" t="s">
        <v>7</v>
      </c>
      <c r="F489" s="1">
        <v>1762</v>
      </c>
      <c r="G489" s="13">
        <v>3870.3000279580256</v>
      </c>
      <c r="H489" s="14" t="b">
        <v>0</v>
      </c>
      <c r="I489" s="15">
        <f t="shared" si="28"/>
        <v>3984</v>
      </c>
      <c r="J489" s="15">
        <f t="shared" si="28"/>
        <v>243</v>
      </c>
      <c r="K489" s="15">
        <f t="shared" si="29"/>
        <v>3870</v>
      </c>
      <c r="L489" s="3" t="str">
        <f t="shared" si="30"/>
        <v>Sunday</v>
      </c>
      <c r="M489" s="4" t="str">
        <f t="shared" si="31"/>
        <v>Normal Day</v>
      </c>
      <c r="N489" s="4" t="str">
        <f>TEXT(CleanedData[[#This Row],[DAY]], "mmm yyyy")</f>
        <v>Apr 2024</v>
      </c>
    </row>
    <row r="490" spans="1:14" x14ac:dyDescent="0.3">
      <c r="A490" s="5">
        <v>45397</v>
      </c>
      <c r="B490" s="12">
        <v>336</v>
      </c>
      <c r="C490" s="12">
        <v>4.5</v>
      </c>
      <c r="D490" s="2" t="s">
        <v>6</v>
      </c>
      <c r="E490" s="2" t="s">
        <v>8</v>
      </c>
      <c r="F490" s="1">
        <v>204</v>
      </c>
      <c r="G490" s="13">
        <v>297.79480230950412</v>
      </c>
      <c r="H490" s="14" t="b">
        <v>0</v>
      </c>
      <c r="I490" s="15">
        <f t="shared" si="28"/>
        <v>336</v>
      </c>
      <c r="J490" s="15">
        <f t="shared" si="28"/>
        <v>5</v>
      </c>
      <c r="K490" s="15">
        <f t="shared" si="29"/>
        <v>298</v>
      </c>
      <c r="L490" s="3" t="str">
        <f t="shared" si="30"/>
        <v>Monday</v>
      </c>
      <c r="M490" s="4" t="str">
        <f t="shared" si="31"/>
        <v>Normal Day</v>
      </c>
      <c r="N490" s="4" t="str">
        <f>TEXT(CleanedData[[#This Row],[DAY]], "mmm yyyy")</f>
        <v>Apr 2024</v>
      </c>
    </row>
    <row r="491" spans="1:14" x14ac:dyDescent="0.3">
      <c r="A491" s="5">
        <v>45397</v>
      </c>
      <c r="B491" s="12">
        <v>657</v>
      </c>
      <c r="C491" s="12">
        <v>4.5</v>
      </c>
      <c r="D491" s="2" t="s">
        <v>6</v>
      </c>
      <c r="E491" s="2" t="s">
        <v>7</v>
      </c>
      <c r="F491" s="1">
        <v>421</v>
      </c>
      <c r="G491" s="13">
        <v>589.44544592757165</v>
      </c>
      <c r="H491" s="14" t="b">
        <v>0</v>
      </c>
      <c r="I491" s="15">
        <f t="shared" si="28"/>
        <v>657</v>
      </c>
      <c r="J491" s="15">
        <f t="shared" si="28"/>
        <v>5</v>
      </c>
      <c r="K491" s="15">
        <f t="shared" si="29"/>
        <v>589</v>
      </c>
      <c r="L491" s="3" t="str">
        <f t="shared" si="30"/>
        <v>Monday</v>
      </c>
      <c r="M491" s="4" t="str">
        <f t="shared" si="31"/>
        <v>Normal Day</v>
      </c>
      <c r="N491" s="4" t="str">
        <f>TEXT(CleanedData[[#This Row],[DAY]], "mmm yyyy")</f>
        <v>Apr 2024</v>
      </c>
    </row>
    <row r="492" spans="1:14" x14ac:dyDescent="0.3">
      <c r="A492" s="5">
        <v>45397</v>
      </c>
      <c r="B492" s="12">
        <v>2157</v>
      </c>
      <c r="C492" s="12">
        <v>58.5</v>
      </c>
      <c r="D492" s="2" t="s">
        <v>9</v>
      </c>
      <c r="E492" s="2" t="s">
        <v>8</v>
      </c>
      <c r="F492" s="1">
        <v>1367</v>
      </c>
      <c r="G492" s="13">
        <v>1923.5680283037645</v>
      </c>
      <c r="H492" s="14" t="b">
        <v>0</v>
      </c>
      <c r="I492" s="15">
        <f t="shared" si="28"/>
        <v>2157</v>
      </c>
      <c r="J492" s="15">
        <f t="shared" si="28"/>
        <v>59</v>
      </c>
      <c r="K492" s="15">
        <f t="shared" si="29"/>
        <v>1924</v>
      </c>
      <c r="L492" s="3" t="str">
        <f t="shared" si="30"/>
        <v>Monday</v>
      </c>
      <c r="M492" s="4" t="str">
        <f t="shared" si="31"/>
        <v>Normal Day</v>
      </c>
      <c r="N492" s="4" t="str">
        <f>TEXT(CleanedData[[#This Row],[DAY]], "mmm yyyy")</f>
        <v>Apr 2024</v>
      </c>
    </row>
    <row r="493" spans="1:14" x14ac:dyDescent="0.3">
      <c r="A493" s="5">
        <v>45397</v>
      </c>
      <c r="B493" s="12">
        <v>5497.5</v>
      </c>
      <c r="C493" s="12">
        <v>13.5</v>
      </c>
      <c r="D493" s="2" t="s">
        <v>10</v>
      </c>
      <c r="E493" s="2" t="s">
        <v>7</v>
      </c>
      <c r="F493" s="1">
        <v>3595</v>
      </c>
      <c r="G493" s="13">
        <v>4911.7187781124594</v>
      </c>
      <c r="H493" s="14" t="b">
        <v>0</v>
      </c>
      <c r="I493" s="15">
        <f t="shared" si="28"/>
        <v>5498</v>
      </c>
      <c r="J493" s="15">
        <f t="shared" si="28"/>
        <v>14</v>
      </c>
      <c r="K493" s="15">
        <f t="shared" si="29"/>
        <v>4912</v>
      </c>
      <c r="L493" s="3" t="str">
        <f t="shared" si="30"/>
        <v>Monday</v>
      </c>
      <c r="M493" s="4" t="str">
        <f t="shared" si="31"/>
        <v>Normal Day</v>
      </c>
      <c r="N493" s="4" t="str">
        <f>TEXT(CleanedData[[#This Row],[DAY]], "mmm yyyy")</f>
        <v>Apr 2024</v>
      </c>
    </row>
    <row r="494" spans="1:14" x14ac:dyDescent="0.3">
      <c r="A494" s="5">
        <v>45398</v>
      </c>
      <c r="B494" s="12">
        <v>322.5</v>
      </c>
      <c r="C494" s="12">
        <v>13.5</v>
      </c>
      <c r="D494" s="2" t="s">
        <v>6</v>
      </c>
      <c r="E494" s="2" t="s">
        <v>8</v>
      </c>
      <c r="F494" s="1">
        <v>190</v>
      </c>
      <c r="G494" s="13">
        <v>293.77929728403751</v>
      </c>
      <c r="H494" s="14" t="b">
        <v>0</v>
      </c>
      <c r="I494" s="15">
        <f t="shared" si="28"/>
        <v>323</v>
      </c>
      <c r="J494" s="15">
        <f t="shared" si="28"/>
        <v>14</v>
      </c>
      <c r="K494" s="15">
        <f t="shared" si="29"/>
        <v>294</v>
      </c>
      <c r="L494" s="3" t="str">
        <f t="shared" si="30"/>
        <v>Tuesday</v>
      </c>
      <c r="M494" s="4" t="str">
        <f t="shared" si="31"/>
        <v>Normal Day</v>
      </c>
      <c r="N494" s="4" t="str">
        <f>TEXT(CleanedData[[#This Row],[DAY]], "mmm yyyy")</f>
        <v>Apr 2024</v>
      </c>
    </row>
    <row r="495" spans="1:14" x14ac:dyDescent="0.3">
      <c r="A495" s="5">
        <v>45398</v>
      </c>
      <c r="B495" s="12">
        <v>505.5</v>
      </c>
      <c r="C495" s="12">
        <v>13.5</v>
      </c>
      <c r="D495" s="2" t="s">
        <v>6</v>
      </c>
      <c r="E495" s="2" t="s">
        <v>7</v>
      </c>
      <c r="F495" s="1">
        <v>300</v>
      </c>
      <c r="G495" s="13">
        <v>465.97109308123413</v>
      </c>
      <c r="H495" s="14" t="b">
        <v>0</v>
      </c>
      <c r="I495" s="15">
        <f t="shared" si="28"/>
        <v>506</v>
      </c>
      <c r="J495" s="15">
        <f t="shared" si="28"/>
        <v>14</v>
      </c>
      <c r="K495" s="15">
        <f t="shared" si="29"/>
        <v>466</v>
      </c>
      <c r="L495" s="3" t="str">
        <f t="shared" si="30"/>
        <v>Tuesday</v>
      </c>
      <c r="M495" s="4" t="str">
        <f t="shared" si="31"/>
        <v>Normal Day</v>
      </c>
      <c r="N495" s="4" t="str">
        <f>TEXT(CleanedData[[#This Row],[DAY]], "mmm yyyy")</f>
        <v>Apr 2024</v>
      </c>
    </row>
    <row r="496" spans="1:14" x14ac:dyDescent="0.3">
      <c r="A496" s="5">
        <v>45398</v>
      </c>
      <c r="B496" s="12">
        <v>1945.5</v>
      </c>
      <c r="C496" s="12">
        <v>10.5</v>
      </c>
      <c r="D496" s="2" t="s">
        <v>9</v>
      </c>
      <c r="E496" s="2" t="s">
        <v>8</v>
      </c>
      <c r="F496" s="1">
        <v>1094</v>
      </c>
      <c r="G496" s="13">
        <v>1661.1174863366757</v>
      </c>
      <c r="H496" s="14" t="b">
        <v>0</v>
      </c>
      <c r="I496" s="15">
        <f t="shared" si="28"/>
        <v>1946</v>
      </c>
      <c r="J496" s="15">
        <f t="shared" si="28"/>
        <v>11</v>
      </c>
      <c r="K496" s="15">
        <f t="shared" si="29"/>
        <v>1661</v>
      </c>
      <c r="L496" s="3" t="str">
        <f t="shared" si="30"/>
        <v>Tuesday</v>
      </c>
      <c r="M496" s="4" t="str">
        <f t="shared" si="31"/>
        <v>Normal Day</v>
      </c>
      <c r="N496" s="4" t="str">
        <f>TEXT(CleanedData[[#This Row],[DAY]], "mmm yyyy")</f>
        <v>Apr 2024</v>
      </c>
    </row>
    <row r="497" spans="1:14" x14ac:dyDescent="0.3">
      <c r="A497" s="5">
        <v>45398</v>
      </c>
      <c r="B497" s="12">
        <v>6007.5</v>
      </c>
      <c r="C497" s="12">
        <v>196.5</v>
      </c>
      <c r="D497" s="2" t="s">
        <v>10</v>
      </c>
      <c r="E497" s="2" t="s">
        <v>7</v>
      </c>
      <c r="F497" s="1">
        <v>1802</v>
      </c>
      <c r="G497" s="13">
        <v>5424.0798185872045</v>
      </c>
      <c r="H497" s="14" t="b">
        <v>0</v>
      </c>
      <c r="I497" s="15">
        <f t="shared" si="28"/>
        <v>6008</v>
      </c>
      <c r="J497" s="15">
        <f t="shared" si="28"/>
        <v>197</v>
      </c>
      <c r="K497" s="15">
        <f t="shared" si="29"/>
        <v>5424</v>
      </c>
      <c r="L497" s="3" t="str">
        <f t="shared" si="30"/>
        <v>Tuesday</v>
      </c>
      <c r="M497" s="4" t="str">
        <f t="shared" si="31"/>
        <v>Normal Day</v>
      </c>
      <c r="N497" s="4" t="str">
        <f>TEXT(CleanedData[[#This Row],[DAY]], "mmm yyyy")</f>
        <v>Apr 2024</v>
      </c>
    </row>
    <row r="498" spans="1:14" x14ac:dyDescent="0.3">
      <c r="A498" s="5">
        <v>45399</v>
      </c>
      <c r="B498" s="12">
        <v>3</v>
      </c>
      <c r="C498" s="12">
        <v>0</v>
      </c>
      <c r="D498" s="2" t="s">
        <v>9</v>
      </c>
      <c r="E498" s="2" t="s">
        <v>7</v>
      </c>
      <c r="F498" s="1">
        <v>2</v>
      </c>
      <c r="G498" s="13">
        <v>2.7864359116204565</v>
      </c>
      <c r="H498" s="14" t="b">
        <v>0</v>
      </c>
      <c r="I498" s="15">
        <f t="shared" si="28"/>
        <v>3</v>
      </c>
      <c r="J498" s="15">
        <f t="shared" si="28"/>
        <v>0</v>
      </c>
      <c r="K498" s="15">
        <f t="shared" si="29"/>
        <v>3</v>
      </c>
      <c r="L498" s="3" t="str">
        <f t="shared" si="30"/>
        <v>Wednesday</v>
      </c>
      <c r="M498" s="4" t="str">
        <f t="shared" si="31"/>
        <v>Normal Day</v>
      </c>
      <c r="N498" s="4" t="str">
        <f>TEXT(CleanedData[[#This Row],[DAY]], "mmm yyyy")</f>
        <v>Apr 2024</v>
      </c>
    </row>
    <row r="499" spans="1:14" x14ac:dyDescent="0.3">
      <c r="A499" s="5">
        <v>45399</v>
      </c>
      <c r="B499" s="12">
        <v>196.5</v>
      </c>
      <c r="C499" s="12">
        <v>18</v>
      </c>
      <c r="D499" s="2" t="s">
        <v>6</v>
      </c>
      <c r="E499" s="2" t="s">
        <v>8</v>
      </c>
      <c r="F499" s="1">
        <v>125</v>
      </c>
      <c r="G499" s="13">
        <v>179.90789757272498</v>
      </c>
      <c r="H499" s="14" t="b">
        <v>0</v>
      </c>
      <c r="I499" s="15">
        <f t="shared" si="28"/>
        <v>197</v>
      </c>
      <c r="J499" s="15">
        <f t="shared" si="28"/>
        <v>18</v>
      </c>
      <c r="K499" s="15">
        <f t="shared" si="29"/>
        <v>180</v>
      </c>
      <c r="L499" s="3" t="str">
        <f t="shared" si="30"/>
        <v>Wednesday</v>
      </c>
      <c r="M499" s="4" t="str">
        <f t="shared" si="31"/>
        <v>Normal Day</v>
      </c>
      <c r="N499" s="4" t="str">
        <f>TEXT(CleanedData[[#This Row],[DAY]], "mmm yyyy")</f>
        <v>Apr 2024</v>
      </c>
    </row>
    <row r="500" spans="1:14" x14ac:dyDescent="0.3">
      <c r="A500" s="5">
        <v>45399</v>
      </c>
      <c r="B500" s="12">
        <v>276</v>
      </c>
      <c r="C500" s="12">
        <v>18</v>
      </c>
      <c r="D500" s="2" t="s">
        <v>6</v>
      </c>
      <c r="E500" s="2" t="s">
        <v>7</v>
      </c>
      <c r="F500" s="1">
        <v>175</v>
      </c>
      <c r="G500" s="13">
        <v>268.41993407106992</v>
      </c>
      <c r="H500" s="14" t="b">
        <v>0</v>
      </c>
      <c r="I500" s="15">
        <f t="shared" si="28"/>
        <v>276</v>
      </c>
      <c r="J500" s="15">
        <f t="shared" si="28"/>
        <v>18</v>
      </c>
      <c r="K500" s="15">
        <f t="shared" si="29"/>
        <v>268</v>
      </c>
      <c r="L500" s="3" t="str">
        <f t="shared" si="30"/>
        <v>Wednesday</v>
      </c>
      <c r="M500" s="4" t="str">
        <f t="shared" si="31"/>
        <v>Normal Day</v>
      </c>
      <c r="N500" s="4" t="str">
        <f>TEXT(CleanedData[[#This Row],[DAY]], "mmm yyyy")</f>
        <v>Apr 2024</v>
      </c>
    </row>
    <row r="501" spans="1:14" x14ac:dyDescent="0.3">
      <c r="A501" s="5">
        <v>45399</v>
      </c>
      <c r="B501" s="12">
        <v>2388</v>
      </c>
      <c r="C501" s="12">
        <v>90</v>
      </c>
      <c r="D501" s="2" t="s">
        <v>9</v>
      </c>
      <c r="E501" s="2" t="s">
        <v>8</v>
      </c>
      <c r="F501" s="1">
        <v>808</v>
      </c>
      <c r="G501" s="13">
        <v>2031.0500642750308</v>
      </c>
      <c r="H501" s="14" t="b">
        <v>0</v>
      </c>
      <c r="I501" s="15">
        <f t="shared" si="28"/>
        <v>2388</v>
      </c>
      <c r="J501" s="15">
        <f t="shared" si="28"/>
        <v>90</v>
      </c>
      <c r="K501" s="15">
        <f t="shared" si="29"/>
        <v>2031</v>
      </c>
      <c r="L501" s="3" t="str">
        <f t="shared" si="30"/>
        <v>Wednesday</v>
      </c>
      <c r="M501" s="4" t="str">
        <f t="shared" si="31"/>
        <v>Normal Day</v>
      </c>
      <c r="N501" s="4" t="str">
        <f>TEXT(CleanedData[[#This Row],[DAY]], "mmm yyyy")</f>
        <v>Apr 2024</v>
      </c>
    </row>
    <row r="502" spans="1:14" x14ac:dyDescent="0.3">
      <c r="A502" s="5">
        <v>45399</v>
      </c>
      <c r="B502" s="12">
        <v>6093</v>
      </c>
      <c r="C502" s="12">
        <v>151.5</v>
      </c>
      <c r="D502" s="2" t="s">
        <v>10</v>
      </c>
      <c r="E502" s="2" t="s">
        <v>7</v>
      </c>
      <c r="F502" s="1">
        <v>2484</v>
      </c>
      <c r="G502" s="13">
        <v>5754.9379516597874</v>
      </c>
      <c r="H502" s="14" t="b">
        <v>0</v>
      </c>
      <c r="I502" s="15">
        <f t="shared" si="28"/>
        <v>6093</v>
      </c>
      <c r="J502" s="15">
        <f t="shared" si="28"/>
        <v>152</v>
      </c>
      <c r="K502" s="15">
        <f t="shared" si="29"/>
        <v>5755</v>
      </c>
      <c r="L502" s="3" t="str">
        <f t="shared" si="30"/>
        <v>Wednesday</v>
      </c>
      <c r="M502" s="4" t="str">
        <f t="shared" si="31"/>
        <v>Normal Day</v>
      </c>
      <c r="N502" s="4" t="str">
        <f>TEXT(CleanedData[[#This Row],[DAY]], "mmm yyyy")</f>
        <v>Apr 2024</v>
      </c>
    </row>
    <row r="503" spans="1:14" x14ac:dyDescent="0.3">
      <c r="A503" s="5">
        <v>45400</v>
      </c>
      <c r="B503" s="12">
        <v>1.5</v>
      </c>
      <c r="C503" s="12">
        <v>0</v>
      </c>
      <c r="D503" s="2" t="s">
        <v>10</v>
      </c>
      <c r="E503" s="2" t="s">
        <v>8</v>
      </c>
      <c r="F503" s="1">
        <v>1</v>
      </c>
      <c r="G503" s="13">
        <v>1.2371379195238816</v>
      </c>
      <c r="H503" s="14" t="b">
        <v>0</v>
      </c>
      <c r="I503" s="15">
        <f t="shared" si="28"/>
        <v>2</v>
      </c>
      <c r="J503" s="15">
        <f t="shared" si="28"/>
        <v>0</v>
      </c>
      <c r="K503" s="15">
        <f t="shared" si="29"/>
        <v>1</v>
      </c>
      <c r="L503" s="3" t="str">
        <f t="shared" si="30"/>
        <v>Thursday</v>
      </c>
      <c r="M503" s="4" t="str">
        <f t="shared" si="31"/>
        <v>Normal Day</v>
      </c>
      <c r="N503" s="4" t="str">
        <f>TEXT(CleanedData[[#This Row],[DAY]], "mmm yyyy")</f>
        <v>Apr 2024</v>
      </c>
    </row>
    <row r="504" spans="1:14" x14ac:dyDescent="0.3">
      <c r="A504" s="5">
        <v>45400</v>
      </c>
      <c r="B504" s="12">
        <v>325.5</v>
      </c>
      <c r="C504" s="12">
        <v>15</v>
      </c>
      <c r="D504" s="2" t="s">
        <v>6</v>
      </c>
      <c r="E504" s="2" t="s">
        <v>8</v>
      </c>
      <c r="F504" s="1">
        <v>198</v>
      </c>
      <c r="G504" s="13">
        <v>296.65855138352845</v>
      </c>
      <c r="H504" s="14" t="b">
        <v>0</v>
      </c>
      <c r="I504" s="15">
        <f t="shared" si="28"/>
        <v>326</v>
      </c>
      <c r="J504" s="15">
        <f t="shared" si="28"/>
        <v>15</v>
      </c>
      <c r="K504" s="15">
        <f t="shared" si="29"/>
        <v>297</v>
      </c>
      <c r="L504" s="3" t="str">
        <f t="shared" si="30"/>
        <v>Thursday</v>
      </c>
      <c r="M504" s="4" t="str">
        <f t="shared" si="31"/>
        <v>Normal Day</v>
      </c>
      <c r="N504" s="4" t="str">
        <f>TEXT(CleanedData[[#This Row],[DAY]], "mmm yyyy")</f>
        <v>Apr 2024</v>
      </c>
    </row>
    <row r="505" spans="1:14" x14ac:dyDescent="0.3">
      <c r="A505" s="5">
        <v>45400</v>
      </c>
      <c r="B505" s="12">
        <v>633</v>
      </c>
      <c r="C505" s="12">
        <v>15</v>
      </c>
      <c r="D505" s="2" t="s">
        <v>6</v>
      </c>
      <c r="E505" s="2" t="s">
        <v>7</v>
      </c>
      <c r="F505" s="1">
        <v>248</v>
      </c>
      <c r="G505" s="13">
        <v>579.76321574894257</v>
      </c>
      <c r="H505" s="14" t="b">
        <v>0</v>
      </c>
      <c r="I505" s="15">
        <f t="shared" si="28"/>
        <v>633</v>
      </c>
      <c r="J505" s="15">
        <f t="shared" si="28"/>
        <v>15</v>
      </c>
      <c r="K505" s="15">
        <f t="shared" si="29"/>
        <v>580</v>
      </c>
      <c r="L505" s="3" t="str">
        <f t="shared" si="30"/>
        <v>Thursday</v>
      </c>
      <c r="M505" s="4" t="str">
        <f t="shared" si="31"/>
        <v>Normal Day</v>
      </c>
      <c r="N505" s="4" t="str">
        <f>TEXT(CleanedData[[#This Row],[DAY]], "mmm yyyy")</f>
        <v>Apr 2024</v>
      </c>
    </row>
    <row r="506" spans="1:14" x14ac:dyDescent="0.3">
      <c r="A506" s="5">
        <v>45400</v>
      </c>
      <c r="B506" s="12">
        <v>1302</v>
      </c>
      <c r="C506" s="12">
        <v>39</v>
      </c>
      <c r="D506" s="2" t="s">
        <v>9</v>
      </c>
      <c r="E506" s="2" t="s">
        <v>8</v>
      </c>
      <c r="F506" s="1">
        <v>431</v>
      </c>
      <c r="G506" s="13">
        <v>1093.6443229025092</v>
      </c>
      <c r="H506" s="14" t="b">
        <v>0</v>
      </c>
      <c r="I506" s="15">
        <f t="shared" si="28"/>
        <v>1302</v>
      </c>
      <c r="J506" s="15">
        <f t="shared" si="28"/>
        <v>39</v>
      </c>
      <c r="K506" s="15">
        <f t="shared" si="29"/>
        <v>1094</v>
      </c>
      <c r="L506" s="3" t="str">
        <f t="shared" si="30"/>
        <v>Thursday</v>
      </c>
      <c r="M506" s="4" t="str">
        <f t="shared" si="31"/>
        <v>Normal Day</v>
      </c>
      <c r="N506" s="4" t="str">
        <f>TEXT(CleanedData[[#This Row],[DAY]], "mmm yyyy")</f>
        <v>Apr 2024</v>
      </c>
    </row>
    <row r="507" spans="1:14" x14ac:dyDescent="0.3">
      <c r="A507" s="5">
        <v>45400</v>
      </c>
      <c r="B507" s="12">
        <v>5398.5</v>
      </c>
      <c r="C507" s="12">
        <v>355.5</v>
      </c>
      <c r="D507" s="2" t="s">
        <v>10</v>
      </c>
      <c r="E507" s="2" t="s">
        <v>7</v>
      </c>
      <c r="F507" s="1">
        <v>3499</v>
      </c>
      <c r="G507" s="13">
        <v>5227.2728433207749</v>
      </c>
      <c r="H507" s="14" t="b">
        <v>0</v>
      </c>
      <c r="I507" s="15">
        <f t="shared" si="28"/>
        <v>5399</v>
      </c>
      <c r="J507" s="15">
        <f t="shared" si="28"/>
        <v>356</v>
      </c>
      <c r="K507" s="15">
        <f t="shared" si="29"/>
        <v>5227</v>
      </c>
      <c r="L507" s="3" t="str">
        <f t="shared" si="30"/>
        <v>Thursday</v>
      </c>
      <c r="M507" s="4" t="str">
        <f t="shared" si="31"/>
        <v>Normal Day</v>
      </c>
      <c r="N507" s="4" t="str">
        <f>TEXT(CleanedData[[#This Row],[DAY]], "mmm yyyy")</f>
        <v>Apr 2024</v>
      </c>
    </row>
    <row r="508" spans="1:14" x14ac:dyDescent="0.3">
      <c r="A508" s="5">
        <v>45401</v>
      </c>
      <c r="B508" s="12">
        <v>1.5</v>
      </c>
      <c r="C508" s="12">
        <v>0</v>
      </c>
      <c r="D508" s="2" t="s">
        <v>9</v>
      </c>
      <c r="E508" s="2" t="s">
        <v>7</v>
      </c>
      <c r="F508" s="1">
        <v>1</v>
      </c>
      <c r="G508" s="13">
        <v>1.3184516743813335</v>
      </c>
      <c r="H508" s="14" t="b">
        <v>0</v>
      </c>
      <c r="I508" s="15">
        <f t="shared" si="28"/>
        <v>2</v>
      </c>
      <c r="J508" s="15">
        <f t="shared" si="28"/>
        <v>0</v>
      </c>
      <c r="K508" s="15">
        <f t="shared" si="29"/>
        <v>1</v>
      </c>
      <c r="L508" s="3" t="str">
        <f t="shared" si="30"/>
        <v>Friday</v>
      </c>
      <c r="M508" s="4" t="str">
        <f t="shared" si="31"/>
        <v>Normal Day</v>
      </c>
      <c r="N508" s="4" t="str">
        <f>TEXT(CleanedData[[#This Row],[DAY]], "mmm yyyy")</f>
        <v>Apr 2024</v>
      </c>
    </row>
    <row r="509" spans="1:14" x14ac:dyDescent="0.3">
      <c r="A509" s="5">
        <v>45401</v>
      </c>
      <c r="B509" s="12">
        <v>438</v>
      </c>
      <c r="C509" s="12">
        <v>33</v>
      </c>
      <c r="D509" s="2" t="s">
        <v>6</v>
      </c>
      <c r="E509" s="2" t="s">
        <v>8</v>
      </c>
      <c r="F509" s="1">
        <v>258</v>
      </c>
      <c r="G509" s="13">
        <v>404.31505163762557</v>
      </c>
      <c r="H509" s="14" t="b">
        <v>0</v>
      </c>
      <c r="I509" s="15">
        <f t="shared" si="28"/>
        <v>438</v>
      </c>
      <c r="J509" s="15">
        <f t="shared" si="28"/>
        <v>33</v>
      </c>
      <c r="K509" s="15">
        <f t="shared" si="29"/>
        <v>404</v>
      </c>
      <c r="L509" s="3" t="str">
        <f t="shared" si="30"/>
        <v>Friday</v>
      </c>
      <c r="M509" s="4" t="str">
        <f t="shared" si="31"/>
        <v>Normal Day</v>
      </c>
      <c r="N509" s="4" t="str">
        <f>TEXT(CleanedData[[#This Row],[DAY]], "mmm yyyy")</f>
        <v>Apr 2024</v>
      </c>
    </row>
    <row r="510" spans="1:14" x14ac:dyDescent="0.3">
      <c r="A510" s="5">
        <v>45401</v>
      </c>
      <c r="B510" s="12">
        <v>1324.5</v>
      </c>
      <c r="C510" s="12">
        <v>33</v>
      </c>
      <c r="D510" s="2" t="s">
        <v>6</v>
      </c>
      <c r="E510" s="2" t="s">
        <v>7</v>
      </c>
      <c r="F510" s="1">
        <v>247</v>
      </c>
      <c r="G510" s="13">
        <v>1275.3433795243948</v>
      </c>
      <c r="H510" s="14" t="b">
        <v>0</v>
      </c>
      <c r="I510" s="15">
        <f t="shared" si="28"/>
        <v>1325</v>
      </c>
      <c r="J510" s="15">
        <f t="shared" si="28"/>
        <v>33</v>
      </c>
      <c r="K510" s="15">
        <f t="shared" si="29"/>
        <v>1275</v>
      </c>
      <c r="L510" s="3" t="str">
        <f t="shared" si="30"/>
        <v>Friday</v>
      </c>
      <c r="M510" s="4" t="str">
        <f t="shared" si="31"/>
        <v>Normal Day</v>
      </c>
      <c r="N510" s="4" t="str">
        <f>TEXT(CleanedData[[#This Row],[DAY]], "mmm yyyy")</f>
        <v>Apr 2024</v>
      </c>
    </row>
    <row r="511" spans="1:14" x14ac:dyDescent="0.3">
      <c r="A511" s="5">
        <v>45401</v>
      </c>
      <c r="B511" s="12">
        <v>1581</v>
      </c>
      <c r="C511" s="12">
        <v>27</v>
      </c>
      <c r="D511" s="2" t="s">
        <v>9</v>
      </c>
      <c r="E511" s="2" t="s">
        <v>8</v>
      </c>
      <c r="F511" s="1">
        <v>678</v>
      </c>
      <c r="G511" s="13">
        <v>1332.0034816430314</v>
      </c>
      <c r="H511" s="14" t="b">
        <v>0</v>
      </c>
      <c r="I511" s="15">
        <f t="shared" si="28"/>
        <v>1581</v>
      </c>
      <c r="J511" s="15">
        <f t="shared" si="28"/>
        <v>27</v>
      </c>
      <c r="K511" s="15">
        <f t="shared" si="29"/>
        <v>1332</v>
      </c>
      <c r="L511" s="3" t="str">
        <f t="shared" si="30"/>
        <v>Friday</v>
      </c>
      <c r="M511" s="4" t="str">
        <f t="shared" si="31"/>
        <v>Normal Day</v>
      </c>
      <c r="N511" s="4" t="str">
        <f>TEXT(CleanedData[[#This Row],[DAY]], "mmm yyyy")</f>
        <v>Apr 2024</v>
      </c>
    </row>
    <row r="512" spans="1:14" x14ac:dyDescent="0.3">
      <c r="A512" s="5">
        <v>45401</v>
      </c>
      <c r="B512" s="12">
        <v>4585.5</v>
      </c>
      <c r="C512" s="12">
        <v>246</v>
      </c>
      <c r="D512" s="2" t="s">
        <v>10</v>
      </c>
      <c r="E512" s="2" t="s">
        <v>7</v>
      </c>
      <c r="F512" s="1">
        <v>2490</v>
      </c>
      <c r="G512" s="13">
        <v>4350.5607138636924</v>
      </c>
      <c r="H512" s="14" t="b">
        <v>0</v>
      </c>
      <c r="I512" s="15">
        <f t="shared" si="28"/>
        <v>4586</v>
      </c>
      <c r="J512" s="15">
        <f t="shared" si="28"/>
        <v>246</v>
      </c>
      <c r="K512" s="15">
        <f t="shared" si="29"/>
        <v>4351</v>
      </c>
      <c r="L512" s="3" t="str">
        <f t="shared" si="30"/>
        <v>Friday</v>
      </c>
      <c r="M512" s="4" t="str">
        <f t="shared" si="31"/>
        <v>Normal Day</v>
      </c>
      <c r="N512" s="4" t="str">
        <f>TEXT(CleanedData[[#This Row],[DAY]], "mmm yyyy")</f>
        <v>Apr 2024</v>
      </c>
    </row>
    <row r="513" spans="1:14" x14ac:dyDescent="0.3">
      <c r="A513" s="5">
        <v>45402</v>
      </c>
      <c r="B513" s="12">
        <v>474</v>
      </c>
      <c r="C513" s="12">
        <v>42</v>
      </c>
      <c r="D513" s="2" t="s">
        <v>6</v>
      </c>
      <c r="E513" s="2" t="s">
        <v>8</v>
      </c>
      <c r="F513" s="1">
        <v>300</v>
      </c>
      <c r="G513" s="13">
        <v>428.89766418888905</v>
      </c>
      <c r="H513" s="14" t="b">
        <v>0</v>
      </c>
      <c r="I513" s="15">
        <f t="shared" si="28"/>
        <v>474</v>
      </c>
      <c r="J513" s="15">
        <f t="shared" si="28"/>
        <v>42</v>
      </c>
      <c r="K513" s="15">
        <f t="shared" si="29"/>
        <v>429</v>
      </c>
      <c r="L513" s="3" t="str">
        <f t="shared" si="30"/>
        <v>Saturday</v>
      </c>
      <c r="M513" s="4" t="str">
        <f t="shared" si="31"/>
        <v>Normal Day</v>
      </c>
      <c r="N513" s="4" t="str">
        <f>TEXT(CleanedData[[#This Row],[DAY]], "mmm yyyy")</f>
        <v>Apr 2024</v>
      </c>
    </row>
    <row r="514" spans="1:14" x14ac:dyDescent="0.3">
      <c r="A514" s="5">
        <v>45402</v>
      </c>
      <c r="B514" s="12">
        <v>694.5</v>
      </c>
      <c r="C514" s="12">
        <v>42</v>
      </c>
      <c r="D514" s="2" t="s">
        <v>6</v>
      </c>
      <c r="E514" s="2" t="s">
        <v>7</v>
      </c>
      <c r="F514" s="1">
        <v>129</v>
      </c>
      <c r="G514" s="13">
        <v>655.6452193799671</v>
      </c>
      <c r="H514" s="14" t="b">
        <v>0</v>
      </c>
      <c r="I514" s="15">
        <f t="shared" ref="I514:J577" si="32">ROUND(B514, 0)</f>
        <v>695</v>
      </c>
      <c r="J514" s="15">
        <f t="shared" si="32"/>
        <v>42</v>
      </c>
      <c r="K514" s="15">
        <f t="shared" ref="K514:K577" si="33">ROUND(G514, 0)</f>
        <v>656</v>
      </c>
      <c r="L514" s="3" t="str">
        <f t="shared" si="30"/>
        <v>Saturday</v>
      </c>
      <c r="M514" s="4" t="str">
        <f t="shared" si="31"/>
        <v>Normal Day</v>
      </c>
      <c r="N514" s="4" t="str">
        <f>TEXT(CleanedData[[#This Row],[DAY]], "mmm yyyy")</f>
        <v>Apr 2024</v>
      </c>
    </row>
    <row r="515" spans="1:14" x14ac:dyDescent="0.3">
      <c r="A515" s="5">
        <v>45402</v>
      </c>
      <c r="B515" s="12">
        <v>2233.5</v>
      </c>
      <c r="C515" s="12">
        <v>69</v>
      </c>
      <c r="D515" s="2" t="s">
        <v>9</v>
      </c>
      <c r="E515" s="2" t="s">
        <v>8</v>
      </c>
      <c r="F515" s="1">
        <v>582</v>
      </c>
      <c r="G515" s="13">
        <v>2015.3594401654818</v>
      </c>
      <c r="H515" s="14" t="b">
        <v>0</v>
      </c>
      <c r="I515" s="15">
        <f t="shared" si="32"/>
        <v>2234</v>
      </c>
      <c r="J515" s="15">
        <f t="shared" si="32"/>
        <v>69</v>
      </c>
      <c r="K515" s="15">
        <f t="shared" si="33"/>
        <v>2015</v>
      </c>
      <c r="L515" s="3" t="str">
        <f t="shared" ref="L515:L578" si="34">TEXT(A515,"dddd")</f>
        <v>Saturday</v>
      </c>
      <c r="M515" s="4" t="str">
        <f t="shared" ref="M515:M578" si="35">IF(H515=TRUE, "Outage Day", "Normal Day")</f>
        <v>Normal Day</v>
      </c>
      <c r="N515" s="4" t="str">
        <f>TEXT(CleanedData[[#This Row],[DAY]], "mmm yyyy")</f>
        <v>Apr 2024</v>
      </c>
    </row>
    <row r="516" spans="1:14" x14ac:dyDescent="0.3">
      <c r="A516" s="5">
        <v>45402</v>
      </c>
      <c r="B516" s="12">
        <v>6210</v>
      </c>
      <c r="C516" s="12">
        <v>337.5</v>
      </c>
      <c r="D516" s="2" t="s">
        <v>10</v>
      </c>
      <c r="E516" s="2" t="s">
        <v>7</v>
      </c>
      <c r="F516" s="1">
        <v>3169</v>
      </c>
      <c r="G516" s="13">
        <v>6085.6851731146116</v>
      </c>
      <c r="H516" s="14" t="b">
        <v>0</v>
      </c>
      <c r="I516" s="15">
        <f t="shared" si="32"/>
        <v>6210</v>
      </c>
      <c r="J516" s="15">
        <f t="shared" si="32"/>
        <v>338</v>
      </c>
      <c r="K516" s="15">
        <f t="shared" si="33"/>
        <v>6086</v>
      </c>
      <c r="L516" s="3" t="str">
        <f t="shared" si="34"/>
        <v>Saturday</v>
      </c>
      <c r="M516" s="4" t="str">
        <f t="shared" si="35"/>
        <v>Normal Day</v>
      </c>
      <c r="N516" s="4" t="str">
        <f>TEXT(CleanedData[[#This Row],[DAY]], "mmm yyyy")</f>
        <v>Apr 2024</v>
      </c>
    </row>
    <row r="517" spans="1:14" x14ac:dyDescent="0.3">
      <c r="A517" s="5">
        <v>45403</v>
      </c>
      <c r="B517" s="12">
        <v>400.5</v>
      </c>
      <c r="C517" s="12">
        <v>22.5</v>
      </c>
      <c r="D517" s="2" t="s">
        <v>6</v>
      </c>
      <c r="E517" s="2" t="s">
        <v>7</v>
      </c>
      <c r="F517" s="1">
        <v>219</v>
      </c>
      <c r="G517" s="13">
        <v>395.5615733523743</v>
      </c>
      <c r="H517" s="14" t="b">
        <v>0</v>
      </c>
      <c r="I517" s="15">
        <f t="shared" si="32"/>
        <v>401</v>
      </c>
      <c r="J517" s="15">
        <f t="shared" si="32"/>
        <v>23</v>
      </c>
      <c r="K517" s="15">
        <f t="shared" si="33"/>
        <v>396</v>
      </c>
      <c r="L517" s="3" t="str">
        <f t="shared" si="34"/>
        <v>Sunday</v>
      </c>
      <c r="M517" s="4" t="str">
        <f t="shared" si="35"/>
        <v>Normal Day</v>
      </c>
      <c r="N517" s="4" t="str">
        <f>TEXT(CleanedData[[#This Row],[DAY]], "mmm yyyy")</f>
        <v>Apr 2024</v>
      </c>
    </row>
    <row r="518" spans="1:14" x14ac:dyDescent="0.3">
      <c r="A518" s="5">
        <v>45403</v>
      </c>
      <c r="B518" s="12">
        <v>523.5</v>
      </c>
      <c r="C518" s="12">
        <v>22.5</v>
      </c>
      <c r="D518" s="2" t="s">
        <v>6</v>
      </c>
      <c r="E518" s="2" t="s">
        <v>8</v>
      </c>
      <c r="F518" s="1">
        <v>337</v>
      </c>
      <c r="G518" s="13">
        <v>458.1967485927064</v>
      </c>
      <c r="H518" s="14" t="b">
        <v>0</v>
      </c>
      <c r="I518" s="15">
        <f t="shared" si="32"/>
        <v>524</v>
      </c>
      <c r="J518" s="15">
        <f t="shared" si="32"/>
        <v>23</v>
      </c>
      <c r="K518" s="15">
        <f t="shared" si="33"/>
        <v>458</v>
      </c>
      <c r="L518" s="3" t="str">
        <f t="shared" si="34"/>
        <v>Sunday</v>
      </c>
      <c r="M518" s="4" t="str">
        <f t="shared" si="35"/>
        <v>Normal Day</v>
      </c>
      <c r="N518" s="4" t="str">
        <f>TEXT(CleanedData[[#This Row],[DAY]], "mmm yyyy")</f>
        <v>Apr 2024</v>
      </c>
    </row>
    <row r="519" spans="1:14" x14ac:dyDescent="0.3">
      <c r="A519" s="5">
        <v>45403</v>
      </c>
      <c r="B519" s="12">
        <v>2088</v>
      </c>
      <c r="C519" s="12">
        <v>18</v>
      </c>
      <c r="D519" s="2" t="s">
        <v>9</v>
      </c>
      <c r="E519" s="2" t="s">
        <v>8</v>
      </c>
      <c r="F519" s="1">
        <v>1246</v>
      </c>
      <c r="G519" s="13">
        <v>1703.0912411587797</v>
      </c>
      <c r="H519" s="14" t="b">
        <v>0</v>
      </c>
      <c r="I519" s="15">
        <f t="shared" si="32"/>
        <v>2088</v>
      </c>
      <c r="J519" s="15">
        <f t="shared" si="32"/>
        <v>18</v>
      </c>
      <c r="K519" s="15">
        <f t="shared" si="33"/>
        <v>1703</v>
      </c>
      <c r="L519" s="3" t="str">
        <f t="shared" si="34"/>
        <v>Sunday</v>
      </c>
      <c r="M519" s="4" t="str">
        <f t="shared" si="35"/>
        <v>Normal Day</v>
      </c>
      <c r="N519" s="4" t="str">
        <f>TEXT(CleanedData[[#This Row],[DAY]], "mmm yyyy")</f>
        <v>Apr 2024</v>
      </c>
    </row>
    <row r="520" spans="1:14" x14ac:dyDescent="0.3">
      <c r="A520" s="5">
        <v>45403</v>
      </c>
      <c r="B520" s="12">
        <v>6100.5</v>
      </c>
      <c r="C520" s="12">
        <v>105</v>
      </c>
      <c r="D520" s="2" t="s">
        <v>10</v>
      </c>
      <c r="E520" s="2" t="s">
        <v>7</v>
      </c>
      <c r="F520" s="1">
        <v>3953</v>
      </c>
      <c r="G520" s="13">
        <v>5431.1292626577224</v>
      </c>
      <c r="H520" s="14" t="b">
        <v>0</v>
      </c>
      <c r="I520" s="15">
        <f t="shared" si="32"/>
        <v>6101</v>
      </c>
      <c r="J520" s="15">
        <f t="shared" si="32"/>
        <v>105</v>
      </c>
      <c r="K520" s="15">
        <f t="shared" si="33"/>
        <v>5431</v>
      </c>
      <c r="L520" s="3" t="str">
        <f t="shared" si="34"/>
        <v>Sunday</v>
      </c>
      <c r="M520" s="4" t="str">
        <f t="shared" si="35"/>
        <v>Normal Day</v>
      </c>
      <c r="N520" s="4" t="str">
        <f>TEXT(CleanedData[[#This Row],[DAY]], "mmm yyyy")</f>
        <v>Apr 2024</v>
      </c>
    </row>
    <row r="521" spans="1:14" x14ac:dyDescent="0.3">
      <c r="A521" s="5">
        <v>45404</v>
      </c>
      <c r="B521" s="12">
        <v>129</v>
      </c>
      <c r="C521" s="12">
        <v>33</v>
      </c>
      <c r="D521" s="2" t="s">
        <v>6</v>
      </c>
      <c r="E521" s="2" t="s">
        <v>8</v>
      </c>
      <c r="F521" s="1">
        <v>76</v>
      </c>
      <c r="G521" s="13">
        <v>133.12572840096234</v>
      </c>
      <c r="H521" s="14" t="b">
        <v>0</v>
      </c>
      <c r="I521" s="15">
        <f t="shared" si="32"/>
        <v>129</v>
      </c>
      <c r="J521" s="15">
        <f t="shared" si="32"/>
        <v>33</v>
      </c>
      <c r="K521" s="15">
        <f t="shared" si="33"/>
        <v>133</v>
      </c>
      <c r="L521" s="3" t="str">
        <f t="shared" si="34"/>
        <v>Monday</v>
      </c>
      <c r="M521" s="4" t="str">
        <f t="shared" si="35"/>
        <v>Normal Day</v>
      </c>
      <c r="N521" s="4" t="str">
        <f>TEXT(CleanedData[[#This Row],[DAY]], "mmm yyyy")</f>
        <v>Apr 2024</v>
      </c>
    </row>
    <row r="522" spans="1:14" x14ac:dyDescent="0.3">
      <c r="A522" s="5">
        <v>45404</v>
      </c>
      <c r="B522" s="12">
        <v>544.5</v>
      </c>
      <c r="C522" s="12">
        <v>33</v>
      </c>
      <c r="D522" s="2" t="s">
        <v>6</v>
      </c>
      <c r="E522" s="2" t="s">
        <v>7</v>
      </c>
      <c r="F522" s="1">
        <v>17</v>
      </c>
      <c r="G522" s="13">
        <v>529.99860747275045</v>
      </c>
      <c r="H522" s="14" t="b">
        <v>0</v>
      </c>
      <c r="I522" s="15">
        <f t="shared" si="32"/>
        <v>545</v>
      </c>
      <c r="J522" s="15">
        <f t="shared" si="32"/>
        <v>33</v>
      </c>
      <c r="K522" s="15">
        <f t="shared" si="33"/>
        <v>530</v>
      </c>
      <c r="L522" s="3" t="str">
        <f t="shared" si="34"/>
        <v>Monday</v>
      </c>
      <c r="M522" s="4" t="str">
        <f t="shared" si="35"/>
        <v>Normal Day</v>
      </c>
      <c r="N522" s="4" t="str">
        <f>TEXT(CleanedData[[#This Row],[DAY]], "mmm yyyy")</f>
        <v>Apr 2024</v>
      </c>
    </row>
    <row r="523" spans="1:14" x14ac:dyDescent="0.3">
      <c r="A523" s="5">
        <v>45404</v>
      </c>
      <c r="B523" s="12">
        <v>2884.5</v>
      </c>
      <c r="C523" s="12">
        <v>141</v>
      </c>
      <c r="D523" s="2" t="s">
        <v>9</v>
      </c>
      <c r="E523" s="2" t="s">
        <v>8</v>
      </c>
      <c r="F523" s="1">
        <v>1117</v>
      </c>
      <c r="G523" s="13">
        <v>2653.8051084613535</v>
      </c>
      <c r="H523" s="14" t="b">
        <v>0</v>
      </c>
      <c r="I523" s="15">
        <f t="shared" si="32"/>
        <v>2885</v>
      </c>
      <c r="J523" s="15">
        <f t="shared" si="32"/>
        <v>141</v>
      </c>
      <c r="K523" s="15">
        <f t="shared" si="33"/>
        <v>2654</v>
      </c>
      <c r="L523" s="3" t="str">
        <f t="shared" si="34"/>
        <v>Monday</v>
      </c>
      <c r="M523" s="4" t="str">
        <f t="shared" si="35"/>
        <v>Normal Day</v>
      </c>
      <c r="N523" s="4" t="str">
        <f>TEXT(CleanedData[[#This Row],[DAY]], "mmm yyyy")</f>
        <v>Apr 2024</v>
      </c>
    </row>
    <row r="524" spans="1:14" x14ac:dyDescent="0.3">
      <c r="A524" s="5">
        <v>45404</v>
      </c>
      <c r="B524" s="12">
        <v>5361</v>
      </c>
      <c r="C524" s="12">
        <v>165</v>
      </c>
      <c r="D524" s="2" t="s">
        <v>10</v>
      </c>
      <c r="E524" s="2" t="s">
        <v>7</v>
      </c>
      <c r="F524" s="1">
        <v>74</v>
      </c>
      <c r="G524" s="13">
        <v>5059.2489267206911</v>
      </c>
      <c r="H524" s="14" t="b">
        <v>0</v>
      </c>
      <c r="I524" s="15">
        <f t="shared" si="32"/>
        <v>5361</v>
      </c>
      <c r="J524" s="15">
        <f t="shared" si="32"/>
        <v>165</v>
      </c>
      <c r="K524" s="15">
        <f t="shared" si="33"/>
        <v>5059</v>
      </c>
      <c r="L524" s="3" t="str">
        <f t="shared" si="34"/>
        <v>Monday</v>
      </c>
      <c r="M524" s="4" t="str">
        <f t="shared" si="35"/>
        <v>Normal Day</v>
      </c>
      <c r="N524" s="4" t="str">
        <f>TEXT(CleanedData[[#This Row],[DAY]], "mmm yyyy")</f>
        <v>Apr 2024</v>
      </c>
    </row>
    <row r="525" spans="1:14" x14ac:dyDescent="0.3">
      <c r="A525" s="5">
        <v>45405</v>
      </c>
      <c r="B525" s="12">
        <v>183</v>
      </c>
      <c r="C525" s="12">
        <v>12</v>
      </c>
      <c r="D525" s="2" t="s">
        <v>6</v>
      </c>
      <c r="E525" s="2" t="s">
        <v>8</v>
      </c>
      <c r="F525" s="1">
        <v>7</v>
      </c>
      <c r="G525" s="13">
        <v>159.01224297769201</v>
      </c>
      <c r="H525" s="14" t="b">
        <v>0</v>
      </c>
      <c r="I525" s="15">
        <f t="shared" si="32"/>
        <v>183</v>
      </c>
      <c r="J525" s="15">
        <f t="shared" si="32"/>
        <v>12</v>
      </c>
      <c r="K525" s="15">
        <f t="shared" si="33"/>
        <v>159</v>
      </c>
      <c r="L525" s="3" t="str">
        <f t="shared" si="34"/>
        <v>Tuesday</v>
      </c>
      <c r="M525" s="4" t="str">
        <f t="shared" si="35"/>
        <v>Normal Day</v>
      </c>
      <c r="N525" s="4" t="str">
        <f>TEXT(CleanedData[[#This Row],[DAY]], "mmm yyyy")</f>
        <v>Apr 2024</v>
      </c>
    </row>
    <row r="526" spans="1:14" x14ac:dyDescent="0.3">
      <c r="A526" s="5">
        <v>45405</v>
      </c>
      <c r="B526" s="12">
        <v>306</v>
      </c>
      <c r="C526" s="12">
        <v>12</v>
      </c>
      <c r="D526" s="2" t="s">
        <v>6</v>
      </c>
      <c r="E526" s="2" t="s">
        <v>7</v>
      </c>
      <c r="F526" s="1">
        <v>104</v>
      </c>
      <c r="G526" s="13">
        <v>277.60997943099972</v>
      </c>
      <c r="H526" s="14" t="b">
        <v>0</v>
      </c>
      <c r="I526" s="15">
        <f t="shared" si="32"/>
        <v>306</v>
      </c>
      <c r="J526" s="15">
        <f t="shared" si="32"/>
        <v>12</v>
      </c>
      <c r="K526" s="15">
        <f t="shared" si="33"/>
        <v>278</v>
      </c>
      <c r="L526" s="3" t="str">
        <f t="shared" si="34"/>
        <v>Tuesday</v>
      </c>
      <c r="M526" s="4" t="str">
        <f t="shared" si="35"/>
        <v>Normal Day</v>
      </c>
      <c r="N526" s="4" t="str">
        <f>TEXT(CleanedData[[#This Row],[DAY]], "mmm yyyy")</f>
        <v>Apr 2024</v>
      </c>
    </row>
    <row r="527" spans="1:14" x14ac:dyDescent="0.3">
      <c r="A527" s="5">
        <v>45405</v>
      </c>
      <c r="B527" s="12">
        <v>1374</v>
      </c>
      <c r="C527" s="12">
        <v>36</v>
      </c>
      <c r="D527" s="2" t="s">
        <v>9</v>
      </c>
      <c r="E527" s="2" t="s">
        <v>8</v>
      </c>
      <c r="F527" s="1">
        <v>890</v>
      </c>
      <c r="G527" s="13">
        <v>1192.4826445082858</v>
      </c>
      <c r="H527" s="14" t="b">
        <v>0</v>
      </c>
      <c r="I527" s="15">
        <f t="shared" si="32"/>
        <v>1374</v>
      </c>
      <c r="J527" s="15">
        <f t="shared" si="32"/>
        <v>36</v>
      </c>
      <c r="K527" s="15">
        <f t="shared" si="33"/>
        <v>1192</v>
      </c>
      <c r="L527" s="3" t="str">
        <f t="shared" si="34"/>
        <v>Tuesday</v>
      </c>
      <c r="M527" s="4" t="str">
        <f t="shared" si="35"/>
        <v>Normal Day</v>
      </c>
      <c r="N527" s="4" t="str">
        <f>TEXT(CleanedData[[#This Row],[DAY]], "mmm yyyy")</f>
        <v>Apr 2024</v>
      </c>
    </row>
    <row r="528" spans="1:14" x14ac:dyDescent="0.3">
      <c r="A528" s="5">
        <v>45405</v>
      </c>
      <c r="B528" s="12">
        <v>6090</v>
      </c>
      <c r="C528" s="12">
        <v>202.5</v>
      </c>
      <c r="D528" s="2" t="s">
        <v>10</v>
      </c>
      <c r="E528" s="2" t="s">
        <v>7</v>
      </c>
      <c r="F528" s="1">
        <v>2495</v>
      </c>
      <c r="G528" s="13">
        <v>5845.2931778017382</v>
      </c>
      <c r="H528" s="14" t="b">
        <v>0</v>
      </c>
      <c r="I528" s="15">
        <f t="shared" si="32"/>
        <v>6090</v>
      </c>
      <c r="J528" s="15">
        <f t="shared" si="32"/>
        <v>203</v>
      </c>
      <c r="K528" s="15">
        <f t="shared" si="33"/>
        <v>5845</v>
      </c>
      <c r="L528" s="3" t="str">
        <f t="shared" si="34"/>
        <v>Tuesday</v>
      </c>
      <c r="M528" s="4" t="str">
        <f t="shared" si="35"/>
        <v>Normal Day</v>
      </c>
      <c r="N528" s="4" t="str">
        <f>TEXT(CleanedData[[#This Row],[DAY]], "mmm yyyy")</f>
        <v>Apr 2024</v>
      </c>
    </row>
    <row r="529" spans="1:14" x14ac:dyDescent="0.3">
      <c r="A529" s="5">
        <v>45406</v>
      </c>
      <c r="B529" s="12">
        <v>121.5</v>
      </c>
      <c r="C529" s="12">
        <v>40.5</v>
      </c>
      <c r="D529" s="2" t="s">
        <v>6</v>
      </c>
      <c r="E529" s="2" t="s">
        <v>8</v>
      </c>
      <c r="F529" s="1">
        <v>32</v>
      </c>
      <c r="G529" s="13">
        <v>142.86789574028134</v>
      </c>
      <c r="H529" s="14" t="b">
        <v>0</v>
      </c>
      <c r="I529" s="15">
        <f t="shared" si="32"/>
        <v>122</v>
      </c>
      <c r="J529" s="15">
        <f t="shared" si="32"/>
        <v>41</v>
      </c>
      <c r="K529" s="15">
        <f t="shared" si="33"/>
        <v>143</v>
      </c>
      <c r="L529" s="3" t="str">
        <f t="shared" si="34"/>
        <v>Wednesday</v>
      </c>
      <c r="M529" s="4" t="str">
        <f t="shared" si="35"/>
        <v>Normal Day</v>
      </c>
      <c r="N529" s="4" t="str">
        <f>TEXT(CleanedData[[#This Row],[DAY]], "mmm yyyy")</f>
        <v>Apr 2024</v>
      </c>
    </row>
    <row r="530" spans="1:14" x14ac:dyDescent="0.3">
      <c r="A530" s="5">
        <v>45406</v>
      </c>
      <c r="B530" s="12">
        <v>1483.5</v>
      </c>
      <c r="C530" s="12">
        <v>40.5</v>
      </c>
      <c r="D530" s="2" t="s">
        <v>6</v>
      </c>
      <c r="E530" s="2" t="s">
        <v>7</v>
      </c>
      <c r="F530" s="1">
        <v>978</v>
      </c>
      <c r="G530" s="13">
        <v>1393.4810107746625</v>
      </c>
      <c r="H530" s="14" t="b">
        <v>0</v>
      </c>
      <c r="I530" s="15">
        <f t="shared" si="32"/>
        <v>1484</v>
      </c>
      <c r="J530" s="15">
        <f t="shared" si="32"/>
        <v>41</v>
      </c>
      <c r="K530" s="15">
        <f t="shared" si="33"/>
        <v>1393</v>
      </c>
      <c r="L530" s="3" t="str">
        <f t="shared" si="34"/>
        <v>Wednesday</v>
      </c>
      <c r="M530" s="4" t="str">
        <f t="shared" si="35"/>
        <v>Normal Day</v>
      </c>
      <c r="N530" s="4" t="str">
        <f>TEXT(CleanedData[[#This Row],[DAY]], "mmm yyyy")</f>
        <v>Apr 2024</v>
      </c>
    </row>
    <row r="531" spans="1:14" x14ac:dyDescent="0.3">
      <c r="A531" s="5">
        <v>45406</v>
      </c>
      <c r="B531" s="12">
        <v>2091</v>
      </c>
      <c r="C531" s="12">
        <v>84</v>
      </c>
      <c r="D531" s="2" t="s">
        <v>9</v>
      </c>
      <c r="E531" s="2" t="s">
        <v>8</v>
      </c>
      <c r="F531" s="1">
        <v>1299</v>
      </c>
      <c r="G531" s="13">
        <v>1779.4946513636837</v>
      </c>
      <c r="H531" s="14" t="b">
        <v>0</v>
      </c>
      <c r="I531" s="15">
        <f t="shared" si="32"/>
        <v>2091</v>
      </c>
      <c r="J531" s="15">
        <f t="shared" si="32"/>
        <v>84</v>
      </c>
      <c r="K531" s="15">
        <f t="shared" si="33"/>
        <v>1779</v>
      </c>
      <c r="L531" s="3" t="str">
        <f t="shared" si="34"/>
        <v>Wednesday</v>
      </c>
      <c r="M531" s="4" t="str">
        <f t="shared" si="35"/>
        <v>Normal Day</v>
      </c>
      <c r="N531" s="4" t="str">
        <f>TEXT(CleanedData[[#This Row],[DAY]], "mmm yyyy")</f>
        <v>Apr 2024</v>
      </c>
    </row>
    <row r="532" spans="1:14" x14ac:dyDescent="0.3">
      <c r="A532" s="5">
        <v>45406</v>
      </c>
      <c r="B532" s="12">
        <v>4659</v>
      </c>
      <c r="C532" s="12">
        <v>127.5</v>
      </c>
      <c r="D532" s="2" t="s">
        <v>10</v>
      </c>
      <c r="E532" s="2" t="s">
        <v>7</v>
      </c>
      <c r="F532" s="1">
        <v>3090</v>
      </c>
      <c r="G532" s="13">
        <v>4425.3843781242613</v>
      </c>
      <c r="H532" s="14" t="b">
        <v>0</v>
      </c>
      <c r="I532" s="15">
        <f t="shared" si="32"/>
        <v>4659</v>
      </c>
      <c r="J532" s="15">
        <f t="shared" si="32"/>
        <v>128</v>
      </c>
      <c r="K532" s="15">
        <f t="shared" si="33"/>
        <v>4425</v>
      </c>
      <c r="L532" s="3" t="str">
        <f t="shared" si="34"/>
        <v>Wednesday</v>
      </c>
      <c r="M532" s="4" t="str">
        <f t="shared" si="35"/>
        <v>Normal Day</v>
      </c>
      <c r="N532" s="4" t="str">
        <f>TEXT(CleanedData[[#This Row],[DAY]], "mmm yyyy")</f>
        <v>Apr 2024</v>
      </c>
    </row>
    <row r="533" spans="1:14" x14ac:dyDescent="0.3">
      <c r="A533" s="5">
        <v>45407</v>
      </c>
      <c r="B533" s="12">
        <v>4.5</v>
      </c>
      <c r="C533" s="12">
        <v>1.5</v>
      </c>
      <c r="D533" s="2" t="s">
        <v>10</v>
      </c>
      <c r="E533" s="2" t="s">
        <v>8</v>
      </c>
      <c r="F533" s="1">
        <v>3</v>
      </c>
      <c r="G533" s="13">
        <v>5.0661662046909779</v>
      </c>
      <c r="H533" s="14" t="b">
        <v>0</v>
      </c>
      <c r="I533" s="15">
        <f t="shared" si="32"/>
        <v>5</v>
      </c>
      <c r="J533" s="15">
        <f t="shared" si="32"/>
        <v>2</v>
      </c>
      <c r="K533" s="15">
        <f t="shared" si="33"/>
        <v>5</v>
      </c>
      <c r="L533" s="3" t="str">
        <f t="shared" si="34"/>
        <v>Thursday</v>
      </c>
      <c r="M533" s="4" t="str">
        <f t="shared" si="35"/>
        <v>Normal Day</v>
      </c>
      <c r="N533" s="4" t="str">
        <f>TEXT(CleanedData[[#This Row],[DAY]], "mmm yyyy")</f>
        <v>Apr 2024</v>
      </c>
    </row>
    <row r="534" spans="1:14" x14ac:dyDescent="0.3">
      <c r="A534" s="5">
        <v>45407</v>
      </c>
      <c r="B534" s="12">
        <v>247.5</v>
      </c>
      <c r="C534" s="12">
        <v>9</v>
      </c>
      <c r="D534" s="2" t="s">
        <v>6</v>
      </c>
      <c r="E534" s="2" t="s">
        <v>8</v>
      </c>
      <c r="F534" s="1">
        <v>9</v>
      </c>
      <c r="G534" s="13">
        <v>215.52097655287344</v>
      </c>
      <c r="H534" s="14" t="b">
        <v>0</v>
      </c>
      <c r="I534" s="15">
        <f t="shared" si="32"/>
        <v>248</v>
      </c>
      <c r="J534" s="15">
        <f t="shared" si="32"/>
        <v>9</v>
      </c>
      <c r="K534" s="15">
        <f t="shared" si="33"/>
        <v>216</v>
      </c>
      <c r="L534" s="3" t="str">
        <f t="shared" si="34"/>
        <v>Thursday</v>
      </c>
      <c r="M534" s="4" t="str">
        <f t="shared" si="35"/>
        <v>Normal Day</v>
      </c>
      <c r="N534" s="4" t="str">
        <f>TEXT(CleanedData[[#This Row],[DAY]], "mmm yyyy")</f>
        <v>Apr 2024</v>
      </c>
    </row>
    <row r="535" spans="1:14" x14ac:dyDescent="0.3">
      <c r="A535" s="5">
        <v>45407</v>
      </c>
      <c r="B535" s="12">
        <v>610.5</v>
      </c>
      <c r="C535" s="12">
        <v>9</v>
      </c>
      <c r="D535" s="2" t="s">
        <v>6</v>
      </c>
      <c r="E535" s="2" t="s">
        <v>7</v>
      </c>
      <c r="F535" s="1">
        <v>334</v>
      </c>
      <c r="G535" s="13">
        <v>546.1056973594882</v>
      </c>
      <c r="H535" s="14" t="b">
        <v>0</v>
      </c>
      <c r="I535" s="15">
        <f t="shared" si="32"/>
        <v>611</v>
      </c>
      <c r="J535" s="15">
        <f t="shared" si="32"/>
        <v>9</v>
      </c>
      <c r="K535" s="15">
        <f t="shared" si="33"/>
        <v>546</v>
      </c>
      <c r="L535" s="3" t="str">
        <f t="shared" si="34"/>
        <v>Thursday</v>
      </c>
      <c r="M535" s="4" t="str">
        <f t="shared" si="35"/>
        <v>Normal Day</v>
      </c>
      <c r="N535" s="4" t="str">
        <f>TEXT(CleanedData[[#This Row],[DAY]], "mmm yyyy")</f>
        <v>Apr 2024</v>
      </c>
    </row>
    <row r="536" spans="1:14" x14ac:dyDescent="0.3">
      <c r="A536" s="5">
        <v>45407</v>
      </c>
      <c r="B536" s="12">
        <v>3019.5</v>
      </c>
      <c r="C536" s="12">
        <v>34.5</v>
      </c>
      <c r="D536" s="2" t="s">
        <v>9</v>
      </c>
      <c r="E536" s="2" t="s">
        <v>8</v>
      </c>
      <c r="F536" s="1">
        <v>1733</v>
      </c>
      <c r="G536" s="13">
        <v>2609.6725340338207</v>
      </c>
      <c r="H536" s="14" t="b">
        <v>0</v>
      </c>
      <c r="I536" s="15">
        <f t="shared" si="32"/>
        <v>3020</v>
      </c>
      <c r="J536" s="15">
        <f t="shared" si="32"/>
        <v>35</v>
      </c>
      <c r="K536" s="15">
        <f t="shared" si="33"/>
        <v>2610</v>
      </c>
      <c r="L536" s="3" t="str">
        <f t="shared" si="34"/>
        <v>Thursday</v>
      </c>
      <c r="M536" s="4" t="str">
        <f t="shared" si="35"/>
        <v>Normal Day</v>
      </c>
      <c r="N536" s="4" t="str">
        <f>TEXT(CleanedData[[#This Row],[DAY]], "mmm yyyy")</f>
        <v>Apr 2024</v>
      </c>
    </row>
    <row r="537" spans="1:14" x14ac:dyDescent="0.3">
      <c r="A537" s="5">
        <v>45407</v>
      </c>
      <c r="B537" s="12">
        <v>5406</v>
      </c>
      <c r="C537" s="12">
        <v>264</v>
      </c>
      <c r="D537" s="2" t="s">
        <v>10</v>
      </c>
      <c r="E537" s="2" t="s">
        <v>7</v>
      </c>
      <c r="F537" s="1">
        <v>882</v>
      </c>
      <c r="G537" s="13">
        <v>5138.108918957576</v>
      </c>
      <c r="H537" s="14" t="b">
        <v>0</v>
      </c>
      <c r="I537" s="15">
        <f t="shared" si="32"/>
        <v>5406</v>
      </c>
      <c r="J537" s="15">
        <f t="shared" si="32"/>
        <v>264</v>
      </c>
      <c r="K537" s="15">
        <f t="shared" si="33"/>
        <v>5138</v>
      </c>
      <c r="L537" s="3" t="str">
        <f t="shared" si="34"/>
        <v>Thursday</v>
      </c>
      <c r="M537" s="4" t="str">
        <f t="shared" si="35"/>
        <v>Normal Day</v>
      </c>
      <c r="N537" s="4" t="str">
        <f>TEXT(CleanedData[[#This Row],[DAY]], "mmm yyyy")</f>
        <v>Apr 2024</v>
      </c>
    </row>
    <row r="538" spans="1:14" x14ac:dyDescent="0.3">
      <c r="A538" s="5">
        <v>45408</v>
      </c>
      <c r="B538" s="12">
        <v>253.5</v>
      </c>
      <c r="C538" s="12">
        <v>4.5</v>
      </c>
      <c r="D538" s="2" t="s">
        <v>6</v>
      </c>
      <c r="E538" s="2" t="s">
        <v>8</v>
      </c>
      <c r="F538" s="1">
        <v>44</v>
      </c>
      <c r="G538" s="13">
        <v>206.53121534567154</v>
      </c>
      <c r="H538" s="14" t="b">
        <v>0</v>
      </c>
      <c r="I538" s="15">
        <f t="shared" si="32"/>
        <v>254</v>
      </c>
      <c r="J538" s="15">
        <f t="shared" si="32"/>
        <v>5</v>
      </c>
      <c r="K538" s="15">
        <f t="shared" si="33"/>
        <v>207</v>
      </c>
      <c r="L538" s="3" t="str">
        <f t="shared" si="34"/>
        <v>Friday</v>
      </c>
      <c r="M538" s="4" t="str">
        <f t="shared" si="35"/>
        <v>Normal Day</v>
      </c>
      <c r="N538" s="4" t="str">
        <f>TEXT(CleanedData[[#This Row],[DAY]], "mmm yyyy")</f>
        <v>Apr 2024</v>
      </c>
    </row>
    <row r="539" spans="1:14" x14ac:dyDescent="0.3">
      <c r="A539" s="5">
        <v>45408</v>
      </c>
      <c r="B539" s="12">
        <v>526.5</v>
      </c>
      <c r="C539" s="12">
        <v>4.5</v>
      </c>
      <c r="D539" s="2" t="s">
        <v>6</v>
      </c>
      <c r="E539" s="2" t="s">
        <v>7</v>
      </c>
      <c r="F539" s="1">
        <v>131</v>
      </c>
      <c r="G539" s="13">
        <v>464.5702171256932</v>
      </c>
      <c r="H539" s="14" t="b">
        <v>0</v>
      </c>
      <c r="I539" s="15">
        <f t="shared" si="32"/>
        <v>527</v>
      </c>
      <c r="J539" s="15">
        <f t="shared" si="32"/>
        <v>5</v>
      </c>
      <c r="K539" s="15">
        <f t="shared" si="33"/>
        <v>465</v>
      </c>
      <c r="L539" s="3" t="str">
        <f t="shared" si="34"/>
        <v>Friday</v>
      </c>
      <c r="M539" s="4" t="str">
        <f t="shared" si="35"/>
        <v>Normal Day</v>
      </c>
      <c r="N539" s="4" t="str">
        <f>TEXT(CleanedData[[#This Row],[DAY]], "mmm yyyy")</f>
        <v>Apr 2024</v>
      </c>
    </row>
    <row r="540" spans="1:14" x14ac:dyDescent="0.3">
      <c r="A540" s="5">
        <v>45408</v>
      </c>
      <c r="B540" s="12">
        <v>4221</v>
      </c>
      <c r="C540" s="12">
        <v>84</v>
      </c>
      <c r="D540" s="2" t="s">
        <v>9</v>
      </c>
      <c r="E540" s="2" t="s">
        <v>8</v>
      </c>
      <c r="F540" s="1">
        <v>2130</v>
      </c>
      <c r="G540" s="13">
        <v>3489.1166805947082</v>
      </c>
      <c r="H540" s="14" t="b">
        <v>0</v>
      </c>
      <c r="I540" s="15">
        <f t="shared" si="32"/>
        <v>4221</v>
      </c>
      <c r="J540" s="15">
        <f t="shared" si="32"/>
        <v>84</v>
      </c>
      <c r="K540" s="15">
        <f t="shared" si="33"/>
        <v>3489</v>
      </c>
      <c r="L540" s="3" t="str">
        <f t="shared" si="34"/>
        <v>Friday</v>
      </c>
      <c r="M540" s="4" t="str">
        <f t="shared" si="35"/>
        <v>Normal Day</v>
      </c>
      <c r="N540" s="4" t="str">
        <f>TEXT(CleanedData[[#This Row],[DAY]], "mmm yyyy")</f>
        <v>Apr 2024</v>
      </c>
    </row>
    <row r="541" spans="1:14" x14ac:dyDescent="0.3">
      <c r="A541" s="5">
        <v>45408</v>
      </c>
      <c r="B541" s="12">
        <v>9151.5</v>
      </c>
      <c r="C541" s="12">
        <v>582</v>
      </c>
      <c r="D541" s="2" t="s">
        <v>10</v>
      </c>
      <c r="E541" s="2" t="s">
        <v>7</v>
      </c>
      <c r="F541" s="1">
        <v>2564</v>
      </c>
      <c r="G541" s="13">
        <v>9062.4706758572593</v>
      </c>
      <c r="H541" s="14" t="b">
        <v>0</v>
      </c>
      <c r="I541" s="15">
        <f t="shared" si="32"/>
        <v>9152</v>
      </c>
      <c r="J541" s="15">
        <f t="shared" si="32"/>
        <v>582</v>
      </c>
      <c r="K541" s="15">
        <f t="shared" si="33"/>
        <v>9062</v>
      </c>
      <c r="L541" s="3" t="str">
        <f t="shared" si="34"/>
        <v>Friday</v>
      </c>
      <c r="M541" s="4" t="str">
        <f t="shared" si="35"/>
        <v>Normal Day</v>
      </c>
      <c r="N541" s="4" t="str">
        <f>TEXT(CleanedData[[#This Row],[DAY]], "mmm yyyy")</f>
        <v>Apr 2024</v>
      </c>
    </row>
    <row r="542" spans="1:14" x14ac:dyDescent="0.3">
      <c r="A542" s="5">
        <v>45409</v>
      </c>
      <c r="B542" s="12">
        <v>480</v>
      </c>
      <c r="C542" s="12">
        <v>39</v>
      </c>
      <c r="D542" s="2" t="s">
        <v>6</v>
      </c>
      <c r="E542" s="2" t="s">
        <v>8</v>
      </c>
      <c r="F542" s="1">
        <v>301</v>
      </c>
      <c r="G542" s="13">
        <v>420.63428868307619</v>
      </c>
      <c r="H542" s="14" t="b">
        <v>0</v>
      </c>
      <c r="I542" s="15">
        <f t="shared" si="32"/>
        <v>480</v>
      </c>
      <c r="J542" s="15">
        <f t="shared" si="32"/>
        <v>39</v>
      </c>
      <c r="K542" s="15">
        <f t="shared" si="33"/>
        <v>421</v>
      </c>
      <c r="L542" s="3" t="str">
        <f t="shared" si="34"/>
        <v>Saturday</v>
      </c>
      <c r="M542" s="4" t="str">
        <f t="shared" si="35"/>
        <v>Normal Day</v>
      </c>
      <c r="N542" s="4" t="str">
        <f>TEXT(CleanedData[[#This Row],[DAY]], "mmm yyyy")</f>
        <v>Apr 2024</v>
      </c>
    </row>
    <row r="543" spans="1:14" x14ac:dyDescent="0.3">
      <c r="A543" s="5">
        <v>45409</v>
      </c>
      <c r="B543" s="12">
        <v>844.5</v>
      </c>
      <c r="C543" s="12">
        <v>39</v>
      </c>
      <c r="D543" s="2" t="s">
        <v>6</v>
      </c>
      <c r="E543" s="2" t="s">
        <v>7</v>
      </c>
      <c r="F543" s="1">
        <v>391</v>
      </c>
      <c r="G543" s="13">
        <v>782.11264733892369</v>
      </c>
      <c r="H543" s="14" t="b">
        <v>0</v>
      </c>
      <c r="I543" s="15">
        <f t="shared" si="32"/>
        <v>845</v>
      </c>
      <c r="J543" s="15">
        <f t="shared" si="32"/>
        <v>39</v>
      </c>
      <c r="K543" s="15">
        <f t="shared" si="33"/>
        <v>782</v>
      </c>
      <c r="L543" s="3" t="str">
        <f t="shared" si="34"/>
        <v>Saturday</v>
      </c>
      <c r="M543" s="4" t="str">
        <f t="shared" si="35"/>
        <v>Normal Day</v>
      </c>
      <c r="N543" s="4" t="str">
        <f>TEXT(CleanedData[[#This Row],[DAY]], "mmm yyyy")</f>
        <v>Apr 2024</v>
      </c>
    </row>
    <row r="544" spans="1:14" x14ac:dyDescent="0.3">
      <c r="A544" s="5">
        <v>45409</v>
      </c>
      <c r="B544" s="12">
        <v>4551</v>
      </c>
      <c r="C544" s="12">
        <v>33</v>
      </c>
      <c r="D544" s="2" t="s">
        <v>9</v>
      </c>
      <c r="E544" s="2" t="s">
        <v>8</v>
      </c>
      <c r="F544" s="1">
        <v>2962</v>
      </c>
      <c r="G544" s="13">
        <v>4079.5712182790976</v>
      </c>
      <c r="H544" s="14" t="b">
        <v>0</v>
      </c>
      <c r="I544" s="15">
        <f t="shared" si="32"/>
        <v>4551</v>
      </c>
      <c r="J544" s="15">
        <f t="shared" si="32"/>
        <v>33</v>
      </c>
      <c r="K544" s="15">
        <f t="shared" si="33"/>
        <v>4080</v>
      </c>
      <c r="L544" s="3" t="str">
        <f t="shared" si="34"/>
        <v>Saturday</v>
      </c>
      <c r="M544" s="4" t="str">
        <f t="shared" si="35"/>
        <v>Normal Day</v>
      </c>
      <c r="N544" s="4" t="str">
        <f>TEXT(CleanedData[[#This Row],[DAY]], "mmm yyyy")</f>
        <v>Apr 2024</v>
      </c>
    </row>
    <row r="545" spans="1:14" x14ac:dyDescent="0.3">
      <c r="A545" s="5">
        <v>45409</v>
      </c>
      <c r="B545" s="12">
        <v>9279</v>
      </c>
      <c r="C545" s="12">
        <v>376.5</v>
      </c>
      <c r="D545" s="2" t="s">
        <v>10</v>
      </c>
      <c r="E545" s="2" t="s">
        <v>7</v>
      </c>
      <c r="F545" s="1">
        <v>5283</v>
      </c>
      <c r="G545" s="13">
        <v>8522.005682266572</v>
      </c>
      <c r="H545" s="14" t="b">
        <v>0</v>
      </c>
      <c r="I545" s="15">
        <f t="shared" si="32"/>
        <v>9279</v>
      </c>
      <c r="J545" s="15">
        <f t="shared" si="32"/>
        <v>377</v>
      </c>
      <c r="K545" s="15">
        <f t="shared" si="33"/>
        <v>8522</v>
      </c>
      <c r="L545" s="3" t="str">
        <f t="shared" si="34"/>
        <v>Saturday</v>
      </c>
      <c r="M545" s="4" t="str">
        <f t="shared" si="35"/>
        <v>Normal Day</v>
      </c>
      <c r="N545" s="4" t="str">
        <f>TEXT(CleanedData[[#This Row],[DAY]], "mmm yyyy")</f>
        <v>Apr 2024</v>
      </c>
    </row>
    <row r="546" spans="1:14" x14ac:dyDescent="0.3">
      <c r="A546" s="5">
        <v>45410</v>
      </c>
      <c r="B546" s="12">
        <v>729</v>
      </c>
      <c r="C546" s="12">
        <v>25.5</v>
      </c>
      <c r="D546" s="2" t="s">
        <v>6</v>
      </c>
      <c r="E546" s="2" t="s">
        <v>7</v>
      </c>
      <c r="F546" s="1">
        <v>456</v>
      </c>
      <c r="G546" s="13">
        <v>696.58087578203731</v>
      </c>
      <c r="H546" s="14" t="b">
        <v>0</v>
      </c>
      <c r="I546" s="15">
        <f t="shared" si="32"/>
        <v>729</v>
      </c>
      <c r="J546" s="15">
        <f t="shared" si="32"/>
        <v>26</v>
      </c>
      <c r="K546" s="15">
        <f t="shared" si="33"/>
        <v>697</v>
      </c>
      <c r="L546" s="3" t="str">
        <f t="shared" si="34"/>
        <v>Sunday</v>
      </c>
      <c r="M546" s="4" t="str">
        <f t="shared" si="35"/>
        <v>Normal Day</v>
      </c>
      <c r="N546" s="4" t="str">
        <f>TEXT(CleanedData[[#This Row],[DAY]], "mmm yyyy")</f>
        <v>Apr 2024</v>
      </c>
    </row>
    <row r="547" spans="1:14" x14ac:dyDescent="0.3">
      <c r="A547" s="5">
        <v>45410</v>
      </c>
      <c r="B547" s="12">
        <v>733.5</v>
      </c>
      <c r="C547" s="12">
        <v>25.5</v>
      </c>
      <c r="D547" s="2" t="s">
        <v>6</v>
      </c>
      <c r="E547" s="2" t="s">
        <v>8</v>
      </c>
      <c r="F547" s="1">
        <v>273</v>
      </c>
      <c r="G547" s="13">
        <v>621.95303923324286</v>
      </c>
      <c r="H547" s="14" t="b">
        <v>0</v>
      </c>
      <c r="I547" s="15">
        <f t="shared" si="32"/>
        <v>734</v>
      </c>
      <c r="J547" s="15">
        <f t="shared" si="32"/>
        <v>26</v>
      </c>
      <c r="K547" s="15">
        <f t="shared" si="33"/>
        <v>622</v>
      </c>
      <c r="L547" s="3" t="str">
        <f t="shared" si="34"/>
        <v>Sunday</v>
      </c>
      <c r="M547" s="4" t="str">
        <f t="shared" si="35"/>
        <v>Normal Day</v>
      </c>
      <c r="N547" s="4" t="str">
        <f>TEXT(CleanedData[[#This Row],[DAY]], "mmm yyyy")</f>
        <v>Apr 2024</v>
      </c>
    </row>
    <row r="548" spans="1:14" x14ac:dyDescent="0.3">
      <c r="A548" s="5">
        <v>45410</v>
      </c>
      <c r="B548" s="12">
        <v>3382.5</v>
      </c>
      <c r="C548" s="12">
        <v>37.5</v>
      </c>
      <c r="D548" s="2" t="s">
        <v>9</v>
      </c>
      <c r="E548" s="2" t="s">
        <v>8</v>
      </c>
      <c r="F548" s="1">
        <v>2199</v>
      </c>
      <c r="G548" s="13">
        <v>2830.0428711604322</v>
      </c>
      <c r="H548" s="14" t="b">
        <v>0</v>
      </c>
      <c r="I548" s="15">
        <f t="shared" si="32"/>
        <v>3383</v>
      </c>
      <c r="J548" s="15">
        <f t="shared" si="32"/>
        <v>38</v>
      </c>
      <c r="K548" s="15">
        <f t="shared" si="33"/>
        <v>2830</v>
      </c>
      <c r="L548" s="3" t="str">
        <f t="shared" si="34"/>
        <v>Sunday</v>
      </c>
      <c r="M548" s="4" t="str">
        <f t="shared" si="35"/>
        <v>Normal Day</v>
      </c>
      <c r="N548" s="4" t="str">
        <f>TEXT(CleanedData[[#This Row],[DAY]], "mmm yyyy")</f>
        <v>Apr 2024</v>
      </c>
    </row>
    <row r="549" spans="1:14" x14ac:dyDescent="0.3">
      <c r="A549" s="5">
        <v>45410</v>
      </c>
      <c r="B549" s="12">
        <v>7501.5</v>
      </c>
      <c r="C549" s="12">
        <v>180</v>
      </c>
      <c r="D549" s="2" t="s">
        <v>10</v>
      </c>
      <c r="E549" s="2" t="s">
        <v>7</v>
      </c>
      <c r="F549" s="1">
        <v>3774</v>
      </c>
      <c r="G549" s="13">
        <v>7031.4312325070632</v>
      </c>
      <c r="H549" s="14" t="b">
        <v>0</v>
      </c>
      <c r="I549" s="15">
        <f t="shared" si="32"/>
        <v>7502</v>
      </c>
      <c r="J549" s="15">
        <f t="shared" si="32"/>
        <v>180</v>
      </c>
      <c r="K549" s="15">
        <f t="shared" si="33"/>
        <v>7031</v>
      </c>
      <c r="L549" s="3" t="str">
        <f t="shared" si="34"/>
        <v>Sunday</v>
      </c>
      <c r="M549" s="4" t="str">
        <f t="shared" si="35"/>
        <v>Normal Day</v>
      </c>
      <c r="N549" s="4" t="str">
        <f>TEXT(CleanedData[[#This Row],[DAY]], "mmm yyyy")</f>
        <v>Apr 2024</v>
      </c>
    </row>
    <row r="550" spans="1:14" x14ac:dyDescent="0.3">
      <c r="A550" s="5">
        <v>45411</v>
      </c>
      <c r="B550" s="12">
        <v>10.5</v>
      </c>
      <c r="C550" s="12">
        <v>3</v>
      </c>
      <c r="D550" s="2" t="s">
        <v>10</v>
      </c>
      <c r="E550" s="2" t="s">
        <v>8</v>
      </c>
      <c r="F550" s="1">
        <v>5</v>
      </c>
      <c r="G550" s="13">
        <v>11.613483545047474</v>
      </c>
      <c r="H550" s="14" t="b">
        <v>0</v>
      </c>
      <c r="I550" s="15">
        <f t="shared" si="32"/>
        <v>11</v>
      </c>
      <c r="J550" s="15">
        <f t="shared" si="32"/>
        <v>3</v>
      </c>
      <c r="K550" s="15">
        <f t="shared" si="33"/>
        <v>12</v>
      </c>
      <c r="L550" s="3" t="str">
        <f t="shared" si="34"/>
        <v>Monday</v>
      </c>
      <c r="M550" s="4" t="str">
        <f t="shared" si="35"/>
        <v>Normal Day</v>
      </c>
      <c r="N550" s="4" t="str">
        <f>TEXT(CleanedData[[#This Row],[DAY]], "mmm yyyy")</f>
        <v>Apr 2024</v>
      </c>
    </row>
    <row r="551" spans="1:14" x14ac:dyDescent="0.3">
      <c r="A551" s="5">
        <v>45411</v>
      </c>
      <c r="B551" s="12">
        <v>408</v>
      </c>
      <c r="C551" s="12">
        <v>22.5</v>
      </c>
      <c r="D551" s="2" t="s">
        <v>6</v>
      </c>
      <c r="E551" s="2" t="s">
        <v>8</v>
      </c>
      <c r="F551" s="1">
        <v>70</v>
      </c>
      <c r="G551" s="13">
        <v>366.29924143424677</v>
      </c>
      <c r="H551" s="14" t="b">
        <v>0</v>
      </c>
      <c r="I551" s="15">
        <f t="shared" si="32"/>
        <v>408</v>
      </c>
      <c r="J551" s="15">
        <f t="shared" si="32"/>
        <v>23</v>
      </c>
      <c r="K551" s="15">
        <f t="shared" si="33"/>
        <v>366</v>
      </c>
      <c r="L551" s="3" t="str">
        <f t="shared" si="34"/>
        <v>Monday</v>
      </c>
      <c r="M551" s="4" t="str">
        <f t="shared" si="35"/>
        <v>Normal Day</v>
      </c>
      <c r="N551" s="4" t="str">
        <f>TEXT(CleanedData[[#This Row],[DAY]], "mmm yyyy")</f>
        <v>Apr 2024</v>
      </c>
    </row>
    <row r="552" spans="1:14" x14ac:dyDescent="0.3">
      <c r="A552" s="5">
        <v>45411</v>
      </c>
      <c r="B552" s="12">
        <v>432</v>
      </c>
      <c r="C552" s="12">
        <v>22.5</v>
      </c>
      <c r="D552" s="2" t="s">
        <v>6</v>
      </c>
      <c r="E552" s="2" t="s">
        <v>7</v>
      </c>
      <c r="F552" s="1">
        <v>267</v>
      </c>
      <c r="G552" s="13">
        <v>399.70417680687825</v>
      </c>
      <c r="H552" s="14" t="b">
        <v>0</v>
      </c>
      <c r="I552" s="15">
        <f t="shared" si="32"/>
        <v>432</v>
      </c>
      <c r="J552" s="15">
        <f t="shared" si="32"/>
        <v>23</v>
      </c>
      <c r="K552" s="15">
        <f t="shared" si="33"/>
        <v>400</v>
      </c>
      <c r="L552" s="3" t="str">
        <f t="shared" si="34"/>
        <v>Monday</v>
      </c>
      <c r="M552" s="4" t="str">
        <f t="shared" si="35"/>
        <v>Normal Day</v>
      </c>
      <c r="N552" s="4" t="str">
        <f>TEXT(CleanedData[[#This Row],[DAY]], "mmm yyyy")</f>
        <v>Apr 2024</v>
      </c>
    </row>
    <row r="553" spans="1:14" x14ac:dyDescent="0.3">
      <c r="A553" s="5">
        <v>45411</v>
      </c>
      <c r="B553" s="12">
        <v>2902.5</v>
      </c>
      <c r="C553" s="12">
        <v>127.5</v>
      </c>
      <c r="D553" s="2" t="s">
        <v>9</v>
      </c>
      <c r="E553" s="2" t="s">
        <v>8</v>
      </c>
      <c r="F553" s="1">
        <v>386</v>
      </c>
      <c r="G553" s="13">
        <v>2614.7311671658113</v>
      </c>
      <c r="H553" s="14" t="b">
        <v>0</v>
      </c>
      <c r="I553" s="15">
        <f t="shared" si="32"/>
        <v>2903</v>
      </c>
      <c r="J553" s="15">
        <f t="shared" si="32"/>
        <v>128</v>
      </c>
      <c r="K553" s="15">
        <f t="shared" si="33"/>
        <v>2615</v>
      </c>
      <c r="L553" s="3" t="str">
        <f t="shared" si="34"/>
        <v>Monday</v>
      </c>
      <c r="M553" s="4" t="str">
        <f t="shared" si="35"/>
        <v>Normal Day</v>
      </c>
      <c r="N553" s="4" t="str">
        <f>TEXT(CleanedData[[#This Row],[DAY]], "mmm yyyy")</f>
        <v>Apr 2024</v>
      </c>
    </row>
    <row r="554" spans="1:14" x14ac:dyDescent="0.3">
      <c r="A554" s="5">
        <v>45411</v>
      </c>
      <c r="B554" s="12">
        <v>5841</v>
      </c>
      <c r="C554" s="12">
        <v>78</v>
      </c>
      <c r="D554" s="2" t="s">
        <v>10</v>
      </c>
      <c r="E554" s="2" t="s">
        <v>7</v>
      </c>
      <c r="F554" s="1">
        <v>1340</v>
      </c>
      <c r="G554" s="13">
        <v>5402.6502099252548</v>
      </c>
      <c r="H554" s="14" t="b">
        <v>0</v>
      </c>
      <c r="I554" s="15">
        <f t="shared" si="32"/>
        <v>5841</v>
      </c>
      <c r="J554" s="15">
        <f t="shared" si="32"/>
        <v>78</v>
      </c>
      <c r="K554" s="15">
        <f t="shared" si="33"/>
        <v>5403</v>
      </c>
      <c r="L554" s="3" t="str">
        <f t="shared" si="34"/>
        <v>Monday</v>
      </c>
      <c r="M554" s="4" t="str">
        <f t="shared" si="35"/>
        <v>Normal Day</v>
      </c>
      <c r="N554" s="4" t="str">
        <f>TEXT(CleanedData[[#This Row],[DAY]], "mmm yyyy")</f>
        <v>Apr 2024</v>
      </c>
    </row>
    <row r="555" spans="1:14" x14ac:dyDescent="0.3">
      <c r="A555" s="5">
        <v>45412</v>
      </c>
      <c r="B555" s="12">
        <v>142.5</v>
      </c>
      <c r="C555" s="12">
        <v>12</v>
      </c>
      <c r="D555" s="2" t="s">
        <v>6</v>
      </c>
      <c r="E555" s="2" t="s">
        <v>8</v>
      </c>
      <c r="F555" s="1">
        <v>83</v>
      </c>
      <c r="G555" s="13">
        <v>132.39177696222009</v>
      </c>
      <c r="H555" s="14" t="b">
        <v>0</v>
      </c>
      <c r="I555" s="15">
        <f t="shared" si="32"/>
        <v>143</v>
      </c>
      <c r="J555" s="15">
        <f t="shared" si="32"/>
        <v>12</v>
      </c>
      <c r="K555" s="15">
        <f t="shared" si="33"/>
        <v>132</v>
      </c>
      <c r="L555" s="3" t="str">
        <f t="shared" si="34"/>
        <v>Tuesday</v>
      </c>
      <c r="M555" s="4" t="str">
        <f t="shared" si="35"/>
        <v>Normal Day</v>
      </c>
      <c r="N555" s="4" t="str">
        <f>TEXT(CleanedData[[#This Row],[DAY]], "mmm yyyy")</f>
        <v>Apr 2024</v>
      </c>
    </row>
    <row r="556" spans="1:14" x14ac:dyDescent="0.3">
      <c r="A556" s="5">
        <v>45412</v>
      </c>
      <c r="B556" s="12">
        <v>291</v>
      </c>
      <c r="C556" s="12">
        <v>12</v>
      </c>
      <c r="D556" s="2" t="s">
        <v>6</v>
      </c>
      <c r="E556" s="2" t="s">
        <v>7</v>
      </c>
      <c r="F556" s="1">
        <v>50</v>
      </c>
      <c r="G556" s="13">
        <v>283.99150367172592</v>
      </c>
      <c r="H556" s="14" t="b">
        <v>0</v>
      </c>
      <c r="I556" s="15">
        <f t="shared" si="32"/>
        <v>291</v>
      </c>
      <c r="J556" s="15">
        <f t="shared" si="32"/>
        <v>12</v>
      </c>
      <c r="K556" s="15">
        <f t="shared" si="33"/>
        <v>284</v>
      </c>
      <c r="L556" s="3" t="str">
        <f t="shared" si="34"/>
        <v>Tuesday</v>
      </c>
      <c r="M556" s="4" t="str">
        <f t="shared" si="35"/>
        <v>Normal Day</v>
      </c>
      <c r="N556" s="4" t="str">
        <f>TEXT(CleanedData[[#This Row],[DAY]], "mmm yyyy")</f>
        <v>Apr 2024</v>
      </c>
    </row>
    <row r="557" spans="1:14" x14ac:dyDescent="0.3">
      <c r="A557" s="5">
        <v>45412</v>
      </c>
      <c r="B557" s="12">
        <v>2616</v>
      </c>
      <c r="C557" s="12">
        <v>72</v>
      </c>
      <c r="D557" s="2" t="s">
        <v>9</v>
      </c>
      <c r="E557" s="2" t="s">
        <v>8</v>
      </c>
      <c r="F557" s="1">
        <v>915</v>
      </c>
      <c r="G557" s="13">
        <v>2168.5581205303197</v>
      </c>
      <c r="H557" s="14" t="b">
        <v>0</v>
      </c>
      <c r="I557" s="15">
        <f t="shared" si="32"/>
        <v>2616</v>
      </c>
      <c r="J557" s="15">
        <f t="shared" si="32"/>
        <v>72</v>
      </c>
      <c r="K557" s="15">
        <f t="shared" si="33"/>
        <v>2169</v>
      </c>
      <c r="L557" s="3" t="str">
        <f t="shared" si="34"/>
        <v>Tuesday</v>
      </c>
      <c r="M557" s="4" t="str">
        <f t="shared" si="35"/>
        <v>Normal Day</v>
      </c>
      <c r="N557" s="4" t="str">
        <f>TEXT(CleanedData[[#This Row],[DAY]], "mmm yyyy")</f>
        <v>Apr 2024</v>
      </c>
    </row>
    <row r="558" spans="1:14" x14ac:dyDescent="0.3">
      <c r="A558" s="5">
        <v>45412</v>
      </c>
      <c r="B558" s="12">
        <v>5235</v>
      </c>
      <c r="C558" s="12">
        <v>348</v>
      </c>
      <c r="D558" s="2" t="s">
        <v>10</v>
      </c>
      <c r="E558" s="2" t="s">
        <v>7</v>
      </c>
      <c r="F558" s="1">
        <v>243</v>
      </c>
      <c r="G558" s="13">
        <v>5108.0035982838617</v>
      </c>
      <c r="H558" s="14" t="b">
        <v>1</v>
      </c>
      <c r="I558" s="15">
        <f t="shared" si="32"/>
        <v>5235</v>
      </c>
      <c r="J558" s="15">
        <f t="shared" si="32"/>
        <v>348</v>
      </c>
      <c r="K558" s="15">
        <f t="shared" si="33"/>
        <v>5108</v>
      </c>
      <c r="L558" s="3" t="str">
        <f t="shared" si="34"/>
        <v>Tuesday</v>
      </c>
      <c r="M558" s="4" t="str">
        <f t="shared" si="35"/>
        <v>Outage Day</v>
      </c>
      <c r="N558" s="4" t="str">
        <f>TEXT(CleanedData[[#This Row],[DAY]], "mmm yyyy")</f>
        <v>Apr 2024</v>
      </c>
    </row>
    <row r="559" spans="1:14" x14ac:dyDescent="0.3">
      <c r="A559" s="5">
        <v>45413</v>
      </c>
      <c r="B559" s="12">
        <v>82.5</v>
      </c>
      <c r="C559" s="12">
        <v>18</v>
      </c>
      <c r="D559" s="2" t="s">
        <v>6</v>
      </c>
      <c r="E559" s="2" t="s">
        <v>8</v>
      </c>
      <c r="F559" s="1">
        <v>49</v>
      </c>
      <c r="G559" s="13">
        <v>85.451482219853986</v>
      </c>
      <c r="H559" s="14" t="b">
        <v>0</v>
      </c>
      <c r="I559" s="15">
        <f t="shared" si="32"/>
        <v>83</v>
      </c>
      <c r="J559" s="15">
        <f t="shared" si="32"/>
        <v>18</v>
      </c>
      <c r="K559" s="15">
        <f t="shared" si="33"/>
        <v>85</v>
      </c>
      <c r="L559" s="3" t="str">
        <f t="shared" si="34"/>
        <v>Wednesday</v>
      </c>
      <c r="M559" s="4" t="str">
        <f t="shared" si="35"/>
        <v>Normal Day</v>
      </c>
      <c r="N559" s="4" t="str">
        <f>TEXT(CleanedData[[#This Row],[DAY]], "mmm yyyy")</f>
        <v>May 2024</v>
      </c>
    </row>
    <row r="560" spans="1:14" x14ac:dyDescent="0.3">
      <c r="A560" s="5">
        <v>45413</v>
      </c>
      <c r="B560" s="12">
        <v>321</v>
      </c>
      <c r="C560" s="12">
        <v>18</v>
      </c>
      <c r="D560" s="2" t="s">
        <v>6</v>
      </c>
      <c r="E560" s="2" t="s">
        <v>7</v>
      </c>
      <c r="F560" s="1">
        <v>189</v>
      </c>
      <c r="G560" s="13">
        <v>317.31510245281589</v>
      </c>
      <c r="H560" s="14" t="b">
        <v>0</v>
      </c>
      <c r="I560" s="15">
        <f t="shared" si="32"/>
        <v>321</v>
      </c>
      <c r="J560" s="15">
        <f t="shared" si="32"/>
        <v>18</v>
      </c>
      <c r="K560" s="15">
        <f t="shared" si="33"/>
        <v>317</v>
      </c>
      <c r="L560" s="3" t="str">
        <f t="shared" si="34"/>
        <v>Wednesday</v>
      </c>
      <c r="M560" s="4" t="str">
        <f t="shared" si="35"/>
        <v>Normal Day</v>
      </c>
      <c r="N560" s="4" t="str">
        <f>TEXT(CleanedData[[#This Row],[DAY]], "mmm yyyy")</f>
        <v>May 2024</v>
      </c>
    </row>
    <row r="561" spans="1:14" x14ac:dyDescent="0.3">
      <c r="A561" s="5">
        <v>45413</v>
      </c>
      <c r="B561" s="12">
        <v>2529</v>
      </c>
      <c r="C561" s="12">
        <v>121.5</v>
      </c>
      <c r="D561" s="2" t="s">
        <v>9</v>
      </c>
      <c r="E561" s="2" t="s">
        <v>8</v>
      </c>
      <c r="F561" s="1">
        <v>195</v>
      </c>
      <c r="G561" s="13">
        <v>2138.9379482791646</v>
      </c>
      <c r="H561" s="14" t="b">
        <v>1</v>
      </c>
      <c r="I561" s="15">
        <f t="shared" si="32"/>
        <v>2529</v>
      </c>
      <c r="J561" s="15">
        <f t="shared" si="32"/>
        <v>122</v>
      </c>
      <c r="K561" s="15">
        <f t="shared" si="33"/>
        <v>2139</v>
      </c>
      <c r="L561" s="3" t="str">
        <f t="shared" si="34"/>
        <v>Wednesday</v>
      </c>
      <c r="M561" s="4" t="str">
        <f t="shared" si="35"/>
        <v>Outage Day</v>
      </c>
      <c r="N561" s="4" t="str">
        <f>TEXT(CleanedData[[#This Row],[DAY]], "mmm yyyy")</f>
        <v>May 2024</v>
      </c>
    </row>
    <row r="562" spans="1:14" x14ac:dyDescent="0.3">
      <c r="A562" s="5">
        <v>45413</v>
      </c>
      <c r="B562" s="12">
        <v>5893.5</v>
      </c>
      <c r="C562" s="12">
        <v>226.5</v>
      </c>
      <c r="D562" s="2" t="s">
        <v>10</v>
      </c>
      <c r="E562" s="2" t="s">
        <v>7</v>
      </c>
      <c r="F562" s="1">
        <v>2617</v>
      </c>
      <c r="G562" s="13">
        <v>5398.2688866109429</v>
      </c>
      <c r="H562" s="14" t="b">
        <v>0</v>
      </c>
      <c r="I562" s="15">
        <f t="shared" si="32"/>
        <v>5894</v>
      </c>
      <c r="J562" s="15">
        <f t="shared" si="32"/>
        <v>227</v>
      </c>
      <c r="K562" s="15">
        <f t="shared" si="33"/>
        <v>5398</v>
      </c>
      <c r="L562" s="3" t="str">
        <f t="shared" si="34"/>
        <v>Wednesday</v>
      </c>
      <c r="M562" s="4" t="str">
        <f t="shared" si="35"/>
        <v>Normal Day</v>
      </c>
      <c r="N562" s="4" t="str">
        <f>TEXT(CleanedData[[#This Row],[DAY]], "mmm yyyy")</f>
        <v>May 2024</v>
      </c>
    </row>
    <row r="563" spans="1:14" x14ac:dyDescent="0.3">
      <c r="A563" s="5">
        <v>45414</v>
      </c>
      <c r="B563" s="12">
        <v>252</v>
      </c>
      <c r="C563" s="12">
        <v>18</v>
      </c>
      <c r="D563" s="2" t="s">
        <v>6</v>
      </c>
      <c r="E563" s="2" t="s">
        <v>8</v>
      </c>
      <c r="F563" s="1">
        <v>113</v>
      </c>
      <c r="G563" s="13">
        <v>239.56860359688056</v>
      </c>
      <c r="H563" s="14" t="b">
        <v>0</v>
      </c>
      <c r="I563" s="15">
        <f t="shared" si="32"/>
        <v>252</v>
      </c>
      <c r="J563" s="15">
        <f t="shared" si="32"/>
        <v>18</v>
      </c>
      <c r="K563" s="15">
        <f t="shared" si="33"/>
        <v>240</v>
      </c>
      <c r="L563" s="3" t="str">
        <f t="shared" si="34"/>
        <v>Thursday</v>
      </c>
      <c r="M563" s="4" t="str">
        <f t="shared" si="35"/>
        <v>Normal Day</v>
      </c>
      <c r="N563" s="4" t="str">
        <f>TEXT(CleanedData[[#This Row],[DAY]], "mmm yyyy")</f>
        <v>May 2024</v>
      </c>
    </row>
    <row r="564" spans="1:14" x14ac:dyDescent="0.3">
      <c r="A564" s="5">
        <v>45414</v>
      </c>
      <c r="B564" s="12">
        <v>466.5</v>
      </c>
      <c r="C564" s="12">
        <v>18</v>
      </c>
      <c r="D564" s="2" t="s">
        <v>6</v>
      </c>
      <c r="E564" s="2" t="s">
        <v>7</v>
      </c>
      <c r="F564" s="1">
        <v>184</v>
      </c>
      <c r="G564" s="13">
        <v>438.39321570547389</v>
      </c>
      <c r="H564" s="14" t="b">
        <v>0</v>
      </c>
      <c r="I564" s="15">
        <f t="shared" si="32"/>
        <v>467</v>
      </c>
      <c r="J564" s="15">
        <f t="shared" si="32"/>
        <v>18</v>
      </c>
      <c r="K564" s="15">
        <f t="shared" si="33"/>
        <v>438</v>
      </c>
      <c r="L564" s="3" t="str">
        <f t="shared" si="34"/>
        <v>Thursday</v>
      </c>
      <c r="M564" s="4" t="str">
        <f t="shared" si="35"/>
        <v>Normal Day</v>
      </c>
      <c r="N564" s="4" t="str">
        <f>TEXT(CleanedData[[#This Row],[DAY]], "mmm yyyy")</f>
        <v>May 2024</v>
      </c>
    </row>
    <row r="565" spans="1:14" x14ac:dyDescent="0.3">
      <c r="A565" s="5">
        <v>45414</v>
      </c>
      <c r="B565" s="12">
        <v>2754</v>
      </c>
      <c r="C565" s="12">
        <v>124.5</v>
      </c>
      <c r="D565" s="2" t="s">
        <v>9</v>
      </c>
      <c r="E565" s="2" t="s">
        <v>8</v>
      </c>
      <c r="F565" s="1">
        <v>1750</v>
      </c>
      <c r="G565" s="13">
        <v>2363.9240582634347</v>
      </c>
      <c r="H565" s="14" t="b">
        <v>0</v>
      </c>
      <c r="I565" s="15">
        <f t="shared" si="32"/>
        <v>2754</v>
      </c>
      <c r="J565" s="15">
        <f t="shared" si="32"/>
        <v>125</v>
      </c>
      <c r="K565" s="15">
        <f t="shared" si="33"/>
        <v>2364</v>
      </c>
      <c r="L565" s="3" t="str">
        <f t="shared" si="34"/>
        <v>Thursday</v>
      </c>
      <c r="M565" s="4" t="str">
        <f t="shared" si="35"/>
        <v>Normal Day</v>
      </c>
      <c r="N565" s="4" t="str">
        <f>TEXT(CleanedData[[#This Row],[DAY]], "mmm yyyy")</f>
        <v>May 2024</v>
      </c>
    </row>
    <row r="566" spans="1:14" x14ac:dyDescent="0.3">
      <c r="A566" s="5">
        <v>45414</v>
      </c>
      <c r="B566" s="12">
        <v>8062.5</v>
      </c>
      <c r="C566" s="12">
        <v>397.5</v>
      </c>
      <c r="D566" s="2" t="s">
        <v>10</v>
      </c>
      <c r="E566" s="2" t="s">
        <v>7</v>
      </c>
      <c r="F566" s="1">
        <v>5106</v>
      </c>
      <c r="G566" s="13">
        <v>7392.5934627916968</v>
      </c>
      <c r="H566" s="14" t="b">
        <v>1</v>
      </c>
      <c r="I566" s="15">
        <f t="shared" si="32"/>
        <v>8063</v>
      </c>
      <c r="J566" s="15">
        <f t="shared" si="32"/>
        <v>398</v>
      </c>
      <c r="K566" s="15">
        <f t="shared" si="33"/>
        <v>7393</v>
      </c>
      <c r="L566" s="3" t="str">
        <f t="shared" si="34"/>
        <v>Thursday</v>
      </c>
      <c r="M566" s="4" t="str">
        <f t="shared" si="35"/>
        <v>Outage Day</v>
      </c>
      <c r="N566" s="4" t="str">
        <f>TEXT(CleanedData[[#This Row],[DAY]], "mmm yyyy")</f>
        <v>May 2024</v>
      </c>
    </row>
    <row r="567" spans="1:14" x14ac:dyDescent="0.3">
      <c r="A567" s="5">
        <v>45415</v>
      </c>
      <c r="B567" s="12">
        <v>373.5</v>
      </c>
      <c r="C567" s="12">
        <v>10.5</v>
      </c>
      <c r="D567" s="2" t="s">
        <v>6</v>
      </c>
      <c r="E567" s="2" t="s">
        <v>8</v>
      </c>
      <c r="F567" s="1">
        <v>106</v>
      </c>
      <c r="G567" s="13">
        <v>341.50074095360793</v>
      </c>
      <c r="H567" s="14" t="b">
        <v>0</v>
      </c>
      <c r="I567" s="15">
        <f t="shared" si="32"/>
        <v>374</v>
      </c>
      <c r="J567" s="15">
        <f t="shared" si="32"/>
        <v>11</v>
      </c>
      <c r="K567" s="15">
        <f t="shared" si="33"/>
        <v>342</v>
      </c>
      <c r="L567" s="3" t="str">
        <f t="shared" si="34"/>
        <v>Friday</v>
      </c>
      <c r="M567" s="4" t="str">
        <f t="shared" si="35"/>
        <v>Normal Day</v>
      </c>
      <c r="N567" s="4" t="str">
        <f>TEXT(CleanedData[[#This Row],[DAY]], "mmm yyyy")</f>
        <v>May 2024</v>
      </c>
    </row>
    <row r="568" spans="1:14" x14ac:dyDescent="0.3">
      <c r="A568" s="5">
        <v>45415</v>
      </c>
      <c r="B568" s="12">
        <v>427.5</v>
      </c>
      <c r="C568" s="12">
        <v>10.5</v>
      </c>
      <c r="D568" s="2" t="s">
        <v>6</v>
      </c>
      <c r="E568" s="2" t="s">
        <v>7</v>
      </c>
      <c r="F568" s="1">
        <v>70</v>
      </c>
      <c r="G568" s="13">
        <v>410.83036888276416</v>
      </c>
      <c r="H568" s="14" t="b">
        <v>0</v>
      </c>
      <c r="I568" s="15">
        <f t="shared" si="32"/>
        <v>428</v>
      </c>
      <c r="J568" s="15">
        <f t="shared" si="32"/>
        <v>11</v>
      </c>
      <c r="K568" s="15">
        <f t="shared" si="33"/>
        <v>411</v>
      </c>
      <c r="L568" s="3" t="str">
        <f t="shared" si="34"/>
        <v>Friday</v>
      </c>
      <c r="M568" s="4" t="str">
        <f t="shared" si="35"/>
        <v>Normal Day</v>
      </c>
      <c r="N568" s="4" t="str">
        <f>TEXT(CleanedData[[#This Row],[DAY]], "mmm yyyy")</f>
        <v>May 2024</v>
      </c>
    </row>
    <row r="569" spans="1:14" x14ac:dyDescent="0.3">
      <c r="A569" s="5">
        <v>45415</v>
      </c>
      <c r="B569" s="12">
        <v>3525</v>
      </c>
      <c r="C569" s="12">
        <v>76.5</v>
      </c>
      <c r="D569" s="2" t="s">
        <v>9</v>
      </c>
      <c r="E569" s="2" t="s">
        <v>8</v>
      </c>
      <c r="F569" s="1">
        <v>2268</v>
      </c>
      <c r="G569" s="13">
        <v>3132.2280409514206</v>
      </c>
      <c r="H569" s="14" t="b">
        <v>0</v>
      </c>
      <c r="I569" s="15">
        <f t="shared" si="32"/>
        <v>3525</v>
      </c>
      <c r="J569" s="15">
        <f t="shared" si="32"/>
        <v>77</v>
      </c>
      <c r="K569" s="15">
        <f t="shared" si="33"/>
        <v>3132</v>
      </c>
      <c r="L569" s="3" t="str">
        <f t="shared" si="34"/>
        <v>Friday</v>
      </c>
      <c r="M569" s="4" t="str">
        <f t="shared" si="35"/>
        <v>Normal Day</v>
      </c>
      <c r="N569" s="4" t="str">
        <f>TEXT(CleanedData[[#This Row],[DAY]], "mmm yyyy")</f>
        <v>May 2024</v>
      </c>
    </row>
    <row r="570" spans="1:14" x14ac:dyDescent="0.3">
      <c r="A570" s="5">
        <v>45415</v>
      </c>
      <c r="B570" s="12">
        <v>8110.5</v>
      </c>
      <c r="C570" s="12">
        <v>133.5</v>
      </c>
      <c r="D570" s="2" t="s">
        <v>10</v>
      </c>
      <c r="E570" s="2" t="s">
        <v>7</v>
      </c>
      <c r="F570" s="1">
        <v>4677</v>
      </c>
      <c r="G570" s="13">
        <v>7629.1973926000846</v>
      </c>
      <c r="H570" s="14" t="b">
        <v>0</v>
      </c>
      <c r="I570" s="15">
        <f t="shared" si="32"/>
        <v>8111</v>
      </c>
      <c r="J570" s="15">
        <f t="shared" si="32"/>
        <v>134</v>
      </c>
      <c r="K570" s="15">
        <f t="shared" si="33"/>
        <v>7629</v>
      </c>
      <c r="L570" s="3" t="str">
        <f t="shared" si="34"/>
        <v>Friday</v>
      </c>
      <c r="M570" s="4" t="str">
        <f t="shared" si="35"/>
        <v>Normal Day</v>
      </c>
      <c r="N570" s="4" t="str">
        <f>TEXT(CleanedData[[#This Row],[DAY]], "mmm yyyy")</f>
        <v>May 2024</v>
      </c>
    </row>
    <row r="571" spans="1:14" x14ac:dyDescent="0.3">
      <c r="A571" s="5">
        <v>45416</v>
      </c>
      <c r="B571" s="12">
        <v>852</v>
      </c>
      <c r="C571" s="12">
        <v>66</v>
      </c>
      <c r="D571" s="2" t="s">
        <v>6</v>
      </c>
      <c r="E571" s="2" t="s">
        <v>8</v>
      </c>
      <c r="F571" s="1">
        <v>128</v>
      </c>
      <c r="G571" s="13">
        <v>764.29725094553874</v>
      </c>
      <c r="H571" s="14" t="b">
        <v>0</v>
      </c>
      <c r="I571" s="15">
        <f t="shared" si="32"/>
        <v>852</v>
      </c>
      <c r="J571" s="15">
        <f t="shared" si="32"/>
        <v>66</v>
      </c>
      <c r="K571" s="15">
        <f t="shared" si="33"/>
        <v>764</v>
      </c>
      <c r="L571" s="3" t="str">
        <f t="shared" si="34"/>
        <v>Saturday</v>
      </c>
      <c r="M571" s="4" t="str">
        <f t="shared" si="35"/>
        <v>Normal Day</v>
      </c>
      <c r="N571" s="4" t="str">
        <f>TEXT(CleanedData[[#This Row],[DAY]], "mmm yyyy")</f>
        <v>May 2024</v>
      </c>
    </row>
    <row r="572" spans="1:14" x14ac:dyDescent="0.3">
      <c r="A572" s="5">
        <v>45416</v>
      </c>
      <c r="B572" s="12">
        <v>1284</v>
      </c>
      <c r="C572" s="12">
        <v>66</v>
      </c>
      <c r="D572" s="2" t="s">
        <v>6</v>
      </c>
      <c r="E572" s="2" t="s">
        <v>7</v>
      </c>
      <c r="F572" s="1">
        <v>721</v>
      </c>
      <c r="G572" s="13">
        <v>1190.6443280054682</v>
      </c>
      <c r="H572" s="14" t="b">
        <v>0</v>
      </c>
      <c r="I572" s="15">
        <f t="shared" si="32"/>
        <v>1284</v>
      </c>
      <c r="J572" s="15">
        <f t="shared" si="32"/>
        <v>66</v>
      </c>
      <c r="K572" s="15">
        <f t="shared" si="33"/>
        <v>1191</v>
      </c>
      <c r="L572" s="3" t="str">
        <f t="shared" si="34"/>
        <v>Saturday</v>
      </c>
      <c r="M572" s="4" t="str">
        <f t="shared" si="35"/>
        <v>Normal Day</v>
      </c>
      <c r="N572" s="4" t="str">
        <f>TEXT(CleanedData[[#This Row],[DAY]], "mmm yyyy")</f>
        <v>May 2024</v>
      </c>
    </row>
    <row r="573" spans="1:14" x14ac:dyDescent="0.3">
      <c r="A573" s="5">
        <v>45416</v>
      </c>
      <c r="B573" s="12">
        <v>2767.5</v>
      </c>
      <c r="C573" s="12">
        <v>55.5</v>
      </c>
      <c r="D573" s="2" t="s">
        <v>9</v>
      </c>
      <c r="E573" s="2" t="s">
        <v>8</v>
      </c>
      <c r="F573" s="1">
        <v>1548</v>
      </c>
      <c r="G573" s="13">
        <v>2414.1165302199929</v>
      </c>
      <c r="H573" s="14" t="b">
        <v>0</v>
      </c>
      <c r="I573" s="15">
        <f t="shared" si="32"/>
        <v>2768</v>
      </c>
      <c r="J573" s="15">
        <f t="shared" si="32"/>
        <v>56</v>
      </c>
      <c r="K573" s="15">
        <f t="shared" si="33"/>
        <v>2414</v>
      </c>
      <c r="L573" s="3" t="str">
        <f t="shared" si="34"/>
        <v>Saturday</v>
      </c>
      <c r="M573" s="4" t="str">
        <f t="shared" si="35"/>
        <v>Normal Day</v>
      </c>
      <c r="N573" s="4" t="str">
        <f>TEXT(CleanedData[[#This Row],[DAY]], "mmm yyyy")</f>
        <v>May 2024</v>
      </c>
    </row>
    <row r="574" spans="1:14" x14ac:dyDescent="0.3">
      <c r="A574" s="5">
        <v>45416</v>
      </c>
      <c r="B574" s="12">
        <v>7675.5</v>
      </c>
      <c r="C574" s="12">
        <v>51</v>
      </c>
      <c r="D574" s="2" t="s">
        <v>10</v>
      </c>
      <c r="E574" s="2" t="s">
        <v>7</v>
      </c>
      <c r="F574" s="1">
        <v>185</v>
      </c>
      <c r="G574" s="13">
        <v>6820.4183468396968</v>
      </c>
      <c r="H574" s="14" t="b">
        <v>0</v>
      </c>
      <c r="I574" s="15">
        <f t="shared" si="32"/>
        <v>7676</v>
      </c>
      <c r="J574" s="15">
        <f t="shared" si="32"/>
        <v>51</v>
      </c>
      <c r="K574" s="15">
        <f t="shared" si="33"/>
        <v>6820</v>
      </c>
      <c r="L574" s="3" t="str">
        <f t="shared" si="34"/>
        <v>Saturday</v>
      </c>
      <c r="M574" s="4" t="str">
        <f t="shared" si="35"/>
        <v>Normal Day</v>
      </c>
      <c r="N574" s="4" t="str">
        <f>TEXT(CleanedData[[#This Row],[DAY]], "mmm yyyy")</f>
        <v>May 2024</v>
      </c>
    </row>
    <row r="575" spans="1:14" x14ac:dyDescent="0.3">
      <c r="A575" s="5">
        <v>45417</v>
      </c>
      <c r="B575" s="12">
        <v>634.5</v>
      </c>
      <c r="C575" s="12">
        <v>61.5</v>
      </c>
      <c r="D575" s="2" t="s">
        <v>6</v>
      </c>
      <c r="E575" s="2" t="s">
        <v>8</v>
      </c>
      <c r="F575" s="1">
        <v>197</v>
      </c>
      <c r="G575" s="13">
        <v>557.25922497572162</v>
      </c>
      <c r="H575" s="14" t="b">
        <v>1</v>
      </c>
      <c r="I575" s="15">
        <f t="shared" si="32"/>
        <v>635</v>
      </c>
      <c r="J575" s="15">
        <f t="shared" si="32"/>
        <v>62</v>
      </c>
      <c r="K575" s="15">
        <f t="shared" si="33"/>
        <v>557</v>
      </c>
      <c r="L575" s="3" t="str">
        <f t="shared" si="34"/>
        <v>Sunday</v>
      </c>
      <c r="M575" s="4" t="str">
        <f t="shared" si="35"/>
        <v>Outage Day</v>
      </c>
      <c r="N575" s="4" t="str">
        <f>TEXT(CleanedData[[#This Row],[DAY]], "mmm yyyy")</f>
        <v>May 2024</v>
      </c>
    </row>
    <row r="576" spans="1:14" x14ac:dyDescent="0.3">
      <c r="A576" s="5">
        <v>45417</v>
      </c>
      <c r="B576" s="12">
        <v>1029</v>
      </c>
      <c r="C576" s="12">
        <v>61.5</v>
      </c>
      <c r="D576" s="2" t="s">
        <v>6</v>
      </c>
      <c r="E576" s="2" t="s">
        <v>7</v>
      </c>
      <c r="F576" s="1">
        <v>628</v>
      </c>
      <c r="G576" s="13">
        <v>1011.2215811571726</v>
      </c>
      <c r="H576" s="14" t="b">
        <v>0</v>
      </c>
      <c r="I576" s="15">
        <f t="shared" si="32"/>
        <v>1029</v>
      </c>
      <c r="J576" s="15">
        <f t="shared" si="32"/>
        <v>62</v>
      </c>
      <c r="K576" s="15">
        <f t="shared" si="33"/>
        <v>1011</v>
      </c>
      <c r="L576" s="3" t="str">
        <f t="shared" si="34"/>
        <v>Sunday</v>
      </c>
      <c r="M576" s="4" t="str">
        <f t="shared" si="35"/>
        <v>Normal Day</v>
      </c>
      <c r="N576" s="4" t="str">
        <f>TEXT(CleanedData[[#This Row],[DAY]], "mmm yyyy")</f>
        <v>May 2024</v>
      </c>
    </row>
    <row r="577" spans="1:14" x14ac:dyDescent="0.3">
      <c r="A577" s="5">
        <v>45417</v>
      </c>
      <c r="B577" s="12">
        <v>5208</v>
      </c>
      <c r="C577" s="12">
        <v>222</v>
      </c>
      <c r="D577" s="2" t="s">
        <v>9</v>
      </c>
      <c r="E577" s="2" t="s">
        <v>8</v>
      </c>
      <c r="F577" s="1">
        <v>1993</v>
      </c>
      <c r="G577" s="13">
        <v>4675.0900171079429</v>
      </c>
      <c r="H577" s="14" t="b">
        <v>0</v>
      </c>
      <c r="I577" s="15">
        <f t="shared" si="32"/>
        <v>5208</v>
      </c>
      <c r="J577" s="15">
        <f t="shared" si="32"/>
        <v>222</v>
      </c>
      <c r="K577" s="15">
        <f t="shared" si="33"/>
        <v>4675</v>
      </c>
      <c r="L577" s="3" t="str">
        <f t="shared" si="34"/>
        <v>Sunday</v>
      </c>
      <c r="M577" s="4" t="str">
        <f t="shared" si="35"/>
        <v>Normal Day</v>
      </c>
      <c r="N577" s="4" t="str">
        <f>TEXT(CleanedData[[#This Row],[DAY]], "mmm yyyy")</f>
        <v>May 2024</v>
      </c>
    </row>
    <row r="578" spans="1:14" x14ac:dyDescent="0.3">
      <c r="A578" s="5">
        <v>45417</v>
      </c>
      <c r="B578" s="12">
        <v>9735</v>
      </c>
      <c r="C578" s="12">
        <v>516</v>
      </c>
      <c r="D578" s="2" t="s">
        <v>10</v>
      </c>
      <c r="E578" s="2" t="s">
        <v>7</v>
      </c>
      <c r="F578" s="1">
        <v>2781</v>
      </c>
      <c r="G578" s="13">
        <v>8938.5677181487026</v>
      </c>
      <c r="H578" s="14" t="b">
        <v>1</v>
      </c>
      <c r="I578" s="15">
        <f t="shared" ref="I578:J641" si="36">ROUND(B578, 0)</f>
        <v>9735</v>
      </c>
      <c r="J578" s="15">
        <f t="shared" si="36"/>
        <v>516</v>
      </c>
      <c r="K578" s="15">
        <f t="shared" ref="K578:K641" si="37">ROUND(G578, 0)</f>
        <v>8939</v>
      </c>
      <c r="L578" s="3" t="str">
        <f t="shared" si="34"/>
        <v>Sunday</v>
      </c>
      <c r="M578" s="4" t="str">
        <f t="shared" si="35"/>
        <v>Outage Day</v>
      </c>
      <c r="N578" s="4" t="str">
        <f>TEXT(CleanedData[[#This Row],[DAY]], "mmm yyyy")</f>
        <v>May 2024</v>
      </c>
    </row>
    <row r="579" spans="1:14" x14ac:dyDescent="0.3">
      <c r="A579" s="5">
        <v>45418</v>
      </c>
      <c r="B579" s="12">
        <v>1.5</v>
      </c>
      <c r="C579" s="12">
        <v>0</v>
      </c>
      <c r="D579" s="2" t="s">
        <v>9</v>
      </c>
      <c r="E579" s="2" t="s">
        <v>7</v>
      </c>
      <c r="F579" s="1">
        <v>1</v>
      </c>
      <c r="G579" s="13">
        <v>1.3720017636468809</v>
      </c>
      <c r="H579" s="14" t="b">
        <v>0</v>
      </c>
      <c r="I579" s="15">
        <f t="shared" si="36"/>
        <v>2</v>
      </c>
      <c r="J579" s="15">
        <f t="shared" si="36"/>
        <v>0</v>
      </c>
      <c r="K579" s="15">
        <f t="shared" si="37"/>
        <v>1</v>
      </c>
      <c r="L579" s="3" t="str">
        <f t="shared" ref="L579:L642" si="38">TEXT(A579,"dddd")</f>
        <v>Monday</v>
      </c>
      <c r="M579" s="4" t="str">
        <f t="shared" ref="M579:M642" si="39">IF(H579=TRUE, "Outage Day", "Normal Day")</f>
        <v>Normal Day</v>
      </c>
      <c r="N579" s="4" t="str">
        <f>TEXT(CleanedData[[#This Row],[DAY]], "mmm yyyy")</f>
        <v>May 2024</v>
      </c>
    </row>
    <row r="580" spans="1:14" x14ac:dyDescent="0.3">
      <c r="A580" s="5">
        <v>45418</v>
      </c>
      <c r="B580" s="12">
        <v>829.5</v>
      </c>
      <c r="C580" s="12">
        <v>7.5</v>
      </c>
      <c r="D580" s="2" t="s">
        <v>6</v>
      </c>
      <c r="E580" s="2" t="s">
        <v>7</v>
      </c>
      <c r="F580" s="1">
        <v>86</v>
      </c>
      <c r="G580" s="13">
        <v>735.76257441132054</v>
      </c>
      <c r="H580" s="14" t="b">
        <v>0</v>
      </c>
      <c r="I580" s="15">
        <f t="shared" si="36"/>
        <v>830</v>
      </c>
      <c r="J580" s="15">
        <f t="shared" si="36"/>
        <v>8</v>
      </c>
      <c r="K580" s="15">
        <f t="shared" si="37"/>
        <v>736</v>
      </c>
      <c r="L580" s="3" t="str">
        <f t="shared" si="38"/>
        <v>Monday</v>
      </c>
      <c r="M580" s="4" t="str">
        <f t="shared" si="39"/>
        <v>Normal Day</v>
      </c>
      <c r="N580" s="4" t="str">
        <f>TEXT(CleanedData[[#This Row],[DAY]], "mmm yyyy")</f>
        <v>May 2024</v>
      </c>
    </row>
    <row r="581" spans="1:14" x14ac:dyDescent="0.3">
      <c r="A581" s="5">
        <v>45418</v>
      </c>
      <c r="B581" s="12">
        <v>993</v>
      </c>
      <c r="C581" s="12">
        <v>7.5</v>
      </c>
      <c r="D581" s="2" t="s">
        <v>6</v>
      </c>
      <c r="E581" s="2" t="s">
        <v>8</v>
      </c>
      <c r="F581" s="1">
        <v>18</v>
      </c>
      <c r="G581" s="13">
        <v>841.97158452877409</v>
      </c>
      <c r="H581" s="14" t="b">
        <v>0</v>
      </c>
      <c r="I581" s="15">
        <f t="shared" si="36"/>
        <v>993</v>
      </c>
      <c r="J581" s="15">
        <f t="shared" si="36"/>
        <v>8</v>
      </c>
      <c r="K581" s="15">
        <f t="shared" si="37"/>
        <v>842</v>
      </c>
      <c r="L581" s="3" t="str">
        <f t="shared" si="38"/>
        <v>Monday</v>
      </c>
      <c r="M581" s="4" t="str">
        <f t="shared" si="39"/>
        <v>Normal Day</v>
      </c>
      <c r="N581" s="4" t="str">
        <f>TEXT(CleanedData[[#This Row],[DAY]], "mmm yyyy")</f>
        <v>May 2024</v>
      </c>
    </row>
    <row r="582" spans="1:14" x14ac:dyDescent="0.3">
      <c r="A582" s="5">
        <v>45418</v>
      </c>
      <c r="B582" s="12">
        <v>4185</v>
      </c>
      <c r="C582" s="12">
        <v>91.5</v>
      </c>
      <c r="D582" s="2" t="s">
        <v>9</v>
      </c>
      <c r="E582" s="2" t="s">
        <v>8</v>
      </c>
      <c r="F582" s="1">
        <v>2201</v>
      </c>
      <c r="G582" s="13">
        <v>3787.6334328614425</v>
      </c>
      <c r="H582" s="14" t="b">
        <v>0</v>
      </c>
      <c r="I582" s="15">
        <f t="shared" si="36"/>
        <v>4185</v>
      </c>
      <c r="J582" s="15">
        <f t="shared" si="36"/>
        <v>92</v>
      </c>
      <c r="K582" s="15">
        <f t="shared" si="37"/>
        <v>3788</v>
      </c>
      <c r="L582" s="3" t="str">
        <f t="shared" si="38"/>
        <v>Monday</v>
      </c>
      <c r="M582" s="4" t="str">
        <f t="shared" si="39"/>
        <v>Normal Day</v>
      </c>
      <c r="N582" s="4" t="str">
        <f>TEXT(CleanedData[[#This Row],[DAY]], "mmm yyyy")</f>
        <v>May 2024</v>
      </c>
    </row>
    <row r="583" spans="1:14" x14ac:dyDescent="0.3">
      <c r="A583" s="5">
        <v>45418</v>
      </c>
      <c r="B583" s="12">
        <v>8106</v>
      </c>
      <c r="C583" s="12">
        <v>360</v>
      </c>
      <c r="D583" s="2" t="s">
        <v>10</v>
      </c>
      <c r="E583" s="2" t="s">
        <v>7</v>
      </c>
      <c r="F583" s="1">
        <v>2778</v>
      </c>
      <c r="G583" s="13">
        <v>7716.785741050855</v>
      </c>
      <c r="H583" s="14" t="b">
        <v>0</v>
      </c>
      <c r="I583" s="15">
        <f t="shared" si="36"/>
        <v>8106</v>
      </c>
      <c r="J583" s="15">
        <f t="shared" si="36"/>
        <v>360</v>
      </c>
      <c r="K583" s="15">
        <f t="shared" si="37"/>
        <v>7717</v>
      </c>
      <c r="L583" s="3" t="str">
        <f t="shared" si="38"/>
        <v>Monday</v>
      </c>
      <c r="M583" s="4" t="str">
        <f t="shared" si="39"/>
        <v>Normal Day</v>
      </c>
      <c r="N583" s="4" t="str">
        <f>TEXT(CleanedData[[#This Row],[DAY]], "mmm yyyy")</f>
        <v>May 2024</v>
      </c>
    </row>
    <row r="584" spans="1:14" x14ac:dyDescent="0.3">
      <c r="A584" s="5">
        <v>45419</v>
      </c>
      <c r="B584" s="12">
        <v>1.5</v>
      </c>
      <c r="C584" s="12">
        <v>0</v>
      </c>
      <c r="D584" s="2" t="s">
        <v>9</v>
      </c>
      <c r="E584" s="2" t="s">
        <v>7</v>
      </c>
      <c r="F584" s="1">
        <v>1</v>
      </c>
      <c r="G584" s="13">
        <v>1.346150385788349</v>
      </c>
      <c r="H584" s="14" t="b">
        <v>0</v>
      </c>
      <c r="I584" s="15">
        <f t="shared" si="36"/>
        <v>2</v>
      </c>
      <c r="J584" s="15">
        <f t="shared" si="36"/>
        <v>0</v>
      </c>
      <c r="K584" s="15">
        <f t="shared" si="37"/>
        <v>1</v>
      </c>
      <c r="L584" s="3" t="str">
        <f t="shared" si="38"/>
        <v>Tuesday</v>
      </c>
      <c r="M584" s="4" t="str">
        <f t="shared" si="39"/>
        <v>Normal Day</v>
      </c>
      <c r="N584" s="4" t="str">
        <f>TEXT(CleanedData[[#This Row],[DAY]], "mmm yyyy")</f>
        <v>May 2024</v>
      </c>
    </row>
    <row r="585" spans="1:14" x14ac:dyDescent="0.3">
      <c r="A585" s="5">
        <v>45419</v>
      </c>
      <c r="B585" s="12">
        <v>541.5</v>
      </c>
      <c r="C585" s="12">
        <v>28.5</v>
      </c>
      <c r="D585" s="2" t="s">
        <v>6</v>
      </c>
      <c r="E585" s="2" t="s">
        <v>8</v>
      </c>
      <c r="F585" s="1">
        <v>278</v>
      </c>
      <c r="G585" s="13">
        <v>460.04186809418098</v>
      </c>
      <c r="H585" s="14" t="b">
        <v>0</v>
      </c>
      <c r="I585" s="15">
        <f t="shared" si="36"/>
        <v>542</v>
      </c>
      <c r="J585" s="15">
        <f t="shared" si="36"/>
        <v>29</v>
      </c>
      <c r="K585" s="15">
        <f t="shared" si="37"/>
        <v>460</v>
      </c>
      <c r="L585" s="3" t="str">
        <f t="shared" si="38"/>
        <v>Tuesday</v>
      </c>
      <c r="M585" s="4" t="str">
        <f t="shared" si="39"/>
        <v>Normal Day</v>
      </c>
      <c r="N585" s="4" t="str">
        <f>TEXT(CleanedData[[#This Row],[DAY]], "mmm yyyy")</f>
        <v>May 2024</v>
      </c>
    </row>
    <row r="586" spans="1:14" x14ac:dyDescent="0.3">
      <c r="A586" s="5">
        <v>45419</v>
      </c>
      <c r="B586" s="12">
        <v>643.5</v>
      </c>
      <c r="C586" s="12">
        <v>28.5</v>
      </c>
      <c r="D586" s="2" t="s">
        <v>6</v>
      </c>
      <c r="E586" s="2" t="s">
        <v>7</v>
      </c>
      <c r="F586" s="1">
        <v>356</v>
      </c>
      <c r="G586" s="13">
        <v>624.94484945300155</v>
      </c>
      <c r="H586" s="14" t="b">
        <v>0</v>
      </c>
      <c r="I586" s="15">
        <f t="shared" si="36"/>
        <v>644</v>
      </c>
      <c r="J586" s="15">
        <f t="shared" si="36"/>
        <v>29</v>
      </c>
      <c r="K586" s="15">
        <f t="shared" si="37"/>
        <v>625</v>
      </c>
      <c r="L586" s="3" t="str">
        <f t="shared" si="38"/>
        <v>Tuesday</v>
      </c>
      <c r="M586" s="4" t="str">
        <f t="shared" si="39"/>
        <v>Normal Day</v>
      </c>
      <c r="N586" s="4" t="str">
        <f>TEXT(CleanedData[[#This Row],[DAY]], "mmm yyyy")</f>
        <v>May 2024</v>
      </c>
    </row>
    <row r="587" spans="1:14" x14ac:dyDescent="0.3">
      <c r="A587" s="5">
        <v>45419</v>
      </c>
      <c r="B587" s="12">
        <v>3267</v>
      </c>
      <c r="C587" s="12">
        <v>73.5</v>
      </c>
      <c r="D587" s="2" t="s">
        <v>9</v>
      </c>
      <c r="E587" s="2" t="s">
        <v>8</v>
      </c>
      <c r="F587" s="1">
        <v>1003</v>
      </c>
      <c r="G587" s="13">
        <v>2703.1473246459204</v>
      </c>
      <c r="H587" s="14" t="b">
        <v>0</v>
      </c>
      <c r="I587" s="15">
        <f t="shared" si="36"/>
        <v>3267</v>
      </c>
      <c r="J587" s="15">
        <f t="shared" si="36"/>
        <v>74</v>
      </c>
      <c r="K587" s="15">
        <f t="shared" si="37"/>
        <v>2703</v>
      </c>
      <c r="L587" s="3" t="str">
        <f t="shared" si="38"/>
        <v>Tuesday</v>
      </c>
      <c r="M587" s="4" t="str">
        <f t="shared" si="39"/>
        <v>Normal Day</v>
      </c>
      <c r="N587" s="4" t="str">
        <f>TEXT(CleanedData[[#This Row],[DAY]], "mmm yyyy")</f>
        <v>May 2024</v>
      </c>
    </row>
    <row r="588" spans="1:14" x14ac:dyDescent="0.3">
      <c r="A588" s="5">
        <v>45419</v>
      </c>
      <c r="B588" s="12">
        <v>5239.5</v>
      </c>
      <c r="C588" s="12">
        <v>165</v>
      </c>
      <c r="D588" s="2" t="s">
        <v>10</v>
      </c>
      <c r="E588" s="2" t="s">
        <v>7</v>
      </c>
      <c r="F588" s="1">
        <v>313</v>
      </c>
      <c r="G588" s="13">
        <v>4865.8723728711311</v>
      </c>
      <c r="H588" s="14" t="b">
        <v>0</v>
      </c>
      <c r="I588" s="15">
        <f t="shared" si="36"/>
        <v>5240</v>
      </c>
      <c r="J588" s="15">
        <f t="shared" si="36"/>
        <v>165</v>
      </c>
      <c r="K588" s="15">
        <f t="shared" si="37"/>
        <v>4866</v>
      </c>
      <c r="L588" s="3" t="str">
        <f t="shared" si="38"/>
        <v>Tuesday</v>
      </c>
      <c r="M588" s="4" t="str">
        <f t="shared" si="39"/>
        <v>Normal Day</v>
      </c>
      <c r="N588" s="4" t="str">
        <f>TEXT(CleanedData[[#This Row],[DAY]], "mmm yyyy")</f>
        <v>May 2024</v>
      </c>
    </row>
    <row r="589" spans="1:14" x14ac:dyDescent="0.3">
      <c r="A589" s="5">
        <v>45420</v>
      </c>
      <c r="B589" s="12">
        <v>480</v>
      </c>
      <c r="C589" s="12">
        <v>21</v>
      </c>
      <c r="D589" s="2" t="s">
        <v>6</v>
      </c>
      <c r="E589" s="2" t="s">
        <v>8</v>
      </c>
      <c r="F589" s="1">
        <v>3</v>
      </c>
      <c r="G589" s="13">
        <v>425.8796363532602</v>
      </c>
      <c r="H589" s="14" t="b">
        <v>0</v>
      </c>
      <c r="I589" s="15">
        <f t="shared" si="36"/>
        <v>480</v>
      </c>
      <c r="J589" s="15">
        <f t="shared" si="36"/>
        <v>21</v>
      </c>
      <c r="K589" s="15">
        <f t="shared" si="37"/>
        <v>426</v>
      </c>
      <c r="L589" s="3" t="str">
        <f t="shared" si="38"/>
        <v>Wednesday</v>
      </c>
      <c r="M589" s="4" t="str">
        <f t="shared" si="39"/>
        <v>Normal Day</v>
      </c>
      <c r="N589" s="4" t="str">
        <f>TEXT(CleanedData[[#This Row],[DAY]], "mmm yyyy")</f>
        <v>May 2024</v>
      </c>
    </row>
    <row r="590" spans="1:14" x14ac:dyDescent="0.3">
      <c r="A590" s="5">
        <v>45420</v>
      </c>
      <c r="B590" s="12">
        <v>721.5</v>
      </c>
      <c r="C590" s="12">
        <v>21</v>
      </c>
      <c r="D590" s="2" t="s">
        <v>6</v>
      </c>
      <c r="E590" s="2" t="s">
        <v>7</v>
      </c>
      <c r="F590" s="1">
        <v>24</v>
      </c>
      <c r="G590" s="13">
        <v>693.30052234748791</v>
      </c>
      <c r="H590" s="14" t="b">
        <v>0</v>
      </c>
      <c r="I590" s="15">
        <f t="shared" si="36"/>
        <v>722</v>
      </c>
      <c r="J590" s="15">
        <f t="shared" si="36"/>
        <v>21</v>
      </c>
      <c r="K590" s="15">
        <f t="shared" si="37"/>
        <v>693</v>
      </c>
      <c r="L590" s="3" t="str">
        <f t="shared" si="38"/>
        <v>Wednesday</v>
      </c>
      <c r="M590" s="4" t="str">
        <f t="shared" si="39"/>
        <v>Normal Day</v>
      </c>
      <c r="N590" s="4" t="str">
        <f>TEXT(CleanedData[[#This Row],[DAY]], "mmm yyyy")</f>
        <v>May 2024</v>
      </c>
    </row>
    <row r="591" spans="1:14" x14ac:dyDescent="0.3">
      <c r="A591" s="5">
        <v>45420</v>
      </c>
      <c r="B591" s="12">
        <v>2590.5</v>
      </c>
      <c r="C591" s="12">
        <v>105</v>
      </c>
      <c r="D591" s="2" t="s">
        <v>9</v>
      </c>
      <c r="E591" s="2" t="s">
        <v>8</v>
      </c>
      <c r="F591" s="1">
        <v>883</v>
      </c>
      <c r="G591" s="13">
        <v>2320.7089901075351</v>
      </c>
      <c r="H591" s="14" t="b">
        <v>0</v>
      </c>
      <c r="I591" s="15">
        <f t="shared" si="36"/>
        <v>2591</v>
      </c>
      <c r="J591" s="15">
        <f t="shared" si="36"/>
        <v>105</v>
      </c>
      <c r="K591" s="15">
        <f t="shared" si="37"/>
        <v>2321</v>
      </c>
      <c r="L591" s="3" t="str">
        <f t="shared" si="38"/>
        <v>Wednesday</v>
      </c>
      <c r="M591" s="4" t="str">
        <f t="shared" si="39"/>
        <v>Normal Day</v>
      </c>
      <c r="N591" s="4" t="str">
        <f>TEXT(CleanedData[[#This Row],[DAY]], "mmm yyyy")</f>
        <v>May 2024</v>
      </c>
    </row>
    <row r="592" spans="1:14" x14ac:dyDescent="0.3">
      <c r="A592" s="5">
        <v>45420</v>
      </c>
      <c r="B592" s="12">
        <v>5071.5</v>
      </c>
      <c r="C592" s="12">
        <v>295.5</v>
      </c>
      <c r="D592" s="2" t="s">
        <v>10</v>
      </c>
      <c r="E592" s="2" t="s">
        <v>7</v>
      </c>
      <c r="F592" s="1">
        <v>2561</v>
      </c>
      <c r="G592" s="13">
        <v>4740.4867492610465</v>
      </c>
      <c r="H592" s="14" t="b">
        <v>0</v>
      </c>
      <c r="I592" s="15">
        <f t="shared" si="36"/>
        <v>5072</v>
      </c>
      <c r="J592" s="15">
        <f t="shared" si="36"/>
        <v>296</v>
      </c>
      <c r="K592" s="15">
        <f t="shared" si="37"/>
        <v>4740</v>
      </c>
      <c r="L592" s="3" t="str">
        <f t="shared" si="38"/>
        <v>Wednesday</v>
      </c>
      <c r="M592" s="4" t="str">
        <f t="shared" si="39"/>
        <v>Normal Day</v>
      </c>
      <c r="N592" s="4" t="str">
        <f>TEXT(CleanedData[[#This Row],[DAY]], "mmm yyyy")</f>
        <v>May 2024</v>
      </c>
    </row>
    <row r="593" spans="1:14" x14ac:dyDescent="0.3">
      <c r="A593" s="5">
        <v>45421</v>
      </c>
      <c r="B593" s="12">
        <v>598.5</v>
      </c>
      <c r="C593" s="12">
        <v>9</v>
      </c>
      <c r="D593" s="2" t="s">
        <v>6</v>
      </c>
      <c r="E593" s="2" t="s">
        <v>7</v>
      </c>
      <c r="F593" s="1">
        <v>326</v>
      </c>
      <c r="G593" s="13">
        <v>530.31156751475203</v>
      </c>
      <c r="H593" s="14" t="b">
        <v>0</v>
      </c>
      <c r="I593" s="15">
        <f t="shared" si="36"/>
        <v>599</v>
      </c>
      <c r="J593" s="15">
        <f t="shared" si="36"/>
        <v>9</v>
      </c>
      <c r="K593" s="15">
        <f t="shared" si="37"/>
        <v>530</v>
      </c>
      <c r="L593" s="3" t="str">
        <f t="shared" si="38"/>
        <v>Thursday</v>
      </c>
      <c r="M593" s="4" t="str">
        <f t="shared" si="39"/>
        <v>Normal Day</v>
      </c>
      <c r="N593" s="4" t="str">
        <f>TEXT(CleanedData[[#This Row],[DAY]], "mmm yyyy")</f>
        <v>May 2024</v>
      </c>
    </row>
    <row r="594" spans="1:14" x14ac:dyDescent="0.3">
      <c r="A594" s="5">
        <v>45421</v>
      </c>
      <c r="B594" s="12">
        <v>762</v>
      </c>
      <c r="C594" s="12">
        <v>9</v>
      </c>
      <c r="D594" s="2" t="s">
        <v>6</v>
      </c>
      <c r="E594" s="2" t="s">
        <v>8</v>
      </c>
      <c r="F594" s="1">
        <v>286</v>
      </c>
      <c r="G594" s="13">
        <v>654.58875140912517</v>
      </c>
      <c r="H594" s="14" t="b">
        <v>0</v>
      </c>
      <c r="I594" s="15">
        <f t="shared" si="36"/>
        <v>762</v>
      </c>
      <c r="J594" s="15">
        <f t="shared" si="36"/>
        <v>9</v>
      </c>
      <c r="K594" s="15">
        <f t="shared" si="37"/>
        <v>655</v>
      </c>
      <c r="L594" s="3" t="str">
        <f t="shared" si="38"/>
        <v>Thursday</v>
      </c>
      <c r="M594" s="4" t="str">
        <f t="shared" si="39"/>
        <v>Normal Day</v>
      </c>
      <c r="N594" s="4" t="str">
        <f>TEXT(CleanedData[[#This Row],[DAY]], "mmm yyyy")</f>
        <v>May 2024</v>
      </c>
    </row>
    <row r="595" spans="1:14" x14ac:dyDescent="0.3">
      <c r="A595" s="5">
        <v>45421</v>
      </c>
      <c r="B595" s="12">
        <v>1890</v>
      </c>
      <c r="C595" s="12">
        <v>51</v>
      </c>
      <c r="D595" s="2" t="s">
        <v>9</v>
      </c>
      <c r="E595" s="2" t="s">
        <v>8</v>
      </c>
      <c r="F595" s="1">
        <v>1005</v>
      </c>
      <c r="G595" s="13">
        <v>1591.1199698858347</v>
      </c>
      <c r="H595" s="14" t="b">
        <v>0</v>
      </c>
      <c r="I595" s="15">
        <f t="shared" si="36"/>
        <v>1890</v>
      </c>
      <c r="J595" s="15">
        <f t="shared" si="36"/>
        <v>51</v>
      </c>
      <c r="K595" s="15">
        <f t="shared" si="37"/>
        <v>1591</v>
      </c>
      <c r="L595" s="3" t="str">
        <f t="shared" si="38"/>
        <v>Thursday</v>
      </c>
      <c r="M595" s="4" t="str">
        <f t="shared" si="39"/>
        <v>Normal Day</v>
      </c>
      <c r="N595" s="4" t="str">
        <f>TEXT(CleanedData[[#This Row],[DAY]], "mmm yyyy")</f>
        <v>May 2024</v>
      </c>
    </row>
    <row r="596" spans="1:14" x14ac:dyDescent="0.3">
      <c r="A596" s="5">
        <v>45421</v>
      </c>
      <c r="B596" s="12">
        <v>8125.5</v>
      </c>
      <c r="C596" s="12">
        <v>57</v>
      </c>
      <c r="D596" s="2" t="s">
        <v>10</v>
      </c>
      <c r="E596" s="2" t="s">
        <v>7</v>
      </c>
      <c r="F596" s="1">
        <v>3282</v>
      </c>
      <c r="G596" s="13">
        <v>7284.0354136990909</v>
      </c>
      <c r="H596" s="14" t="b">
        <v>0</v>
      </c>
      <c r="I596" s="15">
        <f t="shared" si="36"/>
        <v>8126</v>
      </c>
      <c r="J596" s="15">
        <f t="shared" si="36"/>
        <v>57</v>
      </c>
      <c r="K596" s="15">
        <f t="shared" si="37"/>
        <v>7284</v>
      </c>
      <c r="L596" s="3" t="str">
        <f t="shared" si="38"/>
        <v>Thursday</v>
      </c>
      <c r="M596" s="4" t="str">
        <f t="shared" si="39"/>
        <v>Normal Day</v>
      </c>
      <c r="N596" s="4" t="str">
        <f>TEXT(CleanedData[[#This Row],[DAY]], "mmm yyyy")</f>
        <v>May 2024</v>
      </c>
    </row>
    <row r="597" spans="1:14" x14ac:dyDescent="0.3">
      <c r="A597" s="5">
        <v>45422</v>
      </c>
      <c r="B597" s="12">
        <v>550.5</v>
      </c>
      <c r="C597" s="12">
        <v>54</v>
      </c>
      <c r="D597" s="2" t="s">
        <v>6</v>
      </c>
      <c r="E597" s="2" t="s">
        <v>8</v>
      </c>
      <c r="F597" s="1">
        <v>173</v>
      </c>
      <c r="G597" s="13">
        <v>531.26613133288686</v>
      </c>
      <c r="H597" s="14" t="b">
        <v>0</v>
      </c>
      <c r="I597" s="15">
        <f t="shared" si="36"/>
        <v>551</v>
      </c>
      <c r="J597" s="15">
        <f t="shared" si="36"/>
        <v>54</v>
      </c>
      <c r="K597" s="15">
        <f t="shared" si="37"/>
        <v>531</v>
      </c>
      <c r="L597" s="3" t="str">
        <f t="shared" si="38"/>
        <v>Friday</v>
      </c>
      <c r="M597" s="4" t="str">
        <f t="shared" si="39"/>
        <v>Normal Day</v>
      </c>
      <c r="N597" s="4" t="str">
        <f>TEXT(CleanedData[[#This Row],[DAY]], "mmm yyyy")</f>
        <v>May 2024</v>
      </c>
    </row>
    <row r="598" spans="1:14" x14ac:dyDescent="0.3">
      <c r="A598" s="5">
        <v>45422</v>
      </c>
      <c r="B598" s="12">
        <v>1411.5</v>
      </c>
      <c r="C598" s="12">
        <v>54</v>
      </c>
      <c r="D598" s="2" t="s">
        <v>6</v>
      </c>
      <c r="E598" s="2" t="s">
        <v>7</v>
      </c>
      <c r="F598" s="1">
        <v>64</v>
      </c>
      <c r="G598" s="13">
        <v>1318.9486540938701</v>
      </c>
      <c r="H598" s="14" t="b">
        <v>0</v>
      </c>
      <c r="I598" s="15">
        <f t="shared" si="36"/>
        <v>1412</v>
      </c>
      <c r="J598" s="15">
        <f t="shared" si="36"/>
        <v>54</v>
      </c>
      <c r="K598" s="15">
        <f t="shared" si="37"/>
        <v>1319</v>
      </c>
      <c r="L598" s="3" t="str">
        <f t="shared" si="38"/>
        <v>Friday</v>
      </c>
      <c r="M598" s="4" t="str">
        <f t="shared" si="39"/>
        <v>Normal Day</v>
      </c>
      <c r="N598" s="4" t="str">
        <f>TEXT(CleanedData[[#This Row],[DAY]], "mmm yyyy")</f>
        <v>May 2024</v>
      </c>
    </row>
    <row r="599" spans="1:14" x14ac:dyDescent="0.3">
      <c r="A599" s="5">
        <v>45422</v>
      </c>
      <c r="B599" s="12">
        <v>3147</v>
      </c>
      <c r="C599" s="12">
        <v>54</v>
      </c>
      <c r="D599" s="2" t="s">
        <v>9</v>
      </c>
      <c r="E599" s="2" t="s">
        <v>8</v>
      </c>
      <c r="F599" s="1">
        <v>1603</v>
      </c>
      <c r="G599" s="13">
        <v>2848.8005971527314</v>
      </c>
      <c r="H599" s="14" t="b">
        <v>0</v>
      </c>
      <c r="I599" s="15">
        <f t="shared" si="36"/>
        <v>3147</v>
      </c>
      <c r="J599" s="15">
        <f t="shared" si="36"/>
        <v>54</v>
      </c>
      <c r="K599" s="15">
        <f t="shared" si="37"/>
        <v>2849</v>
      </c>
      <c r="L599" s="3" t="str">
        <f t="shared" si="38"/>
        <v>Friday</v>
      </c>
      <c r="M599" s="4" t="str">
        <f t="shared" si="39"/>
        <v>Normal Day</v>
      </c>
      <c r="N599" s="4" t="str">
        <f>TEXT(CleanedData[[#This Row],[DAY]], "mmm yyyy")</f>
        <v>May 2024</v>
      </c>
    </row>
    <row r="600" spans="1:14" x14ac:dyDescent="0.3">
      <c r="A600" s="5">
        <v>45422</v>
      </c>
      <c r="B600" s="12">
        <v>7561.5</v>
      </c>
      <c r="C600" s="12">
        <v>414</v>
      </c>
      <c r="D600" s="2" t="s">
        <v>10</v>
      </c>
      <c r="E600" s="2" t="s">
        <v>7</v>
      </c>
      <c r="F600" s="1">
        <v>1942</v>
      </c>
      <c r="G600" s="13">
        <v>7077.3617650308161</v>
      </c>
      <c r="H600" s="14" t="b">
        <v>0</v>
      </c>
      <c r="I600" s="15">
        <f t="shared" si="36"/>
        <v>7562</v>
      </c>
      <c r="J600" s="15">
        <f t="shared" si="36"/>
        <v>414</v>
      </c>
      <c r="K600" s="15">
        <f t="shared" si="37"/>
        <v>7077</v>
      </c>
      <c r="L600" s="3" t="str">
        <f t="shared" si="38"/>
        <v>Friday</v>
      </c>
      <c r="M600" s="4" t="str">
        <f t="shared" si="39"/>
        <v>Normal Day</v>
      </c>
      <c r="N600" s="4" t="str">
        <f>TEXT(CleanedData[[#This Row],[DAY]], "mmm yyyy")</f>
        <v>May 2024</v>
      </c>
    </row>
    <row r="601" spans="1:14" x14ac:dyDescent="0.3">
      <c r="A601" s="5">
        <v>45423</v>
      </c>
      <c r="B601" s="12">
        <v>255</v>
      </c>
      <c r="C601" s="12">
        <v>1.5</v>
      </c>
      <c r="D601" s="2" t="s">
        <v>6</v>
      </c>
      <c r="E601" s="2" t="s">
        <v>8</v>
      </c>
      <c r="F601" s="1">
        <v>46</v>
      </c>
      <c r="G601" s="13">
        <v>221.64139939069153</v>
      </c>
      <c r="H601" s="14" t="b">
        <v>0</v>
      </c>
      <c r="I601" s="15">
        <f t="shared" si="36"/>
        <v>255</v>
      </c>
      <c r="J601" s="15">
        <f t="shared" si="36"/>
        <v>2</v>
      </c>
      <c r="K601" s="15">
        <f t="shared" si="37"/>
        <v>222</v>
      </c>
      <c r="L601" s="3" t="str">
        <f t="shared" si="38"/>
        <v>Saturday</v>
      </c>
      <c r="M601" s="4" t="str">
        <f t="shared" si="39"/>
        <v>Normal Day</v>
      </c>
      <c r="N601" s="4" t="str">
        <f>TEXT(CleanedData[[#This Row],[DAY]], "mmm yyyy")</f>
        <v>May 2024</v>
      </c>
    </row>
    <row r="602" spans="1:14" x14ac:dyDescent="0.3">
      <c r="A602" s="5">
        <v>45423</v>
      </c>
      <c r="B602" s="12">
        <v>691.5</v>
      </c>
      <c r="C602" s="12">
        <v>1.5</v>
      </c>
      <c r="D602" s="2" t="s">
        <v>6</v>
      </c>
      <c r="E602" s="2" t="s">
        <v>7</v>
      </c>
      <c r="F602" s="1">
        <v>192</v>
      </c>
      <c r="G602" s="13">
        <v>641.80394441164037</v>
      </c>
      <c r="H602" s="14" t="b">
        <v>0</v>
      </c>
      <c r="I602" s="15">
        <f t="shared" si="36"/>
        <v>692</v>
      </c>
      <c r="J602" s="15">
        <f t="shared" si="36"/>
        <v>2</v>
      </c>
      <c r="K602" s="15">
        <f t="shared" si="37"/>
        <v>642</v>
      </c>
      <c r="L602" s="3" t="str">
        <f t="shared" si="38"/>
        <v>Saturday</v>
      </c>
      <c r="M602" s="4" t="str">
        <f t="shared" si="39"/>
        <v>Normal Day</v>
      </c>
      <c r="N602" s="4" t="str">
        <f>TEXT(CleanedData[[#This Row],[DAY]], "mmm yyyy")</f>
        <v>May 2024</v>
      </c>
    </row>
    <row r="603" spans="1:14" x14ac:dyDescent="0.3">
      <c r="A603" s="5">
        <v>45423</v>
      </c>
      <c r="B603" s="12">
        <v>1968</v>
      </c>
      <c r="C603" s="12">
        <v>73.5</v>
      </c>
      <c r="D603" s="2" t="s">
        <v>9</v>
      </c>
      <c r="E603" s="2" t="s">
        <v>8</v>
      </c>
      <c r="F603" s="1">
        <v>718</v>
      </c>
      <c r="G603" s="13">
        <v>1691.2157319219016</v>
      </c>
      <c r="H603" s="14" t="b">
        <v>0</v>
      </c>
      <c r="I603" s="15">
        <f t="shared" si="36"/>
        <v>1968</v>
      </c>
      <c r="J603" s="15">
        <f t="shared" si="36"/>
        <v>74</v>
      </c>
      <c r="K603" s="15">
        <f t="shared" si="37"/>
        <v>1691</v>
      </c>
      <c r="L603" s="3" t="str">
        <f t="shared" si="38"/>
        <v>Saturday</v>
      </c>
      <c r="M603" s="4" t="str">
        <f t="shared" si="39"/>
        <v>Normal Day</v>
      </c>
      <c r="N603" s="4" t="str">
        <f>TEXT(CleanedData[[#This Row],[DAY]], "mmm yyyy")</f>
        <v>May 2024</v>
      </c>
    </row>
    <row r="604" spans="1:14" x14ac:dyDescent="0.3">
      <c r="A604" s="5">
        <v>45423</v>
      </c>
      <c r="B604" s="12">
        <v>7957.5</v>
      </c>
      <c r="C604" s="12">
        <v>433.5</v>
      </c>
      <c r="D604" s="2" t="s">
        <v>10</v>
      </c>
      <c r="E604" s="2" t="s">
        <v>7</v>
      </c>
      <c r="F604" s="1">
        <v>5252</v>
      </c>
      <c r="G604" s="13">
        <v>7836.1417755302782</v>
      </c>
      <c r="H604" s="14" t="b">
        <v>0</v>
      </c>
      <c r="I604" s="15">
        <f t="shared" si="36"/>
        <v>7958</v>
      </c>
      <c r="J604" s="15">
        <f t="shared" si="36"/>
        <v>434</v>
      </c>
      <c r="K604" s="15">
        <f t="shared" si="37"/>
        <v>7836</v>
      </c>
      <c r="L604" s="3" t="str">
        <f t="shared" si="38"/>
        <v>Saturday</v>
      </c>
      <c r="M604" s="4" t="str">
        <f t="shared" si="39"/>
        <v>Normal Day</v>
      </c>
      <c r="N604" s="4" t="str">
        <f>TEXT(CleanedData[[#This Row],[DAY]], "mmm yyyy")</f>
        <v>May 2024</v>
      </c>
    </row>
    <row r="605" spans="1:14" x14ac:dyDescent="0.3">
      <c r="A605" s="5">
        <v>45424</v>
      </c>
      <c r="B605" s="12">
        <v>1206</v>
      </c>
      <c r="C605" s="12">
        <v>21</v>
      </c>
      <c r="D605" s="2" t="s">
        <v>6</v>
      </c>
      <c r="E605" s="2" t="s">
        <v>8</v>
      </c>
      <c r="F605" s="1">
        <v>36</v>
      </c>
      <c r="G605" s="13">
        <v>1027.214706390291</v>
      </c>
      <c r="H605" s="14" t="b">
        <v>0</v>
      </c>
      <c r="I605" s="15">
        <f t="shared" si="36"/>
        <v>1206</v>
      </c>
      <c r="J605" s="15">
        <f t="shared" si="36"/>
        <v>21</v>
      </c>
      <c r="K605" s="15">
        <f t="shared" si="37"/>
        <v>1027</v>
      </c>
      <c r="L605" s="3" t="str">
        <f t="shared" si="38"/>
        <v>Sunday</v>
      </c>
      <c r="M605" s="4" t="str">
        <f t="shared" si="39"/>
        <v>Normal Day</v>
      </c>
      <c r="N605" s="4" t="str">
        <f>TEXT(CleanedData[[#This Row],[DAY]], "mmm yyyy")</f>
        <v>May 2024</v>
      </c>
    </row>
    <row r="606" spans="1:14" x14ac:dyDescent="0.3">
      <c r="A606" s="5">
        <v>45424</v>
      </c>
      <c r="B606" s="12">
        <v>2745</v>
      </c>
      <c r="C606" s="12">
        <v>18</v>
      </c>
      <c r="D606" s="2" t="s">
        <v>9</v>
      </c>
      <c r="E606" s="2" t="s">
        <v>8</v>
      </c>
      <c r="F606" s="1">
        <v>1296</v>
      </c>
      <c r="G606" s="13">
        <v>2342.3193336177355</v>
      </c>
      <c r="H606" s="14" t="b">
        <v>0</v>
      </c>
      <c r="I606" s="15">
        <f t="shared" si="36"/>
        <v>2745</v>
      </c>
      <c r="J606" s="15">
        <f t="shared" si="36"/>
        <v>18</v>
      </c>
      <c r="K606" s="15">
        <f t="shared" si="37"/>
        <v>2342</v>
      </c>
      <c r="L606" s="3" t="str">
        <f t="shared" si="38"/>
        <v>Sunday</v>
      </c>
      <c r="M606" s="4" t="str">
        <f t="shared" si="39"/>
        <v>Normal Day</v>
      </c>
      <c r="N606" s="4" t="str">
        <f>TEXT(CleanedData[[#This Row],[DAY]], "mmm yyyy")</f>
        <v>May 2024</v>
      </c>
    </row>
    <row r="607" spans="1:14" x14ac:dyDescent="0.3">
      <c r="A607" s="5">
        <v>45424</v>
      </c>
      <c r="B607" s="12">
        <v>2982</v>
      </c>
      <c r="C607" s="12">
        <v>21</v>
      </c>
      <c r="D607" s="2" t="s">
        <v>6</v>
      </c>
      <c r="E607" s="2" t="s">
        <v>7</v>
      </c>
      <c r="F607" s="1">
        <v>77</v>
      </c>
      <c r="G607" s="13">
        <v>2683.5569311642648</v>
      </c>
      <c r="H607" s="14" t="b">
        <v>0</v>
      </c>
      <c r="I607" s="15">
        <f t="shared" si="36"/>
        <v>2982</v>
      </c>
      <c r="J607" s="15">
        <f t="shared" si="36"/>
        <v>21</v>
      </c>
      <c r="K607" s="15">
        <f t="shared" si="37"/>
        <v>2684</v>
      </c>
      <c r="L607" s="3" t="str">
        <f t="shared" si="38"/>
        <v>Sunday</v>
      </c>
      <c r="M607" s="4" t="str">
        <f t="shared" si="39"/>
        <v>Normal Day</v>
      </c>
      <c r="N607" s="4" t="str">
        <f>TEXT(CleanedData[[#This Row],[DAY]], "mmm yyyy")</f>
        <v>May 2024</v>
      </c>
    </row>
    <row r="608" spans="1:14" x14ac:dyDescent="0.3">
      <c r="A608" s="5">
        <v>45424</v>
      </c>
      <c r="B608" s="12">
        <v>6667.5</v>
      </c>
      <c r="C608" s="12">
        <v>148.5</v>
      </c>
      <c r="D608" s="2" t="s">
        <v>10</v>
      </c>
      <c r="E608" s="2" t="s">
        <v>7</v>
      </c>
      <c r="F608" s="1">
        <v>483</v>
      </c>
      <c r="G608" s="13">
        <v>6344.9010824002644</v>
      </c>
      <c r="H608" s="14" t="b">
        <v>0</v>
      </c>
      <c r="I608" s="15">
        <f t="shared" si="36"/>
        <v>6668</v>
      </c>
      <c r="J608" s="15">
        <f t="shared" si="36"/>
        <v>149</v>
      </c>
      <c r="K608" s="15">
        <f t="shared" si="37"/>
        <v>6345</v>
      </c>
      <c r="L608" s="3" t="str">
        <f t="shared" si="38"/>
        <v>Sunday</v>
      </c>
      <c r="M608" s="4" t="str">
        <f t="shared" si="39"/>
        <v>Normal Day</v>
      </c>
      <c r="N608" s="4" t="str">
        <f>TEXT(CleanedData[[#This Row],[DAY]], "mmm yyyy")</f>
        <v>May 2024</v>
      </c>
    </row>
    <row r="609" spans="1:14" x14ac:dyDescent="0.3">
      <c r="A609" s="5">
        <v>45425</v>
      </c>
      <c r="B609" s="12">
        <v>1.5</v>
      </c>
      <c r="C609" s="12">
        <v>0</v>
      </c>
      <c r="D609" s="2" t="s">
        <v>10</v>
      </c>
      <c r="E609" s="2" t="s">
        <v>8</v>
      </c>
      <c r="F609" s="1">
        <v>1</v>
      </c>
      <c r="G609" s="13">
        <v>1.2530166910855907</v>
      </c>
      <c r="H609" s="14" t="b">
        <v>0</v>
      </c>
      <c r="I609" s="15">
        <f t="shared" si="36"/>
        <v>2</v>
      </c>
      <c r="J609" s="15">
        <f t="shared" si="36"/>
        <v>0</v>
      </c>
      <c r="K609" s="15">
        <f t="shared" si="37"/>
        <v>1</v>
      </c>
      <c r="L609" s="3" t="str">
        <f t="shared" si="38"/>
        <v>Monday</v>
      </c>
      <c r="M609" s="4" t="str">
        <f t="shared" si="39"/>
        <v>Normal Day</v>
      </c>
      <c r="N609" s="4" t="str">
        <f>TEXT(CleanedData[[#This Row],[DAY]], "mmm yyyy")</f>
        <v>May 2024</v>
      </c>
    </row>
    <row r="610" spans="1:14" x14ac:dyDescent="0.3">
      <c r="A610" s="5">
        <v>45425</v>
      </c>
      <c r="B610" s="12">
        <v>444</v>
      </c>
      <c r="C610" s="12">
        <v>25.5</v>
      </c>
      <c r="D610" s="2" t="s">
        <v>6</v>
      </c>
      <c r="E610" s="2" t="s">
        <v>8</v>
      </c>
      <c r="F610" s="1">
        <v>113</v>
      </c>
      <c r="G610" s="13">
        <v>409.50664983956744</v>
      </c>
      <c r="H610" s="14" t="b">
        <v>0</v>
      </c>
      <c r="I610" s="15">
        <f t="shared" si="36"/>
        <v>444</v>
      </c>
      <c r="J610" s="15">
        <f t="shared" si="36"/>
        <v>26</v>
      </c>
      <c r="K610" s="15">
        <f t="shared" si="37"/>
        <v>410</v>
      </c>
      <c r="L610" s="3" t="str">
        <f t="shared" si="38"/>
        <v>Monday</v>
      </c>
      <c r="M610" s="4" t="str">
        <f t="shared" si="39"/>
        <v>Normal Day</v>
      </c>
      <c r="N610" s="4" t="str">
        <f>TEXT(CleanedData[[#This Row],[DAY]], "mmm yyyy")</f>
        <v>May 2024</v>
      </c>
    </row>
    <row r="611" spans="1:14" x14ac:dyDescent="0.3">
      <c r="A611" s="5">
        <v>45425</v>
      </c>
      <c r="B611" s="12">
        <v>826.5</v>
      </c>
      <c r="C611" s="12">
        <v>25.5</v>
      </c>
      <c r="D611" s="2" t="s">
        <v>6</v>
      </c>
      <c r="E611" s="2" t="s">
        <v>7</v>
      </c>
      <c r="F611" s="1">
        <v>478</v>
      </c>
      <c r="G611" s="13">
        <v>784.84609762622324</v>
      </c>
      <c r="H611" s="14" t="b">
        <v>0</v>
      </c>
      <c r="I611" s="15">
        <f t="shared" si="36"/>
        <v>827</v>
      </c>
      <c r="J611" s="15">
        <f t="shared" si="36"/>
        <v>26</v>
      </c>
      <c r="K611" s="15">
        <f t="shared" si="37"/>
        <v>785</v>
      </c>
      <c r="L611" s="3" t="str">
        <f t="shared" si="38"/>
        <v>Monday</v>
      </c>
      <c r="M611" s="4" t="str">
        <f t="shared" si="39"/>
        <v>Normal Day</v>
      </c>
      <c r="N611" s="4" t="str">
        <f>TEXT(CleanedData[[#This Row],[DAY]], "mmm yyyy")</f>
        <v>May 2024</v>
      </c>
    </row>
    <row r="612" spans="1:14" x14ac:dyDescent="0.3">
      <c r="A612" s="5">
        <v>45425</v>
      </c>
      <c r="B612" s="12">
        <v>2871</v>
      </c>
      <c r="C612" s="12">
        <v>132</v>
      </c>
      <c r="D612" s="2" t="s">
        <v>9</v>
      </c>
      <c r="E612" s="2" t="s">
        <v>8</v>
      </c>
      <c r="F612" s="1">
        <v>1451</v>
      </c>
      <c r="G612" s="13">
        <v>2623.5186136865764</v>
      </c>
      <c r="H612" s="14" t="b">
        <v>0</v>
      </c>
      <c r="I612" s="15">
        <f t="shared" si="36"/>
        <v>2871</v>
      </c>
      <c r="J612" s="15">
        <f t="shared" si="36"/>
        <v>132</v>
      </c>
      <c r="K612" s="15">
        <f t="shared" si="37"/>
        <v>2624</v>
      </c>
      <c r="L612" s="3" t="str">
        <f t="shared" si="38"/>
        <v>Monday</v>
      </c>
      <c r="M612" s="4" t="str">
        <f t="shared" si="39"/>
        <v>Normal Day</v>
      </c>
      <c r="N612" s="4" t="str">
        <f>TEXT(CleanedData[[#This Row],[DAY]], "mmm yyyy")</f>
        <v>May 2024</v>
      </c>
    </row>
    <row r="613" spans="1:14" x14ac:dyDescent="0.3">
      <c r="A613" s="5">
        <v>45425</v>
      </c>
      <c r="B613" s="12">
        <v>6400.5</v>
      </c>
      <c r="C613" s="12">
        <v>378</v>
      </c>
      <c r="D613" s="2" t="s">
        <v>10</v>
      </c>
      <c r="E613" s="2" t="s">
        <v>7</v>
      </c>
      <c r="F613" s="1">
        <v>4034</v>
      </c>
      <c r="G613" s="13">
        <v>6242.442757347183</v>
      </c>
      <c r="H613" s="14" t="b">
        <v>0</v>
      </c>
      <c r="I613" s="15">
        <f t="shared" si="36"/>
        <v>6401</v>
      </c>
      <c r="J613" s="15">
        <f t="shared" si="36"/>
        <v>378</v>
      </c>
      <c r="K613" s="15">
        <f t="shared" si="37"/>
        <v>6242</v>
      </c>
      <c r="L613" s="3" t="str">
        <f t="shared" si="38"/>
        <v>Monday</v>
      </c>
      <c r="M613" s="4" t="str">
        <f t="shared" si="39"/>
        <v>Normal Day</v>
      </c>
      <c r="N613" s="4" t="str">
        <f>TEXT(CleanedData[[#This Row],[DAY]], "mmm yyyy")</f>
        <v>May 2024</v>
      </c>
    </row>
    <row r="614" spans="1:14" x14ac:dyDescent="0.3">
      <c r="A614" s="5">
        <v>45426</v>
      </c>
      <c r="B614" s="12">
        <v>99</v>
      </c>
      <c r="C614" s="12">
        <v>4.5</v>
      </c>
      <c r="D614" s="2" t="s">
        <v>6</v>
      </c>
      <c r="E614" s="2" t="s">
        <v>8</v>
      </c>
      <c r="F614" s="1">
        <v>50</v>
      </c>
      <c r="G614" s="13">
        <v>84.582943550134274</v>
      </c>
      <c r="H614" s="14" t="b">
        <v>0</v>
      </c>
      <c r="I614" s="15">
        <f t="shared" si="36"/>
        <v>99</v>
      </c>
      <c r="J614" s="15">
        <f t="shared" si="36"/>
        <v>5</v>
      </c>
      <c r="K614" s="15">
        <f t="shared" si="37"/>
        <v>85</v>
      </c>
      <c r="L614" s="3" t="str">
        <f t="shared" si="38"/>
        <v>Tuesday</v>
      </c>
      <c r="M614" s="4" t="str">
        <f t="shared" si="39"/>
        <v>Normal Day</v>
      </c>
      <c r="N614" s="4" t="str">
        <f>TEXT(CleanedData[[#This Row],[DAY]], "mmm yyyy")</f>
        <v>May 2024</v>
      </c>
    </row>
    <row r="615" spans="1:14" x14ac:dyDescent="0.3">
      <c r="A615" s="5">
        <v>45426</v>
      </c>
      <c r="B615" s="12">
        <v>103.5</v>
      </c>
      <c r="C615" s="12">
        <v>4.5</v>
      </c>
      <c r="D615" s="2" t="s">
        <v>6</v>
      </c>
      <c r="E615" s="2" t="s">
        <v>7</v>
      </c>
      <c r="F615" s="1">
        <v>45</v>
      </c>
      <c r="G615" s="13">
        <v>94.128233087509173</v>
      </c>
      <c r="H615" s="14" t="b">
        <v>0</v>
      </c>
      <c r="I615" s="15">
        <f t="shared" si="36"/>
        <v>104</v>
      </c>
      <c r="J615" s="15">
        <f t="shared" si="36"/>
        <v>5</v>
      </c>
      <c r="K615" s="15">
        <f t="shared" si="37"/>
        <v>94</v>
      </c>
      <c r="L615" s="3" t="str">
        <f t="shared" si="38"/>
        <v>Tuesday</v>
      </c>
      <c r="M615" s="4" t="str">
        <f t="shared" si="39"/>
        <v>Normal Day</v>
      </c>
      <c r="N615" s="4" t="str">
        <f>TEXT(CleanedData[[#This Row],[DAY]], "mmm yyyy")</f>
        <v>May 2024</v>
      </c>
    </row>
    <row r="616" spans="1:14" x14ac:dyDescent="0.3">
      <c r="A616" s="5">
        <v>45426</v>
      </c>
      <c r="B616" s="12">
        <v>3031.5</v>
      </c>
      <c r="C616" s="12">
        <v>7.5</v>
      </c>
      <c r="D616" s="2" t="s">
        <v>9</v>
      </c>
      <c r="E616" s="2" t="s">
        <v>8</v>
      </c>
      <c r="F616" s="1">
        <v>1446</v>
      </c>
      <c r="G616" s="13">
        <v>2695.5403859431299</v>
      </c>
      <c r="H616" s="14" t="b">
        <v>0</v>
      </c>
      <c r="I616" s="15">
        <f t="shared" si="36"/>
        <v>3032</v>
      </c>
      <c r="J616" s="15">
        <f t="shared" si="36"/>
        <v>8</v>
      </c>
      <c r="K616" s="15">
        <f t="shared" si="37"/>
        <v>2696</v>
      </c>
      <c r="L616" s="3" t="str">
        <f t="shared" si="38"/>
        <v>Tuesday</v>
      </c>
      <c r="M616" s="4" t="str">
        <f t="shared" si="39"/>
        <v>Normal Day</v>
      </c>
      <c r="N616" s="4" t="str">
        <f>TEXT(CleanedData[[#This Row],[DAY]], "mmm yyyy")</f>
        <v>May 2024</v>
      </c>
    </row>
    <row r="617" spans="1:14" x14ac:dyDescent="0.3">
      <c r="A617" s="5">
        <v>45426</v>
      </c>
      <c r="B617" s="12">
        <v>5731.5</v>
      </c>
      <c r="C617" s="12">
        <v>187.5</v>
      </c>
      <c r="D617" s="2" t="s">
        <v>10</v>
      </c>
      <c r="E617" s="2" t="s">
        <v>7</v>
      </c>
      <c r="F617" s="1">
        <v>3796</v>
      </c>
      <c r="G617" s="13">
        <v>5222.3255113682098</v>
      </c>
      <c r="H617" s="14" t="b">
        <v>0</v>
      </c>
      <c r="I617" s="15">
        <f t="shared" si="36"/>
        <v>5732</v>
      </c>
      <c r="J617" s="15">
        <f t="shared" si="36"/>
        <v>188</v>
      </c>
      <c r="K617" s="15">
        <f t="shared" si="37"/>
        <v>5222</v>
      </c>
      <c r="L617" s="3" t="str">
        <f t="shared" si="38"/>
        <v>Tuesday</v>
      </c>
      <c r="M617" s="4" t="str">
        <f t="shared" si="39"/>
        <v>Normal Day</v>
      </c>
      <c r="N617" s="4" t="str">
        <f>TEXT(CleanedData[[#This Row],[DAY]], "mmm yyyy")</f>
        <v>May 2024</v>
      </c>
    </row>
    <row r="618" spans="1:14" x14ac:dyDescent="0.3">
      <c r="A618" s="5">
        <v>45427</v>
      </c>
      <c r="B618" s="12">
        <v>1.5</v>
      </c>
      <c r="C618" s="12">
        <v>0</v>
      </c>
      <c r="D618" s="2" t="s">
        <v>10</v>
      </c>
      <c r="E618" s="2" t="s">
        <v>8</v>
      </c>
      <c r="F618" s="1">
        <v>1</v>
      </c>
      <c r="G618" s="13">
        <v>1.2021319105143584</v>
      </c>
      <c r="H618" s="14" t="b">
        <v>0</v>
      </c>
      <c r="I618" s="15">
        <f t="shared" si="36"/>
        <v>2</v>
      </c>
      <c r="J618" s="15">
        <f t="shared" si="36"/>
        <v>0</v>
      </c>
      <c r="K618" s="15">
        <f t="shared" si="37"/>
        <v>1</v>
      </c>
      <c r="L618" s="3" t="str">
        <f t="shared" si="38"/>
        <v>Wednesday</v>
      </c>
      <c r="M618" s="4" t="str">
        <f t="shared" si="39"/>
        <v>Normal Day</v>
      </c>
      <c r="N618" s="4" t="str">
        <f>TEXT(CleanedData[[#This Row],[DAY]], "mmm yyyy")</f>
        <v>May 2024</v>
      </c>
    </row>
    <row r="619" spans="1:14" x14ac:dyDescent="0.3">
      <c r="A619" s="5">
        <v>45427</v>
      </c>
      <c r="B619" s="12">
        <v>163.5</v>
      </c>
      <c r="C619" s="12">
        <v>3</v>
      </c>
      <c r="D619" s="2" t="s">
        <v>6</v>
      </c>
      <c r="E619" s="2" t="s">
        <v>8</v>
      </c>
      <c r="F619" s="1">
        <v>78</v>
      </c>
      <c r="G619" s="13">
        <v>143.01839855898075</v>
      </c>
      <c r="H619" s="14" t="b">
        <v>0</v>
      </c>
      <c r="I619" s="15">
        <f t="shared" si="36"/>
        <v>164</v>
      </c>
      <c r="J619" s="15">
        <f t="shared" si="36"/>
        <v>3</v>
      </c>
      <c r="K619" s="15">
        <f t="shared" si="37"/>
        <v>143</v>
      </c>
      <c r="L619" s="3" t="str">
        <f t="shared" si="38"/>
        <v>Wednesday</v>
      </c>
      <c r="M619" s="4" t="str">
        <f t="shared" si="39"/>
        <v>Normal Day</v>
      </c>
      <c r="N619" s="4" t="str">
        <f>TEXT(CleanedData[[#This Row],[DAY]], "mmm yyyy")</f>
        <v>May 2024</v>
      </c>
    </row>
    <row r="620" spans="1:14" x14ac:dyDescent="0.3">
      <c r="A620" s="5">
        <v>45427</v>
      </c>
      <c r="B620" s="12">
        <v>294</v>
      </c>
      <c r="C620" s="12">
        <v>3</v>
      </c>
      <c r="D620" s="2" t="s">
        <v>6</v>
      </c>
      <c r="E620" s="2" t="s">
        <v>7</v>
      </c>
      <c r="F620" s="1">
        <v>57</v>
      </c>
      <c r="G620" s="13">
        <v>269.74047501550922</v>
      </c>
      <c r="H620" s="14" t="b">
        <v>0</v>
      </c>
      <c r="I620" s="15">
        <f t="shared" si="36"/>
        <v>294</v>
      </c>
      <c r="J620" s="15">
        <f t="shared" si="36"/>
        <v>3</v>
      </c>
      <c r="K620" s="15">
        <f t="shared" si="37"/>
        <v>270</v>
      </c>
      <c r="L620" s="3" t="str">
        <f t="shared" si="38"/>
        <v>Wednesday</v>
      </c>
      <c r="M620" s="4" t="str">
        <f t="shared" si="39"/>
        <v>Normal Day</v>
      </c>
      <c r="N620" s="4" t="str">
        <f>TEXT(CleanedData[[#This Row],[DAY]], "mmm yyyy")</f>
        <v>May 2024</v>
      </c>
    </row>
    <row r="621" spans="1:14" x14ac:dyDescent="0.3">
      <c r="A621" s="5">
        <v>45427</v>
      </c>
      <c r="B621" s="12">
        <v>2386.5</v>
      </c>
      <c r="C621" s="12">
        <v>90</v>
      </c>
      <c r="D621" s="2" t="s">
        <v>9</v>
      </c>
      <c r="E621" s="2" t="s">
        <v>8</v>
      </c>
      <c r="F621" s="1">
        <v>6</v>
      </c>
      <c r="G621" s="13">
        <v>2184.2399829771448</v>
      </c>
      <c r="H621" s="14" t="b">
        <v>0</v>
      </c>
      <c r="I621" s="15">
        <f t="shared" si="36"/>
        <v>2387</v>
      </c>
      <c r="J621" s="15">
        <f t="shared" si="36"/>
        <v>90</v>
      </c>
      <c r="K621" s="15">
        <f t="shared" si="37"/>
        <v>2184</v>
      </c>
      <c r="L621" s="3" t="str">
        <f t="shared" si="38"/>
        <v>Wednesday</v>
      </c>
      <c r="M621" s="4" t="str">
        <f t="shared" si="39"/>
        <v>Normal Day</v>
      </c>
      <c r="N621" s="4" t="str">
        <f>TEXT(CleanedData[[#This Row],[DAY]], "mmm yyyy")</f>
        <v>May 2024</v>
      </c>
    </row>
    <row r="622" spans="1:14" x14ac:dyDescent="0.3">
      <c r="A622" s="5">
        <v>45427</v>
      </c>
      <c r="B622" s="12">
        <v>5014.5</v>
      </c>
      <c r="C622" s="12">
        <v>111</v>
      </c>
      <c r="D622" s="2" t="s">
        <v>10</v>
      </c>
      <c r="E622" s="2" t="s">
        <v>7</v>
      </c>
      <c r="F622" s="1">
        <v>2120</v>
      </c>
      <c r="G622" s="13">
        <v>4503.1096103079963</v>
      </c>
      <c r="H622" s="14" t="b">
        <v>0</v>
      </c>
      <c r="I622" s="15">
        <f t="shared" si="36"/>
        <v>5015</v>
      </c>
      <c r="J622" s="15">
        <f t="shared" si="36"/>
        <v>111</v>
      </c>
      <c r="K622" s="15">
        <f t="shared" si="37"/>
        <v>4503</v>
      </c>
      <c r="L622" s="3" t="str">
        <f t="shared" si="38"/>
        <v>Wednesday</v>
      </c>
      <c r="M622" s="4" t="str">
        <f t="shared" si="39"/>
        <v>Normal Day</v>
      </c>
      <c r="N622" s="4" t="str">
        <f>TEXT(CleanedData[[#This Row],[DAY]], "mmm yyyy")</f>
        <v>May 2024</v>
      </c>
    </row>
    <row r="623" spans="1:14" x14ac:dyDescent="0.3">
      <c r="A623" s="5">
        <v>45428</v>
      </c>
      <c r="B623" s="12">
        <v>211.5</v>
      </c>
      <c r="C623" s="12">
        <v>10.5</v>
      </c>
      <c r="D623" s="2" t="s">
        <v>6</v>
      </c>
      <c r="E623" s="2" t="s">
        <v>8</v>
      </c>
      <c r="F623" s="1">
        <v>101</v>
      </c>
      <c r="G623" s="13">
        <v>188.38855071264575</v>
      </c>
      <c r="H623" s="14" t="b">
        <v>0</v>
      </c>
      <c r="I623" s="15">
        <f t="shared" si="36"/>
        <v>212</v>
      </c>
      <c r="J623" s="15">
        <f t="shared" si="36"/>
        <v>11</v>
      </c>
      <c r="K623" s="15">
        <f t="shared" si="37"/>
        <v>188</v>
      </c>
      <c r="L623" s="3" t="str">
        <f t="shared" si="38"/>
        <v>Thursday</v>
      </c>
      <c r="M623" s="4" t="str">
        <f t="shared" si="39"/>
        <v>Normal Day</v>
      </c>
      <c r="N623" s="4" t="str">
        <f>TEXT(CleanedData[[#This Row],[DAY]], "mmm yyyy")</f>
        <v>May 2024</v>
      </c>
    </row>
    <row r="624" spans="1:14" x14ac:dyDescent="0.3">
      <c r="A624" s="5">
        <v>45428</v>
      </c>
      <c r="B624" s="12">
        <v>520.5</v>
      </c>
      <c r="C624" s="12">
        <v>10.5</v>
      </c>
      <c r="D624" s="2" t="s">
        <v>6</v>
      </c>
      <c r="E624" s="2" t="s">
        <v>7</v>
      </c>
      <c r="F624" s="1">
        <v>73</v>
      </c>
      <c r="G624" s="13">
        <v>479.86366700728848</v>
      </c>
      <c r="H624" s="14" t="b">
        <v>0</v>
      </c>
      <c r="I624" s="15">
        <f t="shared" si="36"/>
        <v>521</v>
      </c>
      <c r="J624" s="15">
        <f t="shared" si="36"/>
        <v>11</v>
      </c>
      <c r="K624" s="15">
        <f t="shared" si="37"/>
        <v>480</v>
      </c>
      <c r="L624" s="3" t="str">
        <f t="shared" si="38"/>
        <v>Thursday</v>
      </c>
      <c r="M624" s="4" t="str">
        <f t="shared" si="39"/>
        <v>Normal Day</v>
      </c>
      <c r="N624" s="4" t="str">
        <f>TEXT(CleanedData[[#This Row],[DAY]], "mmm yyyy")</f>
        <v>May 2024</v>
      </c>
    </row>
    <row r="625" spans="1:14" x14ac:dyDescent="0.3">
      <c r="A625" s="5">
        <v>45428</v>
      </c>
      <c r="B625" s="12">
        <v>2800.5</v>
      </c>
      <c r="C625" s="12">
        <v>84</v>
      </c>
      <c r="D625" s="2" t="s">
        <v>9</v>
      </c>
      <c r="E625" s="2" t="s">
        <v>8</v>
      </c>
      <c r="F625" s="1">
        <v>1814</v>
      </c>
      <c r="G625" s="13">
        <v>2547.4053211752494</v>
      </c>
      <c r="H625" s="14" t="b">
        <v>0</v>
      </c>
      <c r="I625" s="15">
        <f t="shared" si="36"/>
        <v>2801</v>
      </c>
      <c r="J625" s="15">
        <f t="shared" si="36"/>
        <v>84</v>
      </c>
      <c r="K625" s="15">
        <f t="shared" si="37"/>
        <v>2547</v>
      </c>
      <c r="L625" s="3" t="str">
        <f t="shared" si="38"/>
        <v>Thursday</v>
      </c>
      <c r="M625" s="4" t="str">
        <f t="shared" si="39"/>
        <v>Normal Day</v>
      </c>
      <c r="N625" s="4" t="str">
        <f>TEXT(CleanedData[[#This Row],[DAY]], "mmm yyyy")</f>
        <v>May 2024</v>
      </c>
    </row>
    <row r="626" spans="1:14" x14ac:dyDescent="0.3">
      <c r="A626" s="5">
        <v>45428</v>
      </c>
      <c r="B626" s="12">
        <v>5602.5</v>
      </c>
      <c r="C626" s="12">
        <v>34.5</v>
      </c>
      <c r="D626" s="2" t="s">
        <v>10</v>
      </c>
      <c r="E626" s="2" t="s">
        <v>7</v>
      </c>
      <c r="F626" s="1">
        <v>3693</v>
      </c>
      <c r="G626" s="13">
        <v>5279.4593614860069</v>
      </c>
      <c r="H626" s="14" t="b">
        <v>0</v>
      </c>
      <c r="I626" s="15">
        <f t="shared" si="36"/>
        <v>5603</v>
      </c>
      <c r="J626" s="15">
        <f t="shared" si="36"/>
        <v>35</v>
      </c>
      <c r="K626" s="15">
        <f t="shared" si="37"/>
        <v>5279</v>
      </c>
      <c r="L626" s="3" t="str">
        <f t="shared" si="38"/>
        <v>Thursday</v>
      </c>
      <c r="M626" s="4" t="str">
        <f t="shared" si="39"/>
        <v>Normal Day</v>
      </c>
      <c r="N626" s="4" t="str">
        <f>TEXT(CleanedData[[#This Row],[DAY]], "mmm yyyy")</f>
        <v>May 2024</v>
      </c>
    </row>
    <row r="627" spans="1:14" x14ac:dyDescent="0.3">
      <c r="A627" s="5">
        <v>45429</v>
      </c>
      <c r="B627" s="12">
        <v>267</v>
      </c>
      <c r="C627" s="12">
        <v>9</v>
      </c>
      <c r="D627" s="2" t="s">
        <v>6</v>
      </c>
      <c r="E627" s="2" t="s">
        <v>8</v>
      </c>
      <c r="F627" s="1">
        <v>134</v>
      </c>
      <c r="G627" s="13">
        <v>227.2726734428108</v>
      </c>
      <c r="H627" s="14" t="b">
        <v>0</v>
      </c>
      <c r="I627" s="15">
        <f t="shared" si="36"/>
        <v>267</v>
      </c>
      <c r="J627" s="15">
        <f t="shared" si="36"/>
        <v>9</v>
      </c>
      <c r="K627" s="15">
        <f t="shared" si="37"/>
        <v>227</v>
      </c>
      <c r="L627" s="3" t="str">
        <f t="shared" si="38"/>
        <v>Friday</v>
      </c>
      <c r="M627" s="4" t="str">
        <f t="shared" si="39"/>
        <v>Normal Day</v>
      </c>
      <c r="N627" s="4" t="str">
        <f>TEXT(CleanedData[[#This Row],[DAY]], "mmm yyyy")</f>
        <v>May 2024</v>
      </c>
    </row>
    <row r="628" spans="1:14" x14ac:dyDescent="0.3">
      <c r="A628" s="5">
        <v>45429</v>
      </c>
      <c r="B628" s="12">
        <v>321</v>
      </c>
      <c r="C628" s="12">
        <v>9</v>
      </c>
      <c r="D628" s="2" t="s">
        <v>6</v>
      </c>
      <c r="E628" s="2" t="s">
        <v>7</v>
      </c>
      <c r="F628" s="1">
        <v>31</v>
      </c>
      <c r="G628" s="13">
        <v>308.56056041222644</v>
      </c>
      <c r="H628" s="14" t="b">
        <v>0</v>
      </c>
      <c r="I628" s="15">
        <f t="shared" si="36"/>
        <v>321</v>
      </c>
      <c r="J628" s="15">
        <f t="shared" si="36"/>
        <v>9</v>
      </c>
      <c r="K628" s="15">
        <f t="shared" si="37"/>
        <v>309</v>
      </c>
      <c r="L628" s="3" t="str">
        <f t="shared" si="38"/>
        <v>Friday</v>
      </c>
      <c r="M628" s="4" t="str">
        <f t="shared" si="39"/>
        <v>Normal Day</v>
      </c>
      <c r="N628" s="4" t="str">
        <f>TEXT(CleanedData[[#This Row],[DAY]], "mmm yyyy")</f>
        <v>May 2024</v>
      </c>
    </row>
    <row r="629" spans="1:14" x14ac:dyDescent="0.3">
      <c r="A629" s="5">
        <v>45429</v>
      </c>
      <c r="B629" s="12">
        <v>3609</v>
      </c>
      <c r="C629" s="12">
        <v>69</v>
      </c>
      <c r="D629" s="2" t="s">
        <v>9</v>
      </c>
      <c r="E629" s="2" t="s">
        <v>8</v>
      </c>
      <c r="F629" s="1">
        <v>2395</v>
      </c>
      <c r="G629" s="13">
        <v>2974.7714568901192</v>
      </c>
      <c r="H629" s="14" t="b">
        <v>0</v>
      </c>
      <c r="I629" s="15">
        <f t="shared" si="36"/>
        <v>3609</v>
      </c>
      <c r="J629" s="15">
        <f t="shared" si="36"/>
        <v>69</v>
      </c>
      <c r="K629" s="15">
        <f t="shared" si="37"/>
        <v>2975</v>
      </c>
      <c r="L629" s="3" t="str">
        <f t="shared" si="38"/>
        <v>Friday</v>
      </c>
      <c r="M629" s="4" t="str">
        <f t="shared" si="39"/>
        <v>Normal Day</v>
      </c>
      <c r="N629" s="4" t="str">
        <f>TEXT(CleanedData[[#This Row],[DAY]], "mmm yyyy")</f>
        <v>May 2024</v>
      </c>
    </row>
    <row r="630" spans="1:14" x14ac:dyDescent="0.3">
      <c r="A630" s="5">
        <v>45429</v>
      </c>
      <c r="B630" s="12">
        <v>7479</v>
      </c>
      <c r="C630" s="12">
        <v>402</v>
      </c>
      <c r="D630" s="2" t="s">
        <v>10</v>
      </c>
      <c r="E630" s="2" t="s">
        <v>7</v>
      </c>
      <c r="F630" s="1">
        <v>90</v>
      </c>
      <c r="G630" s="13">
        <v>6915.0370028693151</v>
      </c>
      <c r="H630" s="14" t="b">
        <v>0</v>
      </c>
      <c r="I630" s="15">
        <f t="shared" si="36"/>
        <v>7479</v>
      </c>
      <c r="J630" s="15">
        <f t="shared" si="36"/>
        <v>402</v>
      </c>
      <c r="K630" s="15">
        <f t="shared" si="37"/>
        <v>6915</v>
      </c>
      <c r="L630" s="3" t="str">
        <f t="shared" si="38"/>
        <v>Friday</v>
      </c>
      <c r="M630" s="4" t="str">
        <f t="shared" si="39"/>
        <v>Normal Day</v>
      </c>
      <c r="N630" s="4" t="str">
        <f>TEXT(CleanedData[[#This Row],[DAY]], "mmm yyyy")</f>
        <v>May 2024</v>
      </c>
    </row>
    <row r="631" spans="1:14" x14ac:dyDescent="0.3">
      <c r="A631" s="5">
        <v>45430</v>
      </c>
      <c r="B631" s="12">
        <v>408</v>
      </c>
      <c r="C631" s="12">
        <v>39</v>
      </c>
      <c r="D631" s="2" t="s">
        <v>6</v>
      </c>
      <c r="E631" s="2" t="s">
        <v>8</v>
      </c>
      <c r="F631" s="1">
        <v>97</v>
      </c>
      <c r="G631" s="13">
        <v>371.00194230887547</v>
      </c>
      <c r="H631" s="14" t="b">
        <v>0</v>
      </c>
      <c r="I631" s="15">
        <f t="shared" si="36"/>
        <v>408</v>
      </c>
      <c r="J631" s="15">
        <f t="shared" si="36"/>
        <v>39</v>
      </c>
      <c r="K631" s="15">
        <f t="shared" si="37"/>
        <v>371</v>
      </c>
      <c r="L631" s="3" t="str">
        <f t="shared" si="38"/>
        <v>Saturday</v>
      </c>
      <c r="M631" s="4" t="str">
        <f t="shared" si="39"/>
        <v>Normal Day</v>
      </c>
      <c r="N631" s="4" t="str">
        <f>TEXT(CleanedData[[#This Row],[DAY]], "mmm yyyy")</f>
        <v>May 2024</v>
      </c>
    </row>
    <row r="632" spans="1:14" x14ac:dyDescent="0.3">
      <c r="A632" s="5">
        <v>45430</v>
      </c>
      <c r="B632" s="12">
        <v>658.5</v>
      </c>
      <c r="C632" s="12">
        <v>39</v>
      </c>
      <c r="D632" s="2" t="s">
        <v>6</v>
      </c>
      <c r="E632" s="2" t="s">
        <v>7</v>
      </c>
      <c r="F632" s="1">
        <v>304</v>
      </c>
      <c r="G632" s="13">
        <v>627.99358005670967</v>
      </c>
      <c r="H632" s="14" t="b">
        <v>0</v>
      </c>
      <c r="I632" s="15">
        <f t="shared" si="36"/>
        <v>659</v>
      </c>
      <c r="J632" s="15">
        <f t="shared" si="36"/>
        <v>39</v>
      </c>
      <c r="K632" s="15">
        <f t="shared" si="37"/>
        <v>628</v>
      </c>
      <c r="L632" s="3" t="str">
        <f t="shared" si="38"/>
        <v>Saturday</v>
      </c>
      <c r="M632" s="4" t="str">
        <f t="shared" si="39"/>
        <v>Normal Day</v>
      </c>
      <c r="N632" s="4" t="str">
        <f>TEXT(CleanedData[[#This Row],[DAY]], "mmm yyyy")</f>
        <v>May 2024</v>
      </c>
    </row>
    <row r="633" spans="1:14" x14ac:dyDescent="0.3">
      <c r="A633" s="5">
        <v>45430</v>
      </c>
      <c r="B633" s="12">
        <v>2610</v>
      </c>
      <c r="C633" s="12">
        <v>30</v>
      </c>
      <c r="D633" s="2" t="s">
        <v>9</v>
      </c>
      <c r="E633" s="2" t="s">
        <v>8</v>
      </c>
      <c r="F633" s="1">
        <v>1111</v>
      </c>
      <c r="G633" s="13">
        <v>2161.8965233468684</v>
      </c>
      <c r="H633" s="14" t="b">
        <v>0</v>
      </c>
      <c r="I633" s="15">
        <f t="shared" si="36"/>
        <v>2610</v>
      </c>
      <c r="J633" s="15">
        <f t="shared" si="36"/>
        <v>30</v>
      </c>
      <c r="K633" s="15">
        <f t="shared" si="37"/>
        <v>2162</v>
      </c>
      <c r="L633" s="3" t="str">
        <f t="shared" si="38"/>
        <v>Saturday</v>
      </c>
      <c r="M633" s="4" t="str">
        <f t="shared" si="39"/>
        <v>Normal Day</v>
      </c>
      <c r="N633" s="4" t="str">
        <f>TEXT(CleanedData[[#This Row],[DAY]], "mmm yyyy")</f>
        <v>May 2024</v>
      </c>
    </row>
    <row r="634" spans="1:14" x14ac:dyDescent="0.3">
      <c r="A634" s="5">
        <v>45430</v>
      </c>
      <c r="B634" s="12">
        <v>5668.5</v>
      </c>
      <c r="C634" s="12">
        <v>100.5</v>
      </c>
      <c r="D634" s="2" t="s">
        <v>10</v>
      </c>
      <c r="E634" s="2" t="s">
        <v>7</v>
      </c>
      <c r="F634" s="1">
        <v>3687</v>
      </c>
      <c r="G634" s="13">
        <v>5048.6924529872613</v>
      </c>
      <c r="H634" s="14" t="b">
        <v>0</v>
      </c>
      <c r="I634" s="15">
        <f t="shared" si="36"/>
        <v>5669</v>
      </c>
      <c r="J634" s="15">
        <f t="shared" si="36"/>
        <v>101</v>
      </c>
      <c r="K634" s="15">
        <f t="shared" si="37"/>
        <v>5049</v>
      </c>
      <c r="L634" s="3" t="str">
        <f t="shared" si="38"/>
        <v>Saturday</v>
      </c>
      <c r="M634" s="4" t="str">
        <f t="shared" si="39"/>
        <v>Normal Day</v>
      </c>
      <c r="N634" s="4" t="str">
        <f>TEXT(CleanedData[[#This Row],[DAY]], "mmm yyyy")</f>
        <v>May 2024</v>
      </c>
    </row>
    <row r="635" spans="1:14" x14ac:dyDescent="0.3">
      <c r="A635" s="5">
        <v>45431</v>
      </c>
      <c r="B635" s="12">
        <v>369</v>
      </c>
      <c r="C635" s="12">
        <v>31.5</v>
      </c>
      <c r="D635" s="2" t="s">
        <v>6</v>
      </c>
      <c r="E635" s="2" t="s">
        <v>8</v>
      </c>
      <c r="F635" s="1">
        <v>201</v>
      </c>
      <c r="G635" s="13">
        <v>326.43056119351934</v>
      </c>
      <c r="H635" s="14" t="b">
        <v>0</v>
      </c>
      <c r="I635" s="15">
        <f t="shared" si="36"/>
        <v>369</v>
      </c>
      <c r="J635" s="15">
        <f t="shared" si="36"/>
        <v>32</v>
      </c>
      <c r="K635" s="15">
        <f t="shared" si="37"/>
        <v>326</v>
      </c>
      <c r="L635" s="3" t="str">
        <f t="shared" si="38"/>
        <v>Sunday</v>
      </c>
      <c r="M635" s="4" t="str">
        <f t="shared" si="39"/>
        <v>Normal Day</v>
      </c>
      <c r="N635" s="4" t="str">
        <f>TEXT(CleanedData[[#This Row],[DAY]], "mmm yyyy")</f>
        <v>May 2024</v>
      </c>
    </row>
    <row r="636" spans="1:14" x14ac:dyDescent="0.3">
      <c r="A636" s="5">
        <v>45431</v>
      </c>
      <c r="B636" s="12">
        <v>585</v>
      </c>
      <c r="C636" s="12">
        <v>31.5</v>
      </c>
      <c r="D636" s="2" t="s">
        <v>6</v>
      </c>
      <c r="E636" s="2" t="s">
        <v>7</v>
      </c>
      <c r="F636" s="1">
        <v>110</v>
      </c>
      <c r="G636" s="13">
        <v>562.53254130983851</v>
      </c>
      <c r="H636" s="14" t="b">
        <v>0</v>
      </c>
      <c r="I636" s="15">
        <f t="shared" si="36"/>
        <v>585</v>
      </c>
      <c r="J636" s="15">
        <f t="shared" si="36"/>
        <v>32</v>
      </c>
      <c r="K636" s="15">
        <f t="shared" si="37"/>
        <v>563</v>
      </c>
      <c r="L636" s="3" t="str">
        <f t="shared" si="38"/>
        <v>Sunday</v>
      </c>
      <c r="M636" s="4" t="str">
        <f t="shared" si="39"/>
        <v>Normal Day</v>
      </c>
      <c r="N636" s="4" t="str">
        <f>TEXT(CleanedData[[#This Row],[DAY]], "mmm yyyy")</f>
        <v>May 2024</v>
      </c>
    </row>
    <row r="637" spans="1:14" x14ac:dyDescent="0.3">
      <c r="A637" s="5">
        <v>45431</v>
      </c>
      <c r="B637" s="12">
        <v>2104.5</v>
      </c>
      <c r="C637" s="12">
        <v>18</v>
      </c>
      <c r="D637" s="2" t="s">
        <v>9</v>
      </c>
      <c r="E637" s="2" t="s">
        <v>8</v>
      </c>
      <c r="F637" s="1">
        <v>247</v>
      </c>
      <c r="G637" s="13">
        <v>1823.0223865849905</v>
      </c>
      <c r="H637" s="14" t="b">
        <v>0</v>
      </c>
      <c r="I637" s="15">
        <f t="shared" si="36"/>
        <v>2105</v>
      </c>
      <c r="J637" s="15">
        <f t="shared" si="36"/>
        <v>18</v>
      </c>
      <c r="K637" s="15">
        <f t="shared" si="37"/>
        <v>1823</v>
      </c>
      <c r="L637" s="3" t="str">
        <f t="shared" si="38"/>
        <v>Sunday</v>
      </c>
      <c r="M637" s="4" t="str">
        <f t="shared" si="39"/>
        <v>Normal Day</v>
      </c>
      <c r="N637" s="4" t="str">
        <f>TEXT(CleanedData[[#This Row],[DAY]], "mmm yyyy")</f>
        <v>May 2024</v>
      </c>
    </row>
    <row r="638" spans="1:14" x14ac:dyDescent="0.3">
      <c r="A638" s="5">
        <v>45431</v>
      </c>
      <c r="B638" s="12">
        <v>6336</v>
      </c>
      <c r="C638" s="12">
        <v>87</v>
      </c>
      <c r="D638" s="2" t="s">
        <v>10</v>
      </c>
      <c r="E638" s="2" t="s">
        <v>7</v>
      </c>
      <c r="F638" s="1">
        <v>4145</v>
      </c>
      <c r="G638" s="13">
        <v>5883.5142289952673</v>
      </c>
      <c r="H638" s="14" t="b">
        <v>0</v>
      </c>
      <c r="I638" s="15">
        <f t="shared" si="36"/>
        <v>6336</v>
      </c>
      <c r="J638" s="15">
        <f t="shared" si="36"/>
        <v>87</v>
      </c>
      <c r="K638" s="15">
        <f t="shared" si="37"/>
        <v>5884</v>
      </c>
      <c r="L638" s="3" t="str">
        <f t="shared" si="38"/>
        <v>Sunday</v>
      </c>
      <c r="M638" s="4" t="str">
        <f t="shared" si="39"/>
        <v>Normal Day</v>
      </c>
      <c r="N638" s="4" t="str">
        <f>TEXT(CleanedData[[#This Row],[DAY]], "mmm yyyy")</f>
        <v>May 2024</v>
      </c>
    </row>
    <row r="639" spans="1:14" x14ac:dyDescent="0.3">
      <c r="A639" s="5">
        <v>45432</v>
      </c>
      <c r="B639" s="12">
        <v>387</v>
      </c>
      <c r="C639" s="12">
        <v>6</v>
      </c>
      <c r="D639" s="2" t="s">
        <v>6</v>
      </c>
      <c r="E639" s="2" t="s">
        <v>7</v>
      </c>
      <c r="F639" s="1">
        <v>187</v>
      </c>
      <c r="G639" s="13">
        <v>349.80331665715312</v>
      </c>
      <c r="H639" s="14" t="b">
        <v>0</v>
      </c>
      <c r="I639" s="15">
        <f t="shared" si="36"/>
        <v>387</v>
      </c>
      <c r="J639" s="15">
        <f t="shared" si="36"/>
        <v>6</v>
      </c>
      <c r="K639" s="15">
        <f t="shared" si="37"/>
        <v>350</v>
      </c>
      <c r="L639" s="3" t="str">
        <f t="shared" si="38"/>
        <v>Monday</v>
      </c>
      <c r="M639" s="4" t="str">
        <f t="shared" si="39"/>
        <v>Normal Day</v>
      </c>
      <c r="N639" s="4" t="str">
        <f>TEXT(CleanedData[[#This Row],[DAY]], "mmm yyyy")</f>
        <v>May 2024</v>
      </c>
    </row>
    <row r="640" spans="1:14" x14ac:dyDescent="0.3">
      <c r="A640" s="5">
        <v>45432</v>
      </c>
      <c r="B640" s="12">
        <v>595.5</v>
      </c>
      <c r="C640" s="12">
        <v>6</v>
      </c>
      <c r="D640" s="2" t="s">
        <v>6</v>
      </c>
      <c r="E640" s="2" t="s">
        <v>8</v>
      </c>
      <c r="F640" s="1">
        <v>301</v>
      </c>
      <c r="G640" s="13">
        <v>497.20085155387358</v>
      </c>
      <c r="H640" s="14" t="b">
        <v>0</v>
      </c>
      <c r="I640" s="15">
        <f t="shared" si="36"/>
        <v>596</v>
      </c>
      <c r="J640" s="15">
        <f t="shared" si="36"/>
        <v>6</v>
      </c>
      <c r="K640" s="15">
        <f t="shared" si="37"/>
        <v>497</v>
      </c>
      <c r="L640" s="3" t="str">
        <f t="shared" si="38"/>
        <v>Monday</v>
      </c>
      <c r="M640" s="4" t="str">
        <f t="shared" si="39"/>
        <v>Normal Day</v>
      </c>
      <c r="N640" s="4" t="str">
        <f>TEXT(CleanedData[[#This Row],[DAY]], "mmm yyyy")</f>
        <v>May 2024</v>
      </c>
    </row>
    <row r="641" spans="1:14" x14ac:dyDescent="0.3">
      <c r="A641" s="5">
        <v>45432</v>
      </c>
      <c r="B641" s="12">
        <v>2221.5</v>
      </c>
      <c r="C641" s="12">
        <v>106.5</v>
      </c>
      <c r="D641" s="2" t="s">
        <v>9</v>
      </c>
      <c r="E641" s="2" t="s">
        <v>8</v>
      </c>
      <c r="F641" s="1">
        <v>971</v>
      </c>
      <c r="G641" s="13">
        <v>1955.2650287678671</v>
      </c>
      <c r="H641" s="14" t="b">
        <v>0</v>
      </c>
      <c r="I641" s="15">
        <f t="shared" si="36"/>
        <v>2222</v>
      </c>
      <c r="J641" s="15">
        <f t="shared" si="36"/>
        <v>107</v>
      </c>
      <c r="K641" s="15">
        <f t="shared" si="37"/>
        <v>1955</v>
      </c>
      <c r="L641" s="3" t="str">
        <f t="shared" si="38"/>
        <v>Monday</v>
      </c>
      <c r="M641" s="4" t="str">
        <f t="shared" si="39"/>
        <v>Normal Day</v>
      </c>
      <c r="N641" s="4" t="str">
        <f>TEXT(CleanedData[[#This Row],[DAY]], "mmm yyyy")</f>
        <v>May 2024</v>
      </c>
    </row>
    <row r="642" spans="1:14" x14ac:dyDescent="0.3">
      <c r="A642" s="5">
        <v>45432</v>
      </c>
      <c r="B642" s="12">
        <v>5763</v>
      </c>
      <c r="C642" s="12">
        <v>252</v>
      </c>
      <c r="D642" s="2" t="s">
        <v>10</v>
      </c>
      <c r="E642" s="2" t="s">
        <v>7</v>
      </c>
      <c r="F642" s="1">
        <v>1756</v>
      </c>
      <c r="G642" s="13">
        <v>5256.0699696600677</v>
      </c>
      <c r="H642" s="14" t="b">
        <v>1</v>
      </c>
      <c r="I642" s="15">
        <f t="shared" ref="I642:J705" si="40">ROUND(B642, 0)</f>
        <v>5763</v>
      </c>
      <c r="J642" s="15">
        <f t="shared" si="40"/>
        <v>252</v>
      </c>
      <c r="K642" s="15">
        <f t="shared" ref="K642:K705" si="41">ROUND(G642, 0)</f>
        <v>5256</v>
      </c>
      <c r="L642" s="3" t="str">
        <f t="shared" si="38"/>
        <v>Monday</v>
      </c>
      <c r="M642" s="4" t="str">
        <f t="shared" si="39"/>
        <v>Outage Day</v>
      </c>
      <c r="N642" s="4" t="str">
        <f>TEXT(CleanedData[[#This Row],[DAY]], "mmm yyyy")</f>
        <v>May 2024</v>
      </c>
    </row>
    <row r="643" spans="1:14" x14ac:dyDescent="0.3">
      <c r="A643" s="5">
        <v>45433</v>
      </c>
      <c r="B643" s="12">
        <v>313.5</v>
      </c>
      <c r="C643" s="12">
        <v>21</v>
      </c>
      <c r="D643" s="2" t="s">
        <v>6</v>
      </c>
      <c r="E643" s="2" t="s">
        <v>7</v>
      </c>
      <c r="F643" s="1">
        <v>184</v>
      </c>
      <c r="G643" s="13">
        <v>293.31814407017794</v>
      </c>
      <c r="H643" s="14" t="b">
        <v>0</v>
      </c>
      <c r="I643" s="15">
        <f t="shared" si="40"/>
        <v>314</v>
      </c>
      <c r="J643" s="15">
        <f t="shared" si="40"/>
        <v>21</v>
      </c>
      <c r="K643" s="15">
        <f t="shared" si="41"/>
        <v>293</v>
      </c>
      <c r="L643" s="3" t="str">
        <f t="shared" ref="L643:L706" si="42">TEXT(A643,"dddd")</f>
        <v>Tuesday</v>
      </c>
      <c r="M643" s="4" t="str">
        <f t="shared" ref="M643:M706" si="43">IF(H643=TRUE, "Outage Day", "Normal Day")</f>
        <v>Normal Day</v>
      </c>
      <c r="N643" s="4" t="str">
        <f>TEXT(CleanedData[[#This Row],[DAY]], "mmm yyyy")</f>
        <v>May 2024</v>
      </c>
    </row>
    <row r="644" spans="1:14" x14ac:dyDescent="0.3">
      <c r="A644" s="5">
        <v>45433</v>
      </c>
      <c r="B644" s="12">
        <v>415.5</v>
      </c>
      <c r="C644" s="12">
        <v>21</v>
      </c>
      <c r="D644" s="2" t="s">
        <v>6</v>
      </c>
      <c r="E644" s="2" t="s">
        <v>8</v>
      </c>
      <c r="F644" s="1">
        <v>52</v>
      </c>
      <c r="G644" s="13">
        <v>367.70982269487945</v>
      </c>
      <c r="H644" s="14" t="b">
        <v>0</v>
      </c>
      <c r="I644" s="15">
        <f t="shared" si="40"/>
        <v>416</v>
      </c>
      <c r="J644" s="15">
        <f t="shared" si="40"/>
        <v>21</v>
      </c>
      <c r="K644" s="15">
        <f t="shared" si="41"/>
        <v>368</v>
      </c>
      <c r="L644" s="3" t="str">
        <f t="shared" si="42"/>
        <v>Tuesday</v>
      </c>
      <c r="M644" s="4" t="str">
        <f t="shared" si="43"/>
        <v>Normal Day</v>
      </c>
      <c r="N644" s="4" t="str">
        <f>TEXT(CleanedData[[#This Row],[DAY]], "mmm yyyy")</f>
        <v>May 2024</v>
      </c>
    </row>
    <row r="645" spans="1:14" x14ac:dyDescent="0.3">
      <c r="A645" s="5">
        <v>45433</v>
      </c>
      <c r="B645" s="12">
        <v>1548</v>
      </c>
      <c r="C645" s="12">
        <v>9</v>
      </c>
      <c r="D645" s="2" t="s">
        <v>9</v>
      </c>
      <c r="E645" s="2" t="s">
        <v>8</v>
      </c>
      <c r="F645" s="1">
        <v>528</v>
      </c>
      <c r="G645" s="13">
        <v>1266.2227015033659</v>
      </c>
      <c r="H645" s="14" t="b">
        <v>0</v>
      </c>
      <c r="I645" s="15">
        <f t="shared" si="40"/>
        <v>1548</v>
      </c>
      <c r="J645" s="15">
        <f t="shared" si="40"/>
        <v>9</v>
      </c>
      <c r="K645" s="15">
        <f t="shared" si="41"/>
        <v>1266</v>
      </c>
      <c r="L645" s="3" t="str">
        <f t="shared" si="42"/>
        <v>Tuesday</v>
      </c>
      <c r="M645" s="4" t="str">
        <f t="shared" si="43"/>
        <v>Normal Day</v>
      </c>
      <c r="N645" s="4" t="str">
        <f>TEXT(CleanedData[[#This Row],[DAY]], "mmm yyyy")</f>
        <v>May 2024</v>
      </c>
    </row>
    <row r="646" spans="1:14" x14ac:dyDescent="0.3">
      <c r="A646" s="5">
        <v>45433</v>
      </c>
      <c r="B646" s="12">
        <v>4968</v>
      </c>
      <c r="C646" s="12">
        <v>264</v>
      </c>
      <c r="D646" s="2" t="s">
        <v>10</v>
      </c>
      <c r="E646" s="2" t="s">
        <v>7</v>
      </c>
      <c r="F646" s="1">
        <v>3006</v>
      </c>
      <c r="G646" s="13">
        <v>4677.251726026615</v>
      </c>
      <c r="H646" s="14" t="b">
        <v>0</v>
      </c>
      <c r="I646" s="15">
        <f t="shared" si="40"/>
        <v>4968</v>
      </c>
      <c r="J646" s="15">
        <f t="shared" si="40"/>
        <v>264</v>
      </c>
      <c r="K646" s="15">
        <f t="shared" si="41"/>
        <v>4677</v>
      </c>
      <c r="L646" s="3" t="str">
        <f t="shared" si="42"/>
        <v>Tuesday</v>
      </c>
      <c r="M646" s="4" t="str">
        <f t="shared" si="43"/>
        <v>Normal Day</v>
      </c>
      <c r="N646" s="4" t="str">
        <f>TEXT(CleanedData[[#This Row],[DAY]], "mmm yyyy")</f>
        <v>May 2024</v>
      </c>
    </row>
    <row r="647" spans="1:14" x14ac:dyDescent="0.3">
      <c r="A647" s="5">
        <v>45434</v>
      </c>
      <c r="B647" s="12">
        <v>195</v>
      </c>
      <c r="C647" s="12">
        <v>4.5</v>
      </c>
      <c r="D647" s="2" t="s">
        <v>6</v>
      </c>
      <c r="E647" s="2" t="s">
        <v>8</v>
      </c>
      <c r="F647" s="1">
        <v>26</v>
      </c>
      <c r="G647" s="13">
        <v>173.13949106251124</v>
      </c>
      <c r="H647" s="14" t="b">
        <v>1</v>
      </c>
      <c r="I647" s="15">
        <f t="shared" si="40"/>
        <v>195</v>
      </c>
      <c r="J647" s="15">
        <f t="shared" si="40"/>
        <v>5</v>
      </c>
      <c r="K647" s="15">
        <f t="shared" si="41"/>
        <v>173</v>
      </c>
      <c r="L647" s="3" t="str">
        <f t="shared" si="42"/>
        <v>Wednesday</v>
      </c>
      <c r="M647" s="4" t="str">
        <f t="shared" si="43"/>
        <v>Outage Day</v>
      </c>
      <c r="N647" s="4" t="str">
        <f>TEXT(CleanedData[[#This Row],[DAY]], "mmm yyyy")</f>
        <v>May 2024</v>
      </c>
    </row>
    <row r="648" spans="1:14" x14ac:dyDescent="0.3">
      <c r="A648" s="5">
        <v>45434</v>
      </c>
      <c r="B648" s="12">
        <v>199.5</v>
      </c>
      <c r="C648" s="12">
        <v>4.5</v>
      </c>
      <c r="D648" s="2" t="s">
        <v>6</v>
      </c>
      <c r="E648" s="2" t="s">
        <v>7</v>
      </c>
      <c r="F648" s="1">
        <v>99</v>
      </c>
      <c r="G648" s="13">
        <v>181.5674368661081</v>
      </c>
      <c r="H648" s="14" t="b">
        <v>1</v>
      </c>
      <c r="I648" s="15">
        <f t="shared" si="40"/>
        <v>200</v>
      </c>
      <c r="J648" s="15">
        <f t="shared" si="40"/>
        <v>5</v>
      </c>
      <c r="K648" s="15">
        <f t="shared" si="41"/>
        <v>182</v>
      </c>
      <c r="L648" s="3" t="str">
        <f t="shared" si="42"/>
        <v>Wednesday</v>
      </c>
      <c r="M648" s="4" t="str">
        <f t="shared" si="43"/>
        <v>Outage Day</v>
      </c>
      <c r="N648" s="4" t="str">
        <f>TEXT(CleanedData[[#This Row],[DAY]], "mmm yyyy")</f>
        <v>May 2024</v>
      </c>
    </row>
    <row r="649" spans="1:14" x14ac:dyDescent="0.3">
      <c r="A649" s="5">
        <v>45434</v>
      </c>
      <c r="B649" s="12">
        <v>1528.5</v>
      </c>
      <c r="C649" s="12">
        <v>36</v>
      </c>
      <c r="D649" s="2" t="s">
        <v>9</v>
      </c>
      <c r="E649" s="2" t="s">
        <v>8</v>
      </c>
      <c r="F649" s="1">
        <v>986</v>
      </c>
      <c r="G649" s="13">
        <v>1392.2063233866838</v>
      </c>
      <c r="H649" s="14" t="b">
        <v>1</v>
      </c>
      <c r="I649" s="15">
        <f t="shared" si="40"/>
        <v>1529</v>
      </c>
      <c r="J649" s="15">
        <f t="shared" si="40"/>
        <v>36</v>
      </c>
      <c r="K649" s="15">
        <f t="shared" si="41"/>
        <v>1392</v>
      </c>
      <c r="L649" s="3" t="str">
        <f t="shared" si="42"/>
        <v>Wednesday</v>
      </c>
      <c r="M649" s="4" t="str">
        <f t="shared" si="43"/>
        <v>Outage Day</v>
      </c>
      <c r="N649" s="4" t="str">
        <f>TEXT(CleanedData[[#This Row],[DAY]], "mmm yyyy")</f>
        <v>May 2024</v>
      </c>
    </row>
    <row r="650" spans="1:14" x14ac:dyDescent="0.3">
      <c r="A650" s="5">
        <v>45434</v>
      </c>
      <c r="B650" s="12">
        <v>4246.5</v>
      </c>
      <c r="C650" s="12">
        <v>123</v>
      </c>
      <c r="D650" s="2" t="s">
        <v>10</v>
      </c>
      <c r="E650" s="2" t="s">
        <v>7</v>
      </c>
      <c r="F650" s="1">
        <v>2685</v>
      </c>
      <c r="G650" s="13">
        <v>3865.5783572359614</v>
      </c>
      <c r="H650" s="14" t="b">
        <v>1</v>
      </c>
      <c r="I650" s="15">
        <f t="shared" si="40"/>
        <v>4247</v>
      </c>
      <c r="J650" s="15">
        <f t="shared" si="40"/>
        <v>123</v>
      </c>
      <c r="K650" s="15">
        <f t="shared" si="41"/>
        <v>3866</v>
      </c>
      <c r="L650" s="3" t="str">
        <f t="shared" si="42"/>
        <v>Wednesday</v>
      </c>
      <c r="M650" s="4" t="str">
        <f t="shared" si="43"/>
        <v>Outage Day</v>
      </c>
      <c r="N650" s="4" t="str">
        <f>TEXT(CleanedData[[#This Row],[DAY]], "mmm yyyy")</f>
        <v>May 2024</v>
      </c>
    </row>
    <row r="651" spans="1:14" x14ac:dyDescent="0.3">
      <c r="A651" s="5">
        <v>45435</v>
      </c>
      <c r="B651" s="12">
        <v>321</v>
      </c>
      <c r="C651" s="12">
        <v>21</v>
      </c>
      <c r="D651" s="2" t="s">
        <v>6</v>
      </c>
      <c r="E651" s="2" t="s">
        <v>8</v>
      </c>
      <c r="F651" s="1">
        <v>76</v>
      </c>
      <c r="G651" s="13">
        <v>294.36806803805206</v>
      </c>
      <c r="H651" s="14" t="b">
        <v>1</v>
      </c>
      <c r="I651" s="15">
        <f t="shared" si="40"/>
        <v>321</v>
      </c>
      <c r="J651" s="15">
        <f t="shared" si="40"/>
        <v>21</v>
      </c>
      <c r="K651" s="15">
        <f t="shared" si="41"/>
        <v>294</v>
      </c>
      <c r="L651" s="3" t="str">
        <f t="shared" si="42"/>
        <v>Thursday</v>
      </c>
      <c r="M651" s="4" t="str">
        <f t="shared" si="43"/>
        <v>Outage Day</v>
      </c>
      <c r="N651" s="4" t="str">
        <f>TEXT(CleanedData[[#This Row],[DAY]], "mmm yyyy")</f>
        <v>May 2024</v>
      </c>
    </row>
    <row r="652" spans="1:14" x14ac:dyDescent="0.3">
      <c r="A652" s="5">
        <v>45435</v>
      </c>
      <c r="B652" s="12">
        <v>469.5</v>
      </c>
      <c r="C652" s="12">
        <v>21</v>
      </c>
      <c r="D652" s="2" t="s">
        <v>6</v>
      </c>
      <c r="E652" s="2" t="s">
        <v>7</v>
      </c>
      <c r="F652" s="1">
        <v>167</v>
      </c>
      <c r="G652" s="13">
        <v>428.83831453973528</v>
      </c>
      <c r="H652" s="14" t="b">
        <v>1</v>
      </c>
      <c r="I652" s="15">
        <f t="shared" si="40"/>
        <v>470</v>
      </c>
      <c r="J652" s="15">
        <f t="shared" si="40"/>
        <v>21</v>
      </c>
      <c r="K652" s="15">
        <f t="shared" si="41"/>
        <v>429</v>
      </c>
      <c r="L652" s="3" t="str">
        <f t="shared" si="42"/>
        <v>Thursday</v>
      </c>
      <c r="M652" s="4" t="str">
        <f t="shared" si="43"/>
        <v>Outage Day</v>
      </c>
      <c r="N652" s="4" t="str">
        <f>TEXT(CleanedData[[#This Row],[DAY]], "mmm yyyy")</f>
        <v>May 2024</v>
      </c>
    </row>
    <row r="653" spans="1:14" x14ac:dyDescent="0.3">
      <c r="A653" s="5">
        <v>45435</v>
      </c>
      <c r="B653" s="12">
        <v>2310</v>
      </c>
      <c r="C653" s="12">
        <v>30</v>
      </c>
      <c r="D653" s="2" t="s">
        <v>9</v>
      </c>
      <c r="E653" s="2" t="s">
        <v>8</v>
      </c>
      <c r="F653" s="1">
        <v>100</v>
      </c>
      <c r="G653" s="13">
        <v>1973.3741313017285</v>
      </c>
      <c r="H653" s="14" t="b">
        <v>1</v>
      </c>
      <c r="I653" s="15">
        <f t="shared" si="40"/>
        <v>2310</v>
      </c>
      <c r="J653" s="15">
        <f t="shared" si="40"/>
        <v>30</v>
      </c>
      <c r="K653" s="15">
        <f t="shared" si="41"/>
        <v>1973</v>
      </c>
      <c r="L653" s="3" t="str">
        <f t="shared" si="42"/>
        <v>Thursday</v>
      </c>
      <c r="M653" s="4" t="str">
        <f t="shared" si="43"/>
        <v>Outage Day</v>
      </c>
      <c r="N653" s="4" t="str">
        <f>TEXT(CleanedData[[#This Row],[DAY]], "mmm yyyy")</f>
        <v>May 2024</v>
      </c>
    </row>
    <row r="654" spans="1:14" x14ac:dyDescent="0.3">
      <c r="A654" s="5">
        <v>45435</v>
      </c>
      <c r="B654" s="12">
        <v>5347.5</v>
      </c>
      <c r="C654" s="12">
        <v>78</v>
      </c>
      <c r="D654" s="2" t="s">
        <v>10</v>
      </c>
      <c r="E654" s="2" t="s">
        <v>7</v>
      </c>
      <c r="F654" s="1">
        <v>1050</v>
      </c>
      <c r="G654" s="13">
        <v>4960.436213346532</v>
      </c>
      <c r="H654" s="14" t="b">
        <v>1</v>
      </c>
      <c r="I654" s="15">
        <f t="shared" si="40"/>
        <v>5348</v>
      </c>
      <c r="J654" s="15">
        <f t="shared" si="40"/>
        <v>78</v>
      </c>
      <c r="K654" s="15">
        <f t="shared" si="41"/>
        <v>4960</v>
      </c>
      <c r="L654" s="3" t="str">
        <f t="shared" si="42"/>
        <v>Thursday</v>
      </c>
      <c r="M654" s="4" t="str">
        <f t="shared" si="43"/>
        <v>Outage Day</v>
      </c>
      <c r="N654" s="4" t="str">
        <f>TEXT(CleanedData[[#This Row],[DAY]], "mmm yyyy")</f>
        <v>May 2024</v>
      </c>
    </row>
    <row r="655" spans="1:14" x14ac:dyDescent="0.3">
      <c r="A655" s="5">
        <v>45436</v>
      </c>
      <c r="B655" s="12">
        <v>357</v>
      </c>
      <c r="C655" s="12">
        <v>10.5</v>
      </c>
      <c r="D655" s="2" t="s">
        <v>6</v>
      </c>
      <c r="E655" s="2" t="s">
        <v>8</v>
      </c>
      <c r="F655" s="1">
        <v>46</v>
      </c>
      <c r="G655" s="13">
        <v>300.83997126756736</v>
      </c>
      <c r="H655" s="14" t="b">
        <v>1</v>
      </c>
      <c r="I655" s="15">
        <f t="shared" si="40"/>
        <v>357</v>
      </c>
      <c r="J655" s="15">
        <f t="shared" si="40"/>
        <v>11</v>
      </c>
      <c r="K655" s="15">
        <f t="shared" si="41"/>
        <v>301</v>
      </c>
      <c r="L655" s="3" t="str">
        <f t="shared" si="42"/>
        <v>Friday</v>
      </c>
      <c r="M655" s="4" t="str">
        <f t="shared" si="43"/>
        <v>Outage Day</v>
      </c>
      <c r="N655" s="4" t="str">
        <f>TEXT(CleanedData[[#This Row],[DAY]], "mmm yyyy")</f>
        <v>May 2024</v>
      </c>
    </row>
    <row r="656" spans="1:14" x14ac:dyDescent="0.3">
      <c r="A656" s="5">
        <v>45436</v>
      </c>
      <c r="B656" s="12">
        <v>415.5</v>
      </c>
      <c r="C656" s="12">
        <v>10.5</v>
      </c>
      <c r="D656" s="2" t="s">
        <v>6</v>
      </c>
      <c r="E656" s="2" t="s">
        <v>7</v>
      </c>
      <c r="F656" s="1">
        <v>173</v>
      </c>
      <c r="G656" s="13">
        <v>384.12316776534357</v>
      </c>
      <c r="H656" s="14" t="b">
        <v>1</v>
      </c>
      <c r="I656" s="15">
        <f t="shared" si="40"/>
        <v>416</v>
      </c>
      <c r="J656" s="15">
        <f t="shared" si="40"/>
        <v>11</v>
      </c>
      <c r="K656" s="15">
        <f t="shared" si="41"/>
        <v>384</v>
      </c>
      <c r="L656" s="3" t="str">
        <f t="shared" si="42"/>
        <v>Friday</v>
      </c>
      <c r="M656" s="4" t="str">
        <f t="shared" si="43"/>
        <v>Outage Day</v>
      </c>
      <c r="N656" s="4" t="str">
        <f>TEXT(CleanedData[[#This Row],[DAY]], "mmm yyyy")</f>
        <v>May 2024</v>
      </c>
    </row>
    <row r="657" spans="1:14" x14ac:dyDescent="0.3">
      <c r="A657" s="5">
        <v>45436</v>
      </c>
      <c r="B657" s="12">
        <v>3567</v>
      </c>
      <c r="C657" s="12">
        <v>123</v>
      </c>
      <c r="D657" s="2" t="s">
        <v>9</v>
      </c>
      <c r="E657" s="2" t="s">
        <v>8</v>
      </c>
      <c r="F657" s="1">
        <v>2203</v>
      </c>
      <c r="G657" s="13">
        <v>3095.0503537636851</v>
      </c>
      <c r="H657" s="14" t="b">
        <v>1</v>
      </c>
      <c r="I657" s="15">
        <f t="shared" si="40"/>
        <v>3567</v>
      </c>
      <c r="J657" s="15">
        <f t="shared" si="40"/>
        <v>123</v>
      </c>
      <c r="K657" s="15">
        <f t="shared" si="41"/>
        <v>3095</v>
      </c>
      <c r="L657" s="3" t="str">
        <f t="shared" si="42"/>
        <v>Friday</v>
      </c>
      <c r="M657" s="4" t="str">
        <f t="shared" si="43"/>
        <v>Outage Day</v>
      </c>
      <c r="N657" s="4" t="str">
        <f>TEXT(CleanedData[[#This Row],[DAY]], "mmm yyyy")</f>
        <v>May 2024</v>
      </c>
    </row>
    <row r="658" spans="1:14" x14ac:dyDescent="0.3">
      <c r="A658" s="5">
        <v>45436</v>
      </c>
      <c r="B658" s="12">
        <v>5835</v>
      </c>
      <c r="C658" s="12">
        <v>135</v>
      </c>
      <c r="D658" s="2" t="s">
        <v>10</v>
      </c>
      <c r="E658" s="2" t="s">
        <v>7</v>
      </c>
      <c r="F658" s="1">
        <v>1678</v>
      </c>
      <c r="G658" s="13">
        <v>5504.434541768248</v>
      </c>
      <c r="H658" s="14" t="b">
        <v>1</v>
      </c>
      <c r="I658" s="15">
        <f t="shared" si="40"/>
        <v>5835</v>
      </c>
      <c r="J658" s="15">
        <f t="shared" si="40"/>
        <v>135</v>
      </c>
      <c r="K658" s="15">
        <f t="shared" si="41"/>
        <v>5504</v>
      </c>
      <c r="L658" s="3" t="str">
        <f t="shared" si="42"/>
        <v>Friday</v>
      </c>
      <c r="M658" s="4" t="str">
        <f t="shared" si="43"/>
        <v>Outage Day</v>
      </c>
      <c r="N658" s="4" t="str">
        <f>TEXT(CleanedData[[#This Row],[DAY]], "mmm yyyy")</f>
        <v>May 2024</v>
      </c>
    </row>
    <row r="659" spans="1:14" x14ac:dyDescent="0.3">
      <c r="A659" s="5">
        <v>45437</v>
      </c>
      <c r="B659" s="12">
        <v>216</v>
      </c>
      <c r="C659" s="12">
        <v>9</v>
      </c>
      <c r="D659" s="2" t="s">
        <v>6</v>
      </c>
      <c r="E659" s="2" t="s">
        <v>7</v>
      </c>
      <c r="F659" s="1">
        <v>63</v>
      </c>
      <c r="G659" s="13">
        <v>211.05273118648432</v>
      </c>
      <c r="H659" s="14" t="b">
        <v>0</v>
      </c>
      <c r="I659" s="15">
        <f t="shared" si="40"/>
        <v>216</v>
      </c>
      <c r="J659" s="15">
        <f t="shared" si="40"/>
        <v>9</v>
      </c>
      <c r="K659" s="15">
        <f t="shared" si="41"/>
        <v>211</v>
      </c>
      <c r="L659" s="3" t="str">
        <f t="shared" si="42"/>
        <v>Saturday</v>
      </c>
      <c r="M659" s="4" t="str">
        <f t="shared" si="43"/>
        <v>Normal Day</v>
      </c>
      <c r="N659" s="4" t="str">
        <f>TEXT(CleanedData[[#This Row],[DAY]], "mmm yyyy")</f>
        <v>May 2024</v>
      </c>
    </row>
    <row r="660" spans="1:14" x14ac:dyDescent="0.3">
      <c r="A660" s="5">
        <v>45437</v>
      </c>
      <c r="B660" s="12">
        <v>354</v>
      </c>
      <c r="C660" s="12">
        <v>9</v>
      </c>
      <c r="D660" s="2" t="s">
        <v>6</v>
      </c>
      <c r="E660" s="2" t="s">
        <v>8</v>
      </c>
      <c r="F660" s="1">
        <v>223</v>
      </c>
      <c r="G660" s="13">
        <v>317.23262052455772</v>
      </c>
      <c r="H660" s="14" t="b">
        <v>0</v>
      </c>
      <c r="I660" s="15">
        <f t="shared" si="40"/>
        <v>354</v>
      </c>
      <c r="J660" s="15">
        <f t="shared" si="40"/>
        <v>9</v>
      </c>
      <c r="K660" s="15">
        <f t="shared" si="41"/>
        <v>317</v>
      </c>
      <c r="L660" s="3" t="str">
        <f t="shared" si="42"/>
        <v>Saturday</v>
      </c>
      <c r="M660" s="4" t="str">
        <f t="shared" si="43"/>
        <v>Normal Day</v>
      </c>
      <c r="N660" s="4" t="str">
        <f>TEXT(CleanedData[[#This Row],[DAY]], "mmm yyyy")</f>
        <v>May 2024</v>
      </c>
    </row>
    <row r="661" spans="1:14" x14ac:dyDescent="0.3">
      <c r="A661" s="5">
        <v>45437</v>
      </c>
      <c r="B661" s="12">
        <v>2965.5</v>
      </c>
      <c r="C661" s="12">
        <v>25.5</v>
      </c>
      <c r="D661" s="2" t="s">
        <v>9</v>
      </c>
      <c r="E661" s="2" t="s">
        <v>8</v>
      </c>
      <c r="F661" s="1">
        <v>759</v>
      </c>
      <c r="G661" s="13">
        <v>2522.0030003767624</v>
      </c>
      <c r="H661" s="14" t="b">
        <v>0</v>
      </c>
      <c r="I661" s="15">
        <f t="shared" si="40"/>
        <v>2966</v>
      </c>
      <c r="J661" s="15">
        <f t="shared" si="40"/>
        <v>26</v>
      </c>
      <c r="K661" s="15">
        <f t="shared" si="41"/>
        <v>2522</v>
      </c>
      <c r="L661" s="3" t="str">
        <f t="shared" si="42"/>
        <v>Saturday</v>
      </c>
      <c r="M661" s="4" t="str">
        <f t="shared" si="43"/>
        <v>Normal Day</v>
      </c>
      <c r="N661" s="4" t="str">
        <f>TEXT(CleanedData[[#This Row],[DAY]], "mmm yyyy")</f>
        <v>May 2024</v>
      </c>
    </row>
    <row r="662" spans="1:14" x14ac:dyDescent="0.3">
      <c r="A662" s="5">
        <v>45437</v>
      </c>
      <c r="B662" s="12">
        <v>7024.5</v>
      </c>
      <c r="C662" s="12">
        <v>370.5</v>
      </c>
      <c r="D662" s="2" t="s">
        <v>10</v>
      </c>
      <c r="E662" s="2" t="s">
        <v>7</v>
      </c>
      <c r="F662" s="1">
        <v>2312</v>
      </c>
      <c r="G662" s="13">
        <v>6830.4460437488315</v>
      </c>
      <c r="H662" s="14" t="b">
        <v>0</v>
      </c>
      <c r="I662" s="15">
        <f t="shared" si="40"/>
        <v>7025</v>
      </c>
      <c r="J662" s="15">
        <f t="shared" si="40"/>
        <v>371</v>
      </c>
      <c r="K662" s="15">
        <f t="shared" si="41"/>
        <v>6830</v>
      </c>
      <c r="L662" s="3" t="str">
        <f t="shared" si="42"/>
        <v>Saturday</v>
      </c>
      <c r="M662" s="4" t="str">
        <f t="shared" si="43"/>
        <v>Normal Day</v>
      </c>
      <c r="N662" s="4" t="str">
        <f>TEXT(CleanedData[[#This Row],[DAY]], "mmm yyyy")</f>
        <v>May 2024</v>
      </c>
    </row>
    <row r="663" spans="1:14" x14ac:dyDescent="0.3">
      <c r="A663" s="5">
        <v>45438</v>
      </c>
      <c r="B663" s="12">
        <v>222</v>
      </c>
      <c r="C663" s="12">
        <v>10.5</v>
      </c>
      <c r="D663" s="2" t="s">
        <v>6</v>
      </c>
      <c r="E663" s="2" t="s">
        <v>7</v>
      </c>
      <c r="F663" s="1">
        <v>47</v>
      </c>
      <c r="G663" s="13">
        <v>210.47130812086081</v>
      </c>
      <c r="H663" s="14" t="b">
        <v>0</v>
      </c>
      <c r="I663" s="15">
        <f t="shared" si="40"/>
        <v>222</v>
      </c>
      <c r="J663" s="15">
        <f t="shared" si="40"/>
        <v>11</v>
      </c>
      <c r="K663" s="15">
        <f t="shared" si="41"/>
        <v>210</v>
      </c>
      <c r="L663" s="3" t="str">
        <f t="shared" si="42"/>
        <v>Sunday</v>
      </c>
      <c r="M663" s="4" t="str">
        <f t="shared" si="43"/>
        <v>Normal Day</v>
      </c>
      <c r="N663" s="4" t="str">
        <f>TEXT(CleanedData[[#This Row],[DAY]], "mmm yyyy")</f>
        <v>May 2024</v>
      </c>
    </row>
    <row r="664" spans="1:14" x14ac:dyDescent="0.3">
      <c r="A664" s="5">
        <v>45438</v>
      </c>
      <c r="B664" s="12">
        <v>318</v>
      </c>
      <c r="C664" s="12">
        <v>10.5</v>
      </c>
      <c r="D664" s="2" t="s">
        <v>6</v>
      </c>
      <c r="E664" s="2" t="s">
        <v>8</v>
      </c>
      <c r="F664" s="1">
        <v>115</v>
      </c>
      <c r="G664" s="13">
        <v>287.84655969221279</v>
      </c>
      <c r="H664" s="14" t="b">
        <v>0</v>
      </c>
      <c r="I664" s="15">
        <f t="shared" si="40"/>
        <v>318</v>
      </c>
      <c r="J664" s="15">
        <f t="shared" si="40"/>
        <v>11</v>
      </c>
      <c r="K664" s="15">
        <f t="shared" si="41"/>
        <v>288</v>
      </c>
      <c r="L664" s="3" t="str">
        <f t="shared" si="42"/>
        <v>Sunday</v>
      </c>
      <c r="M664" s="4" t="str">
        <f t="shared" si="43"/>
        <v>Normal Day</v>
      </c>
      <c r="N664" s="4" t="str">
        <f>TEXT(CleanedData[[#This Row],[DAY]], "mmm yyyy")</f>
        <v>May 2024</v>
      </c>
    </row>
    <row r="665" spans="1:14" x14ac:dyDescent="0.3">
      <c r="A665" s="5">
        <v>45438</v>
      </c>
      <c r="B665" s="12">
        <v>1990.5</v>
      </c>
      <c r="C665" s="12">
        <v>91.5</v>
      </c>
      <c r="D665" s="2" t="s">
        <v>9</v>
      </c>
      <c r="E665" s="2" t="s">
        <v>8</v>
      </c>
      <c r="F665" s="1">
        <v>1289</v>
      </c>
      <c r="G665" s="13">
        <v>1803.3879074805525</v>
      </c>
      <c r="H665" s="14" t="b">
        <v>0</v>
      </c>
      <c r="I665" s="15">
        <f t="shared" si="40"/>
        <v>1991</v>
      </c>
      <c r="J665" s="15">
        <f t="shared" si="40"/>
        <v>92</v>
      </c>
      <c r="K665" s="15">
        <f t="shared" si="41"/>
        <v>1803</v>
      </c>
      <c r="L665" s="3" t="str">
        <f t="shared" si="42"/>
        <v>Sunday</v>
      </c>
      <c r="M665" s="4" t="str">
        <f t="shared" si="43"/>
        <v>Normal Day</v>
      </c>
      <c r="N665" s="4" t="str">
        <f>TEXT(CleanedData[[#This Row],[DAY]], "mmm yyyy")</f>
        <v>May 2024</v>
      </c>
    </row>
    <row r="666" spans="1:14" x14ac:dyDescent="0.3">
      <c r="A666" s="5">
        <v>45438</v>
      </c>
      <c r="B666" s="12">
        <v>6187.5</v>
      </c>
      <c r="C666" s="12">
        <v>226.5</v>
      </c>
      <c r="D666" s="2" t="s">
        <v>10</v>
      </c>
      <c r="E666" s="2" t="s">
        <v>7</v>
      </c>
      <c r="F666" s="1">
        <v>323</v>
      </c>
      <c r="G666" s="13">
        <v>6020.4109107699114</v>
      </c>
      <c r="H666" s="14" t="b">
        <v>0</v>
      </c>
      <c r="I666" s="15">
        <f t="shared" si="40"/>
        <v>6188</v>
      </c>
      <c r="J666" s="15">
        <f t="shared" si="40"/>
        <v>227</v>
      </c>
      <c r="K666" s="15">
        <f t="shared" si="41"/>
        <v>6020</v>
      </c>
      <c r="L666" s="3" t="str">
        <f t="shared" si="42"/>
        <v>Sunday</v>
      </c>
      <c r="M666" s="4" t="str">
        <f t="shared" si="43"/>
        <v>Normal Day</v>
      </c>
      <c r="N666" s="4" t="str">
        <f>TEXT(CleanedData[[#This Row],[DAY]], "mmm yyyy")</f>
        <v>May 2024</v>
      </c>
    </row>
    <row r="667" spans="1:14" x14ac:dyDescent="0.3">
      <c r="A667" s="5">
        <v>45439</v>
      </c>
      <c r="B667" s="12">
        <v>1.5</v>
      </c>
      <c r="C667" s="12">
        <v>1.5</v>
      </c>
      <c r="D667" s="2" t="s">
        <v>10</v>
      </c>
      <c r="E667" s="2" t="s">
        <v>8</v>
      </c>
      <c r="F667" s="1">
        <v>1</v>
      </c>
      <c r="G667" s="13">
        <v>2.431671458344848</v>
      </c>
      <c r="H667" s="14" t="b">
        <v>0</v>
      </c>
      <c r="I667" s="15">
        <f t="shared" si="40"/>
        <v>2</v>
      </c>
      <c r="J667" s="15">
        <f t="shared" si="40"/>
        <v>2</v>
      </c>
      <c r="K667" s="15">
        <f t="shared" si="41"/>
        <v>2</v>
      </c>
      <c r="L667" s="3" t="str">
        <f t="shared" si="42"/>
        <v>Monday</v>
      </c>
      <c r="M667" s="4" t="str">
        <f t="shared" si="43"/>
        <v>Normal Day</v>
      </c>
      <c r="N667" s="4" t="str">
        <f>TEXT(CleanedData[[#This Row],[DAY]], "mmm yyyy")</f>
        <v>May 2024</v>
      </c>
    </row>
    <row r="668" spans="1:14" x14ac:dyDescent="0.3">
      <c r="A668" s="5">
        <v>45439</v>
      </c>
      <c r="B668" s="12">
        <v>324</v>
      </c>
      <c r="C668" s="12">
        <v>36</v>
      </c>
      <c r="D668" s="2" t="s">
        <v>6</v>
      </c>
      <c r="E668" s="2" t="s">
        <v>8</v>
      </c>
      <c r="F668" s="1">
        <v>118</v>
      </c>
      <c r="G668" s="13">
        <v>312.07581236622173</v>
      </c>
      <c r="H668" s="14" t="b">
        <v>0</v>
      </c>
      <c r="I668" s="15">
        <f t="shared" si="40"/>
        <v>324</v>
      </c>
      <c r="J668" s="15">
        <f t="shared" si="40"/>
        <v>36</v>
      </c>
      <c r="K668" s="15">
        <f t="shared" si="41"/>
        <v>312</v>
      </c>
      <c r="L668" s="3" t="str">
        <f t="shared" si="42"/>
        <v>Monday</v>
      </c>
      <c r="M668" s="4" t="str">
        <f t="shared" si="43"/>
        <v>Normal Day</v>
      </c>
      <c r="N668" s="4" t="str">
        <f>TEXT(CleanedData[[#This Row],[DAY]], "mmm yyyy")</f>
        <v>May 2024</v>
      </c>
    </row>
    <row r="669" spans="1:14" x14ac:dyDescent="0.3">
      <c r="A669" s="5">
        <v>45439</v>
      </c>
      <c r="B669" s="12">
        <v>598.5</v>
      </c>
      <c r="C669" s="12">
        <v>36</v>
      </c>
      <c r="D669" s="2" t="s">
        <v>6</v>
      </c>
      <c r="E669" s="2" t="s">
        <v>7</v>
      </c>
      <c r="F669" s="1">
        <v>384</v>
      </c>
      <c r="G669" s="13">
        <v>554.29176156086965</v>
      </c>
      <c r="H669" s="14" t="b">
        <v>1</v>
      </c>
      <c r="I669" s="15">
        <f t="shared" si="40"/>
        <v>599</v>
      </c>
      <c r="J669" s="15">
        <f t="shared" si="40"/>
        <v>36</v>
      </c>
      <c r="K669" s="15">
        <f t="shared" si="41"/>
        <v>554</v>
      </c>
      <c r="L669" s="3" t="str">
        <f t="shared" si="42"/>
        <v>Monday</v>
      </c>
      <c r="M669" s="4" t="str">
        <f t="shared" si="43"/>
        <v>Outage Day</v>
      </c>
      <c r="N669" s="4" t="str">
        <f>TEXT(CleanedData[[#This Row],[DAY]], "mmm yyyy")</f>
        <v>May 2024</v>
      </c>
    </row>
    <row r="670" spans="1:14" x14ac:dyDescent="0.3">
      <c r="A670" s="5">
        <v>45439</v>
      </c>
      <c r="B670" s="12">
        <v>3520.5</v>
      </c>
      <c r="C670" s="12">
        <v>159</v>
      </c>
      <c r="D670" s="2" t="s">
        <v>9</v>
      </c>
      <c r="E670" s="2" t="s">
        <v>8</v>
      </c>
      <c r="F670" s="1">
        <v>1573</v>
      </c>
      <c r="G670" s="13">
        <v>2993.687340753469</v>
      </c>
      <c r="H670" s="14" t="b">
        <v>0</v>
      </c>
      <c r="I670" s="15">
        <f t="shared" si="40"/>
        <v>3521</v>
      </c>
      <c r="J670" s="15">
        <f t="shared" si="40"/>
        <v>159</v>
      </c>
      <c r="K670" s="15">
        <f t="shared" si="41"/>
        <v>2994</v>
      </c>
      <c r="L670" s="3" t="str">
        <f t="shared" si="42"/>
        <v>Monday</v>
      </c>
      <c r="M670" s="4" t="str">
        <f t="shared" si="43"/>
        <v>Normal Day</v>
      </c>
      <c r="N670" s="4" t="str">
        <f>TEXT(CleanedData[[#This Row],[DAY]], "mmm yyyy")</f>
        <v>May 2024</v>
      </c>
    </row>
    <row r="671" spans="1:14" x14ac:dyDescent="0.3">
      <c r="A671" s="5">
        <v>45439</v>
      </c>
      <c r="B671" s="12">
        <v>6127.5</v>
      </c>
      <c r="C671" s="12">
        <v>375</v>
      </c>
      <c r="D671" s="2" t="s">
        <v>10</v>
      </c>
      <c r="E671" s="2" t="s">
        <v>7</v>
      </c>
      <c r="F671" s="1">
        <v>3128</v>
      </c>
      <c r="G671" s="13">
        <v>5906.0735851600557</v>
      </c>
      <c r="H671" s="14" t="b">
        <v>0</v>
      </c>
      <c r="I671" s="15">
        <f t="shared" si="40"/>
        <v>6128</v>
      </c>
      <c r="J671" s="15">
        <f t="shared" si="40"/>
        <v>375</v>
      </c>
      <c r="K671" s="15">
        <f t="shared" si="41"/>
        <v>5906</v>
      </c>
      <c r="L671" s="3" t="str">
        <f t="shared" si="42"/>
        <v>Monday</v>
      </c>
      <c r="M671" s="4" t="str">
        <f t="shared" si="43"/>
        <v>Normal Day</v>
      </c>
      <c r="N671" s="4" t="str">
        <f>TEXT(CleanedData[[#This Row],[DAY]], "mmm yyyy")</f>
        <v>May 2024</v>
      </c>
    </row>
    <row r="672" spans="1:14" x14ac:dyDescent="0.3">
      <c r="A672" s="5">
        <v>45440</v>
      </c>
      <c r="B672" s="12">
        <v>1.5</v>
      </c>
      <c r="C672" s="12">
        <v>1.5</v>
      </c>
      <c r="D672" s="2" t="s">
        <v>10</v>
      </c>
      <c r="E672" s="2" t="s">
        <v>8</v>
      </c>
      <c r="F672" s="1">
        <v>1</v>
      </c>
      <c r="G672" s="13">
        <v>2.5754000530360592</v>
      </c>
      <c r="H672" s="14" t="b">
        <v>0</v>
      </c>
      <c r="I672" s="15">
        <f t="shared" si="40"/>
        <v>2</v>
      </c>
      <c r="J672" s="15">
        <f t="shared" si="40"/>
        <v>2</v>
      </c>
      <c r="K672" s="15">
        <f t="shared" si="41"/>
        <v>3</v>
      </c>
      <c r="L672" s="3" t="str">
        <f t="shared" si="42"/>
        <v>Tuesday</v>
      </c>
      <c r="M672" s="4" t="str">
        <f t="shared" si="43"/>
        <v>Normal Day</v>
      </c>
      <c r="N672" s="4" t="str">
        <f>TEXT(CleanedData[[#This Row],[DAY]], "mmm yyyy")</f>
        <v>May 2024</v>
      </c>
    </row>
    <row r="673" spans="1:14" x14ac:dyDescent="0.3">
      <c r="A673" s="5">
        <v>45440</v>
      </c>
      <c r="B673" s="12">
        <v>111</v>
      </c>
      <c r="C673" s="12">
        <v>22.5</v>
      </c>
      <c r="D673" s="2" t="s">
        <v>6</v>
      </c>
      <c r="E673" s="2" t="s">
        <v>8</v>
      </c>
      <c r="F673" s="1">
        <v>58</v>
      </c>
      <c r="G673" s="13">
        <v>115.81620742245457</v>
      </c>
      <c r="H673" s="14" t="b">
        <v>0</v>
      </c>
      <c r="I673" s="15">
        <f t="shared" si="40"/>
        <v>111</v>
      </c>
      <c r="J673" s="15">
        <f t="shared" si="40"/>
        <v>23</v>
      </c>
      <c r="K673" s="15">
        <f t="shared" si="41"/>
        <v>116</v>
      </c>
      <c r="L673" s="3" t="str">
        <f t="shared" si="42"/>
        <v>Tuesday</v>
      </c>
      <c r="M673" s="4" t="str">
        <f t="shared" si="43"/>
        <v>Normal Day</v>
      </c>
      <c r="N673" s="4" t="str">
        <f>TEXT(CleanedData[[#This Row],[DAY]], "mmm yyyy")</f>
        <v>May 2024</v>
      </c>
    </row>
    <row r="674" spans="1:14" x14ac:dyDescent="0.3">
      <c r="A674" s="5">
        <v>45440</v>
      </c>
      <c r="B674" s="12">
        <v>376.5</v>
      </c>
      <c r="C674" s="12">
        <v>22.5</v>
      </c>
      <c r="D674" s="2" t="s">
        <v>6</v>
      </c>
      <c r="E674" s="2" t="s">
        <v>7</v>
      </c>
      <c r="F674" s="1">
        <v>16</v>
      </c>
      <c r="G674" s="13">
        <v>369.9760153579503</v>
      </c>
      <c r="H674" s="14" t="b">
        <v>0</v>
      </c>
      <c r="I674" s="15">
        <f t="shared" si="40"/>
        <v>377</v>
      </c>
      <c r="J674" s="15">
        <f t="shared" si="40"/>
        <v>23</v>
      </c>
      <c r="K674" s="15">
        <f t="shared" si="41"/>
        <v>370</v>
      </c>
      <c r="L674" s="3" t="str">
        <f t="shared" si="42"/>
        <v>Tuesday</v>
      </c>
      <c r="M674" s="4" t="str">
        <f t="shared" si="43"/>
        <v>Normal Day</v>
      </c>
      <c r="N674" s="4" t="str">
        <f>TEXT(CleanedData[[#This Row],[DAY]], "mmm yyyy")</f>
        <v>May 2024</v>
      </c>
    </row>
    <row r="675" spans="1:14" x14ac:dyDescent="0.3">
      <c r="A675" s="5">
        <v>45440</v>
      </c>
      <c r="B675" s="12">
        <v>2688</v>
      </c>
      <c r="C675" s="12">
        <v>28.5</v>
      </c>
      <c r="D675" s="2" t="s">
        <v>9</v>
      </c>
      <c r="E675" s="2" t="s">
        <v>8</v>
      </c>
      <c r="F675" s="1">
        <v>1605</v>
      </c>
      <c r="G675" s="13">
        <v>2370.5349266638909</v>
      </c>
      <c r="H675" s="14" t="b">
        <v>0</v>
      </c>
      <c r="I675" s="15">
        <f t="shared" si="40"/>
        <v>2688</v>
      </c>
      <c r="J675" s="15">
        <f t="shared" si="40"/>
        <v>29</v>
      </c>
      <c r="K675" s="15">
        <f t="shared" si="41"/>
        <v>2371</v>
      </c>
      <c r="L675" s="3" t="str">
        <f t="shared" si="42"/>
        <v>Tuesday</v>
      </c>
      <c r="M675" s="4" t="str">
        <f t="shared" si="43"/>
        <v>Normal Day</v>
      </c>
      <c r="N675" s="4" t="str">
        <f>TEXT(CleanedData[[#This Row],[DAY]], "mmm yyyy")</f>
        <v>May 2024</v>
      </c>
    </row>
    <row r="676" spans="1:14" x14ac:dyDescent="0.3">
      <c r="A676" s="5">
        <v>45440</v>
      </c>
      <c r="B676" s="12">
        <v>5607</v>
      </c>
      <c r="C676" s="12">
        <v>352.5</v>
      </c>
      <c r="D676" s="2" t="s">
        <v>10</v>
      </c>
      <c r="E676" s="2" t="s">
        <v>7</v>
      </c>
      <c r="F676" s="1">
        <v>380</v>
      </c>
      <c r="G676" s="13">
        <v>5559.2535070822578</v>
      </c>
      <c r="H676" s="14" t="b">
        <v>1</v>
      </c>
      <c r="I676" s="15">
        <f t="shared" si="40"/>
        <v>5607</v>
      </c>
      <c r="J676" s="15">
        <f t="shared" si="40"/>
        <v>353</v>
      </c>
      <c r="K676" s="15">
        <f t="shared" si="41"/>
        <v>5559</v>
      </c>
      <c r="L676" s="3" t="str">
        <f t="shared" si="42"/>
        <v>Tuesday</v>
      </c>
      <c r="M676" s="4" t="str">
        <f t="shared" si="43"/>
        <v>Outage Day</v>
      </c>
      <c r="N676" s="4" t="str">
        <f>TEXT(CleanedData[[#This Row],[DAY]], "mmm yyyy")</f>
        <v>May 2024</v>
      </c>
    </row>
    <row r="677" spans="1:14" x14ac:dyDescent="0.3">
      <c r="A677" s="5">
        <v>45441</v>
      </c>
      <c r="B677" s="12">
        <v>127.5</v>
      </c>
      <c r="C677" s="12">
        <v>6</v>
      </c>
      <c r="D677" s="2" t="s">
        <v>6</v>
      </c>
      <c r="E677" s="2" t="s">
        <v>8</v>
      </c>
      <c r="F677" s="1">
        <v>5</v>
      </c>
      <c r="G677" s="13">
        <v>116.4440140486963</v>
      </c>
      <c r="H677" s="14" t="b">
        <v>0</v>
      </c>
      <c r="I677" s="15">
        <f t="shared" si="40"/>
        <v>128</v>
      </c>
      <c r="J677" s="15">
        <f t="shared" si="40"/>
        <v>6</v>
      </c>
      <c r="K677" s="15">
        <f t="shared" si="41"/>
        <v>116</v>
      </c>
      <c r="L677" s="3" t="str">
        <f t="shared" si="42"/>
        <v>Wednesday</v>
      </c>
      <c r="M677" s="4" t="str">
        <f t="shared" si="43"/>
        <v>Normal Day</v>
      </c>
      <c r="N677" s="4" t="str">
        <f>TEXT(CleanedData[[#This Row],[DAY]], "mmm yyyy")</f>
        <v>May 2024</v>
      </c>
    </row>
    <row r="678" spans="1:14" x14ac:dyDescent="0.3">
      <c r="A678" s="5">
        <v>45441</v>
      </c>
      <c r="B678" s="12">
        <v>178.5</v>
      </c>
      <c r="C678" s="12">
        <v>6</v>
      </c>
      <c r="D678" s="2" t="s">
        <v>6</v>
      </c>
      <c r="E678" s="2" t="s">
        <v>7</v>
      </c>
      <c r="F678" s="1">
        <v>31</v>
      </c>
      <c r="G678" s="13">
        <v>165.06879098877826</v>
      </c>
      <c r="H678" s="14" t="b">
        <v>0</v>
      </c>
      <c r="I678" s="15">
        <f t="shared" si="40"/>
        <v>179</v>
      </c>
      <c r="J678" s="15">
        <f t="shared" si="40"/>
        <v>6</v>
      </c>
      <c r="K678" s="15">
        <f t="shared" si="41"/>
        <v>165</v>
      </c>
      <c r="L678" s="3" t="str">
        <f t="shared" si="42"/>
        <v>Wednesday</v>
      </c>
      <c r="M678" s="4" t="str">
        <f t="shared" si="43"/>
        <v>Normal Day</v>
      </c>
      <c r="N678" s="4" t="str">
        <f>TEXT(CleanedData[[#This Row],[DAY]], "mmm yyyy")</f>
        <v>May 2024</v>
      </c>
    </row>
    <row r="679" spans="1:14" x14ac:dyDescent="0.3">
      <c r="A679" s="5">
        <v>45441</v>
      </c>
      <c r="B679" s="12">
        <v>2133</v>
      </c>
      <c r="C679" s="12">
        <v>64.5</v>
      </c>
      <c r="D679" s="2" t="s">
        <v>9</v>
      </c>
      <c r="E679" s="2" t="s">
        <v>8</v>
      </c>
      <c r="F679" s="1">
        <v>1049</v>
      </c>
      <c r="G679" s="13">
        <v>1778.1173095303354</v>
      </c>
      <c r="H679" s="14" t="b">
        <v>0</v>
      </c>
      <c r="I679" s="15">
        <f t="shared" si="40"/>
        <v>2133</v>
      </c>
      <c r="J679" s="15">
        <f t="shared" si="40"/>
        <v>65</v>
      </c>
      <c r="K679" s="15">
        <f t="shared" si="41"/>
        <v>1778</v>
      </c>
      <c r="L679" s="3" t="str">
        <f t="shared" si="42"/>
        <v>Wednesday</v>
      </c>
      <c r="M679" s="4" t="str">
        <f t="shared" si="43"/>
        <v>Normal Day</v>
      </c>
      <c r="N679" s="4" t="str">
        <f>TEXT(CleanedData[[#This Row],[DAY]], "mmm yyyy")</f>
        <v>May 2024</v>
      </c>
    </row>
    <row r="680" spans="1:14" x14ac:dyDescent="0.3">
      <c r="A680" s="5">
        <v>45441</v>
      </c>
      <c r="B680" s="12">
        <v>5158.5</v>
      </c>
      <c r="C680" s="12">
        <v>255</v>
      </c>
      <c r="D680" s="2" t="s">
        <v>10</v>
      </c>
      <c r="E680" s="2" t="s">
        <v>7</v>
      </c>
      <c r="F680" s="1">
        <v>928</v>
      </c>
      <c r="G680" s="13">
        <v>4921.8776591670567</v>
      </c>
      <c r="H680" s="14" t="b">
        <v>0</v>
      </c>
      <c r="I680" s="15">
        <f t="shared" si="40"/>
        <v>5159</v>
      </c>
      <c r="J680" s="15">
        <f t="shared" si="40"/>
        <v>255</v>
      </c>
      <c r="K680" s="15">
        <f t="shared" si="41"/>
        <v>4922</v>
      </c>
      <c r="L680" s="3" t="str">
        <f t="shared" si="42"/>
        <v>Wednesday</v>
      </c>
      <c r="M680" s="4" t="str">
        <f t="shared" si="43"/>
        <v>Normal Day</v>
      </c>
      <c r="N680" s="4" t="str">
        <f>TEXT(CleanedData[[#This Row],[DAY]], "mmm yyyy")</f>
        <v>May 2024</v>
      </c>
    </row>
    <row r="681" spans="1:14" x14ac:dyDescent="0.3">
      <c r="A681" s="5">
        <v>45442</v>
      </c>
      <c r="B681" s="12">
        <v>381</v>
      </c>
      <c r="C681" s="12">
        <v>18</v>
      </c>
      <c r="D681" s="2" t="s">
        <v>6</v>
      </c>
      <c r="E681" s="2" t="s">
        <v>8</v>
      </c>
      <c r="F681" s="1">
        <v>140</v>
      </c>
      <c r="G681" s="13">
        <v>354.61537738414245</v>
      </c>
      <c r="H681" s="14" t="b">
        <v>0</v>
      </c>
      <c r="I681" s="15">
        <f t="shared" si="40"/>
        <v>381</v>
      </c>
      <c r="J681" s="15">
        <f t="shared" si="40"/>
        <v>18</v>
      </c>
      <c r="K681" s="15">
        <f t="shared" si="41"/>
        <v>355</v>
      </c>
      <c r="L681" s="3" t="str">
        <f t="shared" si="42"/>
        <v>Thursday</v>
      </c>
      <c r="M681" s="4" t="str">
        <f t="shared" si="43"/>
        <v>Normal Day</v>
      </c>
      <c r="N681" s="4" t="str">
        <f>TEXT(CleanedData[[#This Row],[DAY]], "mmm yyyy")</f>
        <v>May 2024</v>
      </c>
    </row>
    <row r="682" spans="1:14" x14ac:dyDescent="0.3">
      <c r="A682" s="5">
        <v>45442</v>
      </c>
      <c r="B682" s="12">
        <v>967.5</v>
      </c>
      <c r="C682" s="12">
        <v>18</v>
      </c>
      <c r="D682" s="2" t="s">
        <v>6</v>
      </c>
      <c r="E682" s="2" t="s">
        <v>7</v>
      </c>
      <c r="F682" s="1">
        <v>296</v>
      </c>
      <c r="G682" s="13">
        <v>894.5427409384987</v>
      </c>
      <c r="H682" s="14" t="b">
        <v>0</v>
      </c>
      <c r="I682" s="15">
        <f t="shared" si="40"/>
        <v>968</v>
      </c>
      <c r="J682" s="15">
        <f t="shared" si="40"/>
        <v>18</v>
      </c>
      <c r="K682" s="15">
        <f t="shared" si="41"/>
        <v>895</v>
      </c>
      <c r="L682" s="3" t="str">
        <f t="shared" si="42"/>
        <v>Thursday</v>
      </c>
      <c r="M682" s="4" t="str">
        <f t="shared" si="43"/>
        <v>Normal Day</v>
      </c>
      <c r="N682" s="4" t="str">
        <f>TEXT(CleanedData[[#This Row],[DAY]], "mmm yyyy")</f>
        <v>May 2024</v>
      </c>
    </row>
    <row r="683" spans="1:14" x14ac:dyDescent="0.3">
      <c r="A683" s="5">
        <v>45442</v>
      </c>
      <c r="B683" s="12">
        <v>1833</v>
      </c>
      <c r="C683" s="12">
        <v>78</v>
      </c>
      <c r="D683" s="2" t="s">
        <v>9</v>
      </c>
      <c r="E683" s="2" t="s">
        <v>8</v>
      </c>
      <c r="F683" s="1">
        <v>493</v>
      </c>
      <c r="G683" s="13">
        <v>1672.3519719927244</v>
      </c>
      <c r="H683" s="14" t="b">
        <v>0</v>
      </c>
      <c r="I683" s="15">
        <f t="shared" si="40"/>
        <v>1833</v>
      </c>
      <c r="J683" s="15">
        <f t="shared" si="40"/>
        <v>78</v>
      </c>
      <c r="K683" s="15">
        <f t="shared" si="41"/>
        <v>1672</v>
      </c>
      <c r="L683" s="3" t="str">
        <f t="shared" si="42"/>
        <v>Thursday</v>
      </c>
      <c r="M683" s="4" t="str">
        <f t="shared" si="43"/>
        <v>Normal Day</v>
      </c>
      <c r="N683" s="4" t="str">
        <f>TEXT(CleanedData[[#This Row],[DAY]], "mmm yyyy")</f>
        <v>May 2024</v>
      </c>
    </row>
    <row r="684" spans="1:14" x14ac:dyDescent="0.3">
      <c r="A684" s="5">
        <v>45442</v>
      </c>
      <c r="B684" s="12">
        <v>5226</v>
      </c>
      <c r="C684" s="12">
        <v>355.5</v>
      </c>
      <c r="D684" s="2" t="s">
        <v>10</v>
      </c>
      <c r="E684" s="2" t="s">
        <v>7</v>
      </c>
      <c r="F684" s="1">
        <v>2377</v>
      </c>
      <c r="G684" s="13">
        <v>5206.4333938017107</v>
      </c>
      <c r="H684" s="14" t="b">
        <v>0</v>
      </c>
      <c r="I684" s="15">
        <f t="shared" si="40"/>
        <v>5226</v>
      </c>
      <c r="J684" s="15">
        <f t="shared" si="40"/>
        <v>356</v>
      </c>
      <c r="K684" s="15">
        <f t="shared" si="41"/>
        <v>5206</v>
      </c>
      <c r="L684" s="3" t="str">
        <f t="shared" si="42"/>
        <v>Thursday</v>
      </c>
      <c r="M684" s="4" t="str">
        <f t="shared" si="43"/>
        <v>Normal Day</v>
      </c>
      <c r="N684" s="4" t="str">
        <f>TEXT(CleanedData[[#This Row],[DAY]], "mmm yyyy")</f>
        <v>May 2024</v>
      </c>
    </row>
    <row r="685" spans="1:14" x14ac:dyDescent="0.3">
      <c r="A685" s="5">
        <v>45443</v>
      </c>
      <c r="B685" s="12">
        <v>370.5</v>
      </c>
      <c r="C685" s="12">
        <v>19.5</v>
      </c>
      <c r="D685" s="2" t="s">
        <v>6</v>
      </c>
      <c r="E685" s="2" t="s">
        <v>7</v>
      </c>
      <c r="F685" s="1">
        <v>233</v>
      </c>
      <c r="G685" s="13">
        <v>362.56783782943501</v>
      </c>
      <c r="H685" s="14" t="b">
        <v>0</v>
      </c>
      <c r="I685" s="15">
        <f t="shared" si="40"/>
        <v>371</v>
      </c>
      <c r="J685" s="15">
        <f t="shared" si="40"/>
        <v>20</v>
      </c>
      <c r="K685" s="15">
        <f t="shared" si="41"/>
        <v>363</v>
      </c>
      <c r="L685" s="3" t="str">
        <f t="shared" si="42"/>
        <v>Friday</v>
      </c>
      <c r="M685" s="4" t="str">
        <f t="shared" si="43"/>
        <v>Normal Day</v>
      </c>
      <c r="N685" s="4" t="str">
        <f>TEXT(CleanedData[[#This Row],[DAY]], "mmm yyyy")</f>
        <v>May 2024</v>
      </c>
    </row>
    <row r="686" spans="1:14" x14ac:dyDescent="0.3">
      <c r="A686" s="5">
        <v>45443</v>
      </c>
      <c r="B686" s="12">
        <v>396</v>
      </c>
      <c r="C686" s="12">
        <v>19.5</v>
      </c>
      <c r="D686" s="2" t="s">
        <v>6</v>
      </c>
      <c r="E686" s="2" t="s">
        <v>8</v>
      </c>
      <c r="F686" s="1">
        <v>203</v>
      </c>
      <c r="G686" s="13">
        <v>336.48919535893282</v>
      </c>
      <c r="H686" s="14" t="b">
        <v>0</v>
      </c>
      <c r="I686" s="15">
        <f t="shared" si="40"/>
        <v>396</v>
      </c>
      <c r="J686" s="15">
        <f t="shared" si="40"/>
        <v>20</v>
      </c>
      <c r="K686" s="15">
        <f t="shared" si="41"/>
        <v>336</v>
      </c>
      <c r="L686" s="3" t="str">
        <f t="shared" si="42"/>
        <v>Friday</v>
      </c>
      <c r="M686" s="4" t="str">
        <f t="shared" si="43"/>
        <v>Normal Day</v>
      </c>
      <c r="N686" s="4" t="str">
        <f>TEXT(CleanedData[[#This Row],[DAY]], "mmm yyyy")</f>
        <v>May 2024</v>
      </c>
    </row>
    <row r="687" spans="1:14" x14ac:dyDescent="0.3">
      <c r="A687" s="5">
        <v>45443</v>
      </c>
      <c r="B687" s="12">
        <v>1771.5</v>
      </c>
      <c r="C687" s="12">
        <v>48</v>
      </c>
      <c r="D687" s="2" t="s">
        <v>9</v>
      </c>
      <c r="E687" s="2" t="s">
        <v>8</v>
      </c>
      <c r="F687" s="1">
        <v>1072</v>
      </c>
      <c r="G687" s="13">
        <v>1494.8921854046787</v>
      </c>
      <c r="H687" s="14" t="b">
        <v>0</v>
      </c>
      <c r="I687" s="15">
        <f t="shared" si="40"/>
        <v>1772</v>
      </c>
      <c r="J687" s="15">
        <f t="shared" si="40"/>
        <v>48</v>
      </c>
      <c r="K687" s="15">
        <f t="shared" si="41"/>
        <v>1495</v>
      </c>
      <c r="L687" s="3" t="str">
        <f t="shared" si="42"/>
        <v>Friday</v>
      </c>
      <c r="M687" s="4" t="str">
        <f t="shared" si="43"/>
        <v>Normal Day</v>
      </c>
      <c r="N687" s="4" t="str">
        <f>TEXT(CleanedData[[#This Row],[DAY]], "mmm yyyy")</f>
        <v>May 2024</v>
      </c>
    </row>
    <row r="688" spans="1:14" x14ac:dyDescent="0.3">
      <c r="A688" s="5">
        <v>45443</v>
      </c>
      <c r="B688" s="12">
        <v>5772</v>
      </c>
      <c r="C688" s="12">
        <v>256.5</v>
      </c>
      <c r="D688" s="2" t="s">
        <v>10</v>
      </c>
      <c r="E688" s="2" t="s">
        <v>7</v>
      </c>
      <c r="F688" s="1">
        <v>170</v>
      </c>
      <c r="G688" s="13">
        <v>5297.1465562568328</v>
      </c>
      <c r="H688" s="14" t="b">
        <v>0</v>
      </c>
      <c r="I688" s="15">
        <f t="shared" si="40"/>
        <v>5772</v>
      </c>
      <c r="J688" s="15">
        <f t="shared" si="40"/>
        <v>257</v>
      </c>
      <c r="K688" s="15">
        <f t="shared" si="41"/>
        <v>5297</v>
      </c>
      <c r="L688" s="3" t="str">
        <f t="shared" si="42"/>
        <v>Friday</v>
      </c>
      <c r="M688" s="4" t="str">
        <f t="shared" si="43"/>
        <v>Normal Day</v>
      </c>
      <c r="N688" s="4" t="str">
        <f>TEXT(CleanedData[[#This Row],[DAY]], "mmm yyyy")</f>
        <v>May 2024</v>
      </c>
    </row>
    <row r="689" spans="1:14" x14ac:dyDescent="0.3">
      <c r="A689" s="5">
        <v>45444</v>
      </c>
      <c r="B689" s="12">
        <v>1.5</v>
      </c>
      <c r="C689" s="12">
        <v>1.5</v>
      </c>
      <c r="D689" s="2" t="s">
        <v>9</v>
      </c>
      <c r="E689" s="2" t="s">
        <v>7</v>
      </c>
      <c r="F689" s="1">
        <v>1</v>
      </c>
      <c r="G689" s="13">
        <v>2.6287726186059657</v>
      </c>
      <c r="H689" s="14" t="b">
        <v>0</v>
      </c>
      <c r="I689" s="15">
        <f t="shared" si="40"/>
        <v>2</v>
      </c>
      <c r="J689" s="15">
        <f t="shared" si="40"/>
        <v>2</v>
      </c>
      <c r="K689" s="15">
        <f t="shared" si="41"/>
        <v>3</v>
      </c>
      <c r="L689" s="3" t="str">
        <f t="shared" si="42"/>
        <v>Saturday</v>
      </c>
      <c r="M689" s="4" t="str">
        <f t="shared" si="43"/>
        <v>Normal Day</v>
      </c>
      <c r="N689" s="4" t="str">
        <f>TEXT(CleanedData[[#This Row],[DAY]], "mmm yyyy")</f>
        <v>Jun 2024</v>
      </c>
    </row>
    <row r="690" spans="1:14" x14ac:dyDescent="0.3">
      <c r="A690" s="5">
        <v>45444</v>
      </c>
      <c r="B690" s="12">
        <v>573</v>
      </c>
      <c r="C690" s="12">
        <v>46.5</v>
      </c>
      <c r="D690" s="2" t="s">
        <v>6</v>
      </c>
      <c r="E690" s="2" t="s">
        <v>8</v>
      </c>
      <c r="F690" s="1">
        <v>191</v>
      </c>
      <c r="G690" s="13">
        <v>536.17054194180298</v>
      </c>
      <c r="H690" s="14" t="b">
        <v>0</v>
      </c>
      <c r="I690" s="15">
        <f t="shared" si="40"/>
        <v>573</v>
      </c>
      <c r="J690" s="15">
        <f t="shared" si="40"/>
        <v>47</v>
      </c>
      <c r="K690" s="15">
        <f t="shared" si="41"/>
        <v>536</v>
      </c>
      <c r="L690" s="3" t="str">
        <f t="shared" si="42"/>
        <v>Saturday</v>
      </c>
      <c r="M690" s="4" t="str">
        <f t="shared" si="43"/>
        <v>Normal Day</v>
      </c>
      <c r="N690" s="4" t="str">
        <f>TEXT(CleanedData[[#This Row],[DAY]], "mmm yyyy")</f>
        <v>Jun 2024</v>
      </c>
    </row>
    <row r="691" spans="1:14" x14ac:dyDescent="0.3">
      <c r="A691" s="5">
        <v>45444</v>
      </c>
      <c r="B691" s="12">
        <v>684</v>
      </c>
      <c r="C691" s="12">
        <v>46.5</v>
      </c>
      <c r="D691" s="2" t="s">
        <v>6</v>
      </c>
      <c r="E691" s="2" t="s">
        <v>7</v>
      </c>
      <c r="F691" s="1">
        <v>295</v>
      </c>
      <c r="G691" s="13">
        <v>681.12369328714203</v>
      </c>
      <c r="H691" s="14" t="b">
        <v>0</v>
      </c>
      <c r="I691" s="15">
        <f t="shared" si="40"/>
        <v>684</v>
      </c>
      <c r="J691" s="15">
        <f t="shared" si="40"/>
        <v>47</v>
      </c>
      <c r="K691" s="15">
        <f t="shared" si="41"/>
        <v>681</v>
      </c>
      <c r="L691" s="3" t="str">
        <f t="shared" si="42"/>
        <v>Saturday</v>
      </c>
      <c r="M691" s="4" t="str">
        <f t="shared" si="43"/>
        <v>Normal Day</v>
      </c>
      <c r="N691" s="4" t="str">
        <f>TEXT(CleanedData[[#This Row],[DAY]], "mmm yyyy")</f>
        <v>Jun 2024</v>
      </c>
    </row>
    <row r="692" spans="1:14" x14ac:dyDescent="0.3">
      <c r="A692" s="5">
        <v>45444</v>
      </c>
      <c r="B692" s="12">
        <v>1522.5</v>
      </c>
      <c r="C692" s="12">
        <v>1.5</v>
      </c>
      <c r="D692" s="2" t="s">
        <v>9</v>
      </c>
      <c r="E692" s="2" t="s">
        <v>8</v>
      </c>
      <c r="F692" s="1">
        <v>816</v>
      </c>
      <c r="G692" s="13">
        <v>1310.3886832710632</v>
      </c>
      <c r="H692" s="14" t="b">
        <v>0</v>
      </c>
      <c r="I692" s="15">
        <f t="shared" si="40"/>
        <v>1523</v>
      </c>
      <c r="J692" s="15">
        <f t="shared" si="40"/>
        <v>2</v>
      </c>
      <c r="K692" s="15">
        <f t="shared" si="41"/>
        <v>1310</v>
      </c>
      <c r="L692" s="3" t="str">
        <f t="shared" si="42"/>
        <v>Saturday</v>
      </c>
      <c r="M692" s="4" t="str">
        <f t="shared" si="43"/>
        <v>Normal Day</v>
      </c>
      <c r="N692" s="4" t="str">
        <f>TEXT(CleanedData[[#This Row],[DAY]], "mmm yyyy")</f>
        <v>Jun 2024</v>
      </c>
    </row>
    <row r="693" spans="1:14" x14ac:dyDescent="0.3">
      <c r="A693" s="5">
        <v>45444</v>
      </c>
      <c r="B693" s="12">
        <v>6784.5</v>
      </c>
      <c r="C693" s="12">
        <v>145.5</v>
      </c>
      <c r="D693" s="2" t="s">
        <v>10</v>
      </c>
      <c r="E693" s="2" t="s">
        <v>7</v>
      </c>
      <c r="F693" s="1">
        <v>2127</v>
      </c>
      <c r="G693" s="13">
        <v>6392.3075129955405</v>
      </c>
      <c r="H693" s="14" t="b">
        <v>0</v>
      </c>
      <c r="I693" s="15">
        <f t="shared" si="40"/>
        <v>6785</v>
      </c>
      <c r="J693" s="15">
        <f t="shared" si="40"/>
        <v>146</v>
      </c>
      <c r="K693" s="15">
        <f t="shared" si="41"/>
        <v>6392</v>
      </c>
      <c r="L693" s="3" t="str">
        <f t="shared" si="42"/>
        <v>Saturday</v>
      </c>
      <c r="M693" s="4" t="str">
        <f t="shared" si="43"/>
        <v>Normal Day</v>
      </c>
      <c r="N693" s="4" t="str">
        <f>TEXT(CleanedData[[#This Row],[DAY]], "mmm yyyy")</f>
        <v>Jun 2024</v>
      </c>
    </row>
    <row r="694" spans="1:14" x14ac:dyDescent="0.3">
      <c r="A694" s="5">
        <v>45445</v>
      </c>
      <c r="B694" s="12">
        <v>576</v>
      </c>
      <c r="C694" s="12">
        <v>7.5</v>
      </c>
      <c r="D694" s="2" t="s">
        <v>6</v>
      </c>
      <c r="E694" s="2" t="s">
        <v>7</v>
      </c>
      <c r="F694" s="1">
        <v>29</v>
      </c>
      <c r="G694" s="13">
        <v>544.09701515909603</v>
      </c>
      <c r="H694" s="14" t="b">
        <v>0</v>
      </c>
      <c r="I694" s="15">
        <f t="shared" si="40"/>
        <v>576</v>
      </c>
      <c r="J694" s="15">
        <f t="shared" si="40"/>
        <v>8</v>
      </c>
      <c r="K694" s="15">
        <f t="shared" si="41"/>
        <v>544</v>
      </c>
      <c r="L694" s="3" t="str">
        <f t="shared" si="42"/>
        <v>Sunday</v>
      </c>
      <c r="M694" s="4" t="str">
        <f t="shared" si="43"/>
        <v>Normal Day</v>
      </c>
      <c r="N694" s="4" t="str">
        <f>TEXT(CleanedData[[#This Row],[DAY]], "mmm yyyy")</f>
        <v>Jun 2024</v>
      </c>
    </row>
    <row r="695" spans="1:14" x14ac:dyDescent="0.3">
      <c r="A695" s="5">
        <v>45445</v>
      </c>
      <c r="B695" s="12">
        <v>655.5</v>
      </c>
      <c r="C695" s="12">
        <v>7.5</v>
      </c>
      <c r="D695" s="2" t="s">
        <v>6</v>
      </c>
      <c r="E695" s="2" t="s">
        <v>8</v>
      </c>
      <c r="F695" s="1">
        <v>183</v>
      </c>
      <c r="G695" s="13">
        <v>534.76455164236359</v>
      </c>
      <c r="H695" s="14" t="b">
        <v>0</v>
      </c>
      <c r="I695" s="15">
        <f t="shared" si="40"/>
        <v>656</v>
      </c>
      <c r="J695" s="15">
        <f t="shared" si="40"/>
        <v>8</v>
      </c>
      <c r="K695" s="15">
        <f t="shared" si="41"/>
        <v>535</v>
      </c>
      <c r="L695" s="3" t="str">
        <f t="shared" si="42"/>
        <v>Sunday</v>
      </c>
      <c r="M695" s="4" t="str">
        <f t="shared" si="43"/>
        <v>Normal Day</v>
      </c>
      <c r="N695" s="4" t="str">
        <f>TEXT(CleanedData[[#This Row],[DAY]], "mmm yyyy")</f>
        <v>Jun 2024</v>
      </c>
    </row>
    <row r="696" spans="1:14" x14ac:dyDescent="0.3">
      <c r="A696" s="5">
        <v>45445</v>
      </c>
      <c r="B696" s="12">
        <v>3249</v>
      </c>
      <c r="C696" s="12">
        <v>1.5</v>
      </c>
      <c r="D696" s="2" t="s">
        <v>9</v>
      </c>
      <c r="E696" s="2" t="s">
        <v>8</v>
      </c>
      <c r="F696" s="1">
        <v>1933</v>
      </c>
      <c r="G696" s="13">
        <v>2885.500015311733</v>
      </c>
      <c r="H696" s="14" t="b">
        <v>0</v>
      </c>
      <c r="I696" s="15">
        <f t="shared" si="40"/>
        <v>3249</v>
      </c>
      <c r="J696" s="15">
        <f t="shared" si="40"/>
        <v>2</v>
      </c>
      <c r="K696" s="15">
        <f t="shared" si="41"/>
        <v>2886</v>
      </c>
      <c r="L696" s="3" t="str">
        <f t="shared" si="42"/>
        <v>Sunday</v>
      </c>
      <c r="M696" s="4" t="str">
        <f t="shared" si="43"/>
        <v>Normal Day</v>
      </c>
      <c r="N696" s="4" t="str">
        <f>TEXT(CleanedData[[#This Row],[DAY]], "mmm yyyy")</f>
        <v>Jun 2024</v>
      </c>
    </row>
    <row r="697" spans="1:14" x14ac:dyDescent="0.3">
      <c r="A697" s="5">
        <v>45445</v>
      </c>
      <c r="B697" s="12">
        <v>7960.5</v>
      </c>
      <c r="C697" s="12">
        <v>226.5</v>
      </c>
      <c r="D697" s="2" t="s">
        <v>10</v>
      </c>
      <c r="E697" s="2" t="s">
        <v>7</v>
      </c>
      <c r="F697" s="1">
        <v>46</v>
      </c>
      <c r="G697" s="13">
        <v>7213.3603360721781</v>
      </c>
      <c r="H697" s="14" t="b">
        <v>0</v>
      </c>
      <c r="I697" s="15">
        <f t="shared" si="40"/>
        <v>7961</v>
      </c>
      <c r="J697" s="15">
        <f t="shared" si="40"/>
        <v>227</v>
      </c>
      <c r="K697" s="15">
        <f t="shared" si="41"/>
        <v>7213</v>
      </c>
      <c r="L697" s="3" t="str">
        <f t="shared" si="42"/>
        <v>Sunday</v>
      </c>
      <c r="M697" s="4" t="str">
        <f t="shared" si="43"/>
        <v>Normal Day</v>
      </c>
      <c r="N697" s="4" t="str">
        <f>TEXT(CleanedData[[#This Row],[DAY]], "mmm yyyy")</f>
        <v>Jun 2024</v>
      </c>
    </row>
    <row r="698" spans="1:14" x14ac:dyDescent="0.3">
      <c r="A698" s="5">
        <v>45446</v>
      </c>
      <c r="B698" s="12">
        <v>177</v>
      </c>
      <c r="C698" s="12">
        <v>3</v>
      </c>
      <c r="D698" s="2" t="s">
        <v>6</v>
      </c>
      <c r="E698" s="2" t="s">
        <v>8</v>
      </c>
      <c r="F698" s="1">
        <v>84</v>
      </c>
      <c r="G698" s="13">
        <v>152.97446143183444</v>
      </c>
      <c r="H698" s="14" t="b">
        <v>0</v>
      </c>
      <c r="I698" s="15">
        <f t="shared" si="40"/>
        <v>177</v>
      </c>
      <c r="J698" s="15">
        <f t="shared" si="40"/>
        <v>3</v>
      </c>
      <c r="K698" s="15">
        <f t="shared" si="41"/>
        <v>153</v>
      </c>
      <c r="L698" s="3" t="str">
        <f t="shared" si="42"/>
        <v>Monday</v>
      </c>
      <c r="M698" s="4" t="str">
        <f t="shared" si="43"/>
        <v>Normal Day</v>
      </c>
      <c r="N698" s="4" t="str">
        <f>TEXT(CleanedData[[#This Row],[DAY]], "mmm yyyy")</f>
        <v>Jun 2024</v>
      </c>
    </row>
    <row r="699" spans="1:14" x14ac:dyDescent="0.3">
      <c r="A699" s="5">
        <v>45446</v>
      </c>
      <c r="B699" s="12">
        <v>192</v>
      </c>
      <c r="C699" s="12">
        <v>3</v>
      </c>
      <c r="D699" s="2" t="s">
        <v>6</v>
      </c>
      <c r="E699" s="2" t="s">
        <v>7</v>
      </c>
      <c r="F699" s="1">
        <v>36</v>
      </c>
      <c r="G699" s="13">
        <v>175.59102521562031</v>
      </c>
      <c r="H699" s="14" t="b">
        <v>0</v>
      </c>
      <c r="I699" s="15">
        <f t="shared" si="40"/>
        <v>192</v>
      </c>
      <c r="J699" s="15">
        <f t="shared" si="40"/>
        <v>3</v>
      </c>
      <c r="K699" s="15">
        <f t="shared" si="41"/>
        <v>176</v>
      </c>
      <c r="L699" s="3" t="str">
        <f t="shared" si="42"/>
        <v>Monday</v>
      </c>
      <c r="M699" s="4" t="str">
        <f t="shared" si="43"/>
        <v>Normal Day</v>
      </c>
      <c r="N699" s="4" t="str">
        <f>TEXT(CleanedData[[#This Row],[DAY]], "mmm yyyy")</f>
        <v>Jun 2024</v>
      </c>
    </row>
    <row r="700" spans="1:14" x14ac:dyDescent="0.3">
      <c r="A700" s="5">
        <v>45446</v>
      </c>
      <c r="B700" s="12">
        <v>3807</v>
      </c>
      <c r="C700" s="12">
        <v>186</v>
      </c>
      <c r="D700" s="2" t="s">
        <v>9</v>
      </c>
      <c r="E700" s="2" t="s">
        <v>8</v>
      </c>
      <c r="F700" s="1">
        <v>1505</v>
      </c>
      <c r="G700" s="13">
        <v>3379.4044928211733</v>
      </c>
      <c r="H700" s="14" t="b">
        <v>0</v>
      </c>
      <c r="I700" s="15">
        <f t="shared" si="40"/>
        <v>3807</v>
      </c>
      <c r="J700" s="15">
        <f t="shared" si="40"/>
        <v>186</v>
      </c>
      <c r="K700" s="15">
        <f t="shared" si="41"/>
        <v>3379</v>
      </c>
      <c r="L700" s="3" t="str">
        <f t="shared" si="42"/>
        <v>Monday</v>
      </c>
      <c r="M700" s="4" t="str">
        <f t="shared" si="43"/>
        <v>Normal Day</v>
      </c>
      <c r="N700" s="4" t="str">
        <f>TEXT(CleanedData[[#This Row],[DAY]], "mmm yyyy")</f>
        <v>Jun 2024</v>
      </c>
    </row>
    <row r="701" spans="1:14" x14ac:dyDescent="0.3">
      <c r="A701" s="5">
        <v>45446</v>
      </c>
      <c r="B701" s="12">
        <v>7635</v>
      </c>
      <c r="C701" s="12">
        <v>471</v>
      </c>
      <c r="D701" s="2" t="s">
        <v>10</v>
      </c>
      <c r="E701" s="2" t="s">
        <v>7</v>
      </c>
      <c r="F701" s="1">
        <v>2350</v>
      </c>
      <c r="G701" s="13">
        <v>7185.14668106113</v>
      </c>
      <c r="H701" s="14" t="b">
        <v>0</v>
      </c>
      <c r="I701" s="15">
        <f t="shared" si="40"/>
        <v>7635</v>
      </c>
      <c r="J701" s="15">
        <f t="shared" si="40"/>
        <v>471</v>
      </c>
      <c r="K701" s="15">
        <f t="shared" si="41"/>
        <v>7185</v>
      </c>
      <c r="L701" s="3" t="str">
        <f t="shared" si="42"/>
        <v>Monday</v>
      </c>
      <c r="M701" s="4" t="str">
        <f t="shared" si="43"/>
        <v>Normal Day</v>
      </c>
      <c r="N701" s="4" t="str">
        <f>TEXT(CleanedData[[#This Row],[DAY]], "mmm yyyy")</f>
        <v>Jun 2024</v>
      </c>
    </row>
    <row r="702" spans="1:14" x14ac:dyDescent="0.3">
      <c r="A702" s="5">
        <v>45447</v>
      </c>
      <c r="B702" s="12">
        <v>1.5</v>
      </c>
      <c r="C702" s="12">
        <v>0</v>
      </c>
      <c r="D702" s="2" t="s">
        <v>10</v>
      </c>
      <c r="E702" s="2" t="s">
        <v>8</v>
      </c>
      <c r="F702" s="1">
        <v>1</v>
      </c>
      <c r="G702" s="13">
        <v>1.2768631840897575</v>
      </c>
      <c r="H702" s="14" t="b">
        <v>0</v>
      </c>
      <c r="I702" s="15">
        <f t="shared" si="40"/>
        <v>2</v>
      </c>
      <c r="J702" s="15">
        <f t="shared" si="40"/>
        <v>0</v>
      </c>
      <c r="K702" s="15">
        <f t="shared" si="41"/>
        <v>1</v>
      </c>
      <c r="L702" s="3" t="str">
        <f t="shared" si="42"/>
        <v>Tuesday</v>
      </c>
      <c r="M702" s="4" t="str">
        <f t="shared" si="43"/>
        <v>Normal Day</v>
      </c>
      <c r="N702" s="4" t="str">
        <f>TEXT(CleanedData[[#This Row],[DAY]], "mmm yyyy")</f>
        <v>Jun 2024</v>
      </c>
    </row>
    <row r="703" spans="1:14" x14ac:dyDescent="0.3">
      <c r="A703" s="5">
        <v>45447</v>
      </c>
      <c r="B703" s="12">
        <v>190.5</v>
      </c>
      <c r="C703" s="12">
        <v>4.5</v>
      </c>
      <c r="D703" s="2" t="s">
        <v>6</v>
      </c>
      <c r="E703" s="2" t="s">
        <v>8</v>
      </c>
      <c r="F703" s="1">
        <v>93</v>
      </c>
      <c r="G703" s="13">
        <v>163.91568830355536</v>
      </c>
      <c r="H703" s="14" t="b">
        <v>0</v>
      </c>
      <c r="I703" s="15">
        <f t="shared" si="40"/>
        <v>191</v>
      </c>
      <c r="J703" s="15">
        <f t="shared" si="40"/>
        <v>5</v>
      </c>
      <c r="K703" s="15">
        <f t="shared" si="41"/>
        <v>164</v>
      </c>
      <c r="L703" s="3" t="str">
        <f t="shared" si="42"/>
        <v>Tuesday</v>
      </c>
      <c r="M703" s="4" t="str">
        <f t="shared" si="43"/>
        <v>Normal Day</v>
      </c>
      <c r="N703" s="4" t="str">
        <f>TEXT(CleanedData[[#This Row],[DAY]], "mmm yyyy")</f>
        <v>Jun 2024</v>
      </c>
    </row>
    <row r="704" spans="1:14" x14ac:dyDescent="0.3">
      <c r="A704" s="5">
        <v>45447</v>
      </c>
      <c r="B704" s="12">
        <v>246</v>
      </c>
      <c r="C704" s="12">
        <v>4.5</v>
      </c>
      <c r="D704" s="2" t="s">
        <v>6</v>
      </c>
      <c r="E704" s="2" t="s">
        <v>7</v>
      </c>
      <c r="F704" s="1">
        <v>89</v>
      </c>
      <c r="G704" s="13">
        <v>228.75474276719297</v>
      </c>
      <c r="H704" s="14" t="b">
        <v>0</v>
      </c>
      <c r="I704" s="15">
        <f t="shared" si="40"/>
        <v>246</v>
      </c>
      <c r="J704" s="15">
        <f t="shared" si="40"/>
        <v>5</v>
      </c>
      <c r="K704" s="15">
        <f t="shared" si="41"/>
        <v>229</v>
      </c>
      <c r="L704" s="3" t="str">
        <f t="shared" si="42"/>
        <v>Tuesday</v>
      </c>
      <c r="M704" s="4" t="str">
        <f t="shared" si="43"/>
        <v>Normal Day</v>
      </c>
      <c r="N704" s="4" t="str">
        <f>TEXT(CleanedData[[#This Row],[DAY]], "mmm yyyy")</f>
        <v>Jun 2024</v>
      </c>
    </row>
    <row r="705" spans="1:14" x14ac:dyDescent="0.3">
      <c r="A705" s="5">
        <v>45447</v>
      </c>
      <c r="B705" s="12">
        <v>3294</v>
      </c>
      <c r="C705" s="12">
        <v>154.5</v>
      </c>
      <c r="D705" s="2" t="s">
        <v>9</v>
      </c>
      <c r="E705" s="2" t="s">
        <v>8</v>
      </c>
      <c r="F705" s="1">
        <v>1912</v>
      </c>
      <c r="G705" s="13">
        <v>3001.218988732428</v>
      </c>
      <c r="H705" s="14" t="b">
        <v>0</v>
      </c>
      <c r="I705" s="15">
        <f t="shared" si="40"/>
        <v>3294</v>
      </c>
      <c r="J705" s="15">
        <f t="shared" si="40"/>
        <v>155</v>
      </c>
      <c r="K705" s="15">
        <f t="shared" si="41"/>
        <v>3001</v>
      </c>
      <c r="L705" s="3" t="str">
        <f t="shared" si="42"/>
        <v>Tuesday</v>
      </c>
      <c r="M705" s="4" t="str">
        <f t="shared" si="43"/>
        <v>Normal Day</v>
      </c>
      <c r="N705" s="4" t="str">
        <f>TEXT(CleanedData[[#This Row],[DAY]], "mmm yyyy")</f>
        <v>Jun 2024</v>
      </c>
    </row>
    <row r="706" spans="1:14" x14ac:dyDescent="0.3">
      <c r="A706" s="5">
        <v>45447</v>
      </c>
      <c r="B706" s="12">
        <v>7509</v>
      </c>
      <c r="C706" s="12">
        <v>276</v>
      </c>
      <c r="D706" s="2" t="s">
        <v>10</v>
      </c>
      <c r="E706" s="2" t="s">
        <v>7</v>
      </c>
      <c r="F706" s="1">
        <v>960</v>
      </c>
      <c r="G706" s="13">
        <v>7074.1271196423895</v>
      </c>
      <c r="H706" s="14" t="b">
        <v>0</v>
      </c>
      <c r="I706" s="15">
        <f t="shared" ref="I706:J769" si="44">ROUND(B706, 0)</f>
        <v>7509</v>
      </c>
      <c r="J706" s="15">
        <f t="shared" si="44"/>
        <v>276</v>
      </c>
      <c r="K706" s="15">
        <f t="shared" ref="K706:K769" si="45">ROUND(G706, 0)</f>
        <v>7074</v>
      </c>
      <c r="L706" s="3" t="str">
        <f t="shared" si="42"/>
        <v>Tuesday</v>
      </c>
      <c r="M706" s="4" t="str">
        <f t="shared" si="43"/>
        <v>Normal Day</v>
      </c>
      <c r="N706" s="4" t="str">
        <f>TEXT(CleanedData[[#This Row],[DAY]], "mmm yyyy")</f>
        <v>Jun 2024</v>
      </c>
    </row>
    <row r="707" spans="1:14" x14ac:dyDescent="0.3">
      <c r="A707" s="5">
        <v>45448</v>
      </c>
      <c r="B707" s="12">
        <v>217.5</v>
      </c>
      <c r="C707" s="12">
        <v>7.5</v>
      </c>
      <c r="D707" s="2" t="s">
        <v>6</v>
      </c>
      <c r="E707" s="2" t="s">
        <v>7</v>
      </c>
      <c r="F707" s="1">
        <v>135</v>
      </c>
      <c r="G707" s="13">
        <v>196.81458383412135</v>
      </c>
      <c r="H707" s="14" t="b">
        <v>0</v>
      </c>
      <c r="I707" s="15">
        <f t="shared" si="44"/>
        <v>218</v>
      </c>
      <c r="J707" s="15">
        <f t="shared" si="44"/>
        <v>8</v>
      </c>
      <c r="K707" s="15">
        <f t="shared" si="45"/>
        <v>197</v>
      </c>
      <c r="L707" s="3" t="str">
        <f t="shared" ref="L707:L770" si="46">TEXT(A707,"dddd")</f>
        <v>Wednesday</v>
      </c>
      <c r="M707" s="4" t="str">
        <f t="shared" ref="M707:M770" si="47">IF(H707=TRUE, "Outage Day", "Normal Day")</f>
        <v>Normal Day</v>
      </c>
      <c r="N707" s="4" t="str">
        <f>TEXT(CleanedData[[#This Row],[DAY]], "mmm yyyy")</f>
        <v>Jun 2024</v>
      </c>
    </row>
    <row r="708" spans="1:14" x14ac:dyDescent="0.3">
      <c r="A708" s="5">
        <v>45448</v>
      </c>
      <c r="B708" s="12">
        <v>247.5</v>
      </c>
      <c r="C708" s="12">
        <v>7.5</v>
      </c>
      <c r="D708" s="2" t="s">
        <v>6</v>
      </c>
      <c r="E708" s="2" t="s">
        <v>8</v>
      </c>
      <c r="F708" s="1">
        <v>148</v>
      </c>
      <c r="G708" s="13">
        <v>217.11041037431181</v>
      </c>
      <c r="H708" s="14" t="b">
        <v>0</v>
      </c>
      <c r="I708" s="15">
        <f t="shared" si="44"/>
        <v>248</v>
      </c>
      <c r="J708" s="15">
        <f t="shared" si="44"/>
        <v>8</v>
      </c>
      <c r="K708" s="15">
        <f t="shared" si="45"/>
        <v>217</v>
      </c>
      <c r="L708" s="3" t="str">
        <f t="shared" si="46"/>
        <v>Wednesday</v>
      </c>
      <c r="M708" s="4" t="str">
        <f t="shared" si="47"/>
        <v>Normal Day</v>
      </c>
      <c r="N708" s="4" t="str">
        <f>TEXT(CleanedData[[#This Row],[DAY]], "mmm yyyy")</f>
        <v>Jun 2024</v>
      </c>
    </row>
    <row r="709" spans="1:14" x14ac:dyDescent="0.3">
      <c r="A709" s="5">
        <v>45448</v>
      </c>
      <c r="B709" s="12">
        <v>3303</v>
      </c>
      <c r="C709" s="12">
        <v>42</v>
      </c>
      <c r="D709" s="2" t="s">
        <v>9</v>
      </c>
      <c r="E709" s="2" t="s">
        <v>8</v>
      </c>
      <c r="F709" s="1">
        <v>1752</v>
      </c>
      <c r="G709" s="13">
        <v>2759.2370417656994</v>
      </c>
      <c r="H709" s="14" t="b">
        <v>0</v>
      </c>
      <c r="I709" s="15">
        <f t="shared" si="44"/>
        <v>3303</v>
      </c>
      <c r="J709" s="15">
        <f t="shared" si="44"/>
        <v>42</v>
      </c>
      <c r="K709" s="15">
        <f t="shared" si="45"/>
        <v>2759</v>
      </c>
      <c r="L709" s="3" t="str">
        <f t="shared" si="46"/>
        <v>Wednesday</v>
      </c>
      <c r="M709" s="4" t="str">
        <f t="shared" si="47"/>
        <v>Normal Day</v>
      </c>
      <c r="N709" s="4" t="str">
        <f>TEXT(CleanedData[[#This Row],[DAY]], "mmm yyyy")</f>
        <v>Jun 2024</v>
      </c>
    </row>
    <row r="710" spans="1:14" x14ac:dyDescent="0.3">
      <c r="A710" s="5">
        <v>45448</v>
      </c>
      <c r="B710" s="12">
        <v>7987.5</v>
      </c>
      <c r="C710" s="12">
        <v>289.5</v>
      </c>
      <c r="D710" s="2" t="s">
        <v>10</v>
      </c>
      <c r="E710" s="2" t="s">
        <v>7</v>
      </c>
      <c r="F710" s="1">
        <v>4165</v>
      </c>
      <c r="G710" s="13">
        <v>7431.751986477303</v>
      </c>
      <c r="H710" s="14" t="b">
        <v>0</v>
      </c>
      <c r="I710" s="15">
        <f t="shared" si="44"/>
        <v>7988</v>
      </c>
      <c r="J710" s="15">
        <f t="shared" si="44"/>
        <v>290</v>
      </c>
      <c r="K710" s="15">
        <f t="shared" si="45"/>
        <v>7432</v>
      </c>
      <c r="L710" s="3" t="str">
        <f t="shared" si="46"/>
        <v>Wednesday</v>
      </c>
      <c r="M710" s="4" t="str">
        <f t="shared" si="47"/>
        <v>Normal Day</v>
      </c>
      <c r="N710" s="4" t="str">
        <f>TEXT(CleanedData[[#This Row],[DAY]], "mmm yyyy")</f>
        <v>Jun 2024</v>
      </c>
    </row>
    <row r="711" spans="1:14" x14ac:dyDescent="0.3">
      <c r="A711" s="5">
        <v>45449</v>
      </c>
      <c r="B711" s="12">
        <v>166.5</v>
      </c>
      <c r="C711" s="12">
        <v>10.5</v>
      </c>
      <c r="D711" s="2" t="s">
        <v>6</v>
      </c>
      <c r="E711" s="2" t="s">
        <v>8</v>
      </c>
      <c r="F711" s="1">
        <v>107</v>
      </c>
      <c r="G711" s="13">
        <v>150.8618702571388</v>
      </c>
      <c r="H711" s="14" t="b">
        <v>0</v>
      </c>
      <c r="I711" s="15">
        <f t="shared" si="44"/>
        <v>167</v>
      </c>
      <c r="J711" s="15">
        <f t="shared" si="44"/>
        <v>11</v>
      </c>
      <c r="K711" s="15">
        <f t="shared" si="45"/>
        <v>151</v>
      </c>
      <c r="L711" s="3" t="str">
        <f t="shared" si="46"/>
        <v>Thursday</v>
      </c>
      <c r="M711" s="4" t="str">
        <f t="shared" si="47"/>
        <v>Normal Day</v>
      </c>
      <c r="N711" s="4" t="str">
        <f>TEXT(CleanedData[[#This Row],[DAY]], "mmm yyyy")</f>
        <v>Jun 2024</v>
      </c>
    </row>
    <row r="712" spans="1:14" x14ac:dyDescent="0.3">
      <c r="A712" s="5">
        <v>45449</v>
      </c>
      <c r="B712" s="12">
        <v>268.5</v>
      </c>
      <c r="C712" s="12">
        <v>10.5</v>
      </c>
      <c r="D712" s="2" t="s">
        <v>6</v>
      </c>
      <c r="E712" s="2" t="s">
        <v>7</v>
      </c>
      <c r="F712" s="1">
        <v>34</v>
      </c>
      <c r="G712" s="13">
        <v>261.18353830589257</v>
      </c>
      <c r="H712" s="14" t="b">
        <v>0</v>
      </c>
      <c r="I712" s="15">
        <f t="shared" si="44"/>
        <v>269</v>
      </c>
      <c r="J712" s="15">
        <f t="shared" si="44"/>
        <v>11</v>
      </c>
      <c r="K712" s="15">
        <f t="shared" si="45"/>
        <v>261</v>
      </c>
      <c r="L712" s="3" t="str">
        <f t="shared" si="46"/>
        <v>Thursday</v>
      </c>
      <c r="M712" s="4" t="str">
        <f t="shared" si="47"/>
        <v>Normal Day</v>
      </c>
      <c r="N712" s="4" t="str">
        <f>TEXT(CleanedData[[#This Row],[DAY]], "mmm yyyy")</f>
        <v>Jun 2024</v>
      </c>
    </row>
    <row r="713" spans="1:14" x14ac:dyDescent="0.3">
      <c r="A713" s="5">
        <v>45449</v>
      </c>
      <c r="B713" s="12">
        <v>2980.5</v>
      </c>
      <c r="C713" s="12">
        <v>70.5</v>
      </c>
      <c r="D713" s="2" t="s">
        <v>9</v>
      </c>
      <c r="E713" s="2" t="s">
        <v>8</v>
      </c>
      <c r="F713" s="1">
        <v>1600</v>
      </c>
      <c r="G713" s="13">
        <v>2520.8190628877678</v>
      </c>
      <c r="H713" s="14" t="b">
        <v>0</v>
      </c>
      <c r="I713" s="15">
        <f t="shared" si="44"/>
        <v>2981</v>
      </c>
      <c r="J713" s="15">
        <f t="shared" si="44"/>
        <v>71</v>
      </c>
      <c r="K713" s="15">
        <f t="shared" si="45"/>
        <v>2521</v>
      </c>
      <c r="L713" s="3" t="str">
        <f t="shared" si="46"/>
        <v>Thursday</v>
      </c>
      <c r="M713" s="4" t="str">
        <f t="shared" si="47"/>
        <v>Normal Day</v>
      </c>
      <c r="N713" s="4" t="str">
        <f>TEXT(CleanedData[[#This Row],[DAY]], "mmm yyyy")</f>
        <v>Jun 2024</v>
      </c>
    </row>
    <row r="714" spans="1:14" x14ac:dyDescent="0.3">
      <c r="A714" s="5">
        <v>45449</v>
      </c>
      <c r="B714" s="12">
        <v>8574</v>
      </c>
      <c r="C714" s="12">
        <v>99</v>
      </c>
      <c r="D714" s="2" t="s">
        <v>10</v>
      </c>
      <c r="E714" s="2" t="s">
        <v>7</v>
      </c>
      <c r="F714" s="1">
        <v>5690</v>
      </c>
      <c r="G714" s="13">
        <v>8108.0996511579669</v>
      </c>
      <c r="H714" s="14" t="b">
        <v>0</v>
      </c>
      <c r="I714" s="15">
        <f t="shared" si="44"/>
        <v>8574</v>
      </c>
      <c r="J714" s="15">
        <f t="shared" si="44"/>
        <v>99</v>
      </c>
      <c r="K714" s="15">
        <f t="shared" si="45"/>
        <v>8108</v>
      </c>
      <c r="L714" s="3" t="str">
        <f t="shared" si="46"/>
        <v>Thursday</v>
      </c>
      <c r="M714" s="4" t="str">
        <f t="shared" si="47"/>
        <v>Normal Day</v>
      </c>
      <c r="N714" s="4" t="str">
        <f>TEXT(CleanedData[[#This Row],[DAY]], "mmm yyyy")</f>
        <v>Jun 2024</v>
      </c>
    </row>
    <row r="715" spans="1:14" x14ac:dyDescent="0.3">
      <c r="A715" s="5">
        <v>45450</v>
      </c>
      <c r="B715" s="12">
        <v>180</v>
      </c>
      <c r="C715" s="12">
        <v>16.5</v>
      </c>
      <c r="D715" s="2" t="s">
        <v>6</v>
      </c>
      <c r="E715" s="2" t="s">
        <v>8</v>
      </c>
      <c r="F715" s="1">
        <v>104</v>
      </c>
      <c r="G715" s="13">
        <v>168.07007395143904</v>
      </c>
      <c r="H715" s="14" t="b">
        <v>0</v>
      </c>
      <c r="I715" s="15">
        <f t="shared" si="44"/>
        <v>180</v>
      </c>
      <c r="J715" s="15">
        <f t="shared" si="44"/>
        <v>17</v>
      </c>
      <c r="K715" s="15">
        <f t="shared" si="45"/>
        <v>168</v>
      </c>
      <c r="L715" s="3" t="str">
        <f t="shared" si="46"/>
        <v>Friday</v>
      </c>
      <c r="M715" s="4" t="str">
        <f t="shared" si="47"/>
        <v>Normal Day</v>
      </c>
      <c r="N715" s="4" t="str">
        <f>TEXT(CleanedData[[#This Row],[DAY]], "mmm yyyy")</f>
        <v>Jun 2024</v>
      </c>
    </row>
    <row r="716" spans="1:14" x14ac:dyDescent="0.3">
      <c r="A716" s="5">
        <v>45450</v>
      </c>
      <c r="B716" s="12">
        <v>351</v>
      </c>
      <c r="C716" s="12">
        <v>16.5</v>
      </c>
      <c r="D716" s="2" t="s">
        <v>6</v>
      </c>
      <c r="E716" s="2" t="s">
        <v>7</v>
      </c>
      <c r="F716" s="1">
        <v>200</v>
      </c>
      <c r="G716" s="13">
        <v>339.49566049225399</v>
      </c>
      <c r="H716" s="14" t="b">
        <v>0</v>
      </c>
      <c r="I716" s="15">
        <f t="shared" si="44"/>
        <v>351</v>
      </c>
      <c r="J716" s="15">
        <f t="shared" si="44"/>
        <v>17</v>
      </c>
      <c r="K716" s="15">
        <f t="shared" si="45"/>
        <v>339</v>
      </c>
      <c r="L716" s="3" t="str">
        <f t="shared" si="46"/>
        <v>Friday</v>
      </c>
      <c r="M716" s="4" t="str">
        <f t="shared" si="47"/>
        <v>Normal Day</v>
      </c>
      <c r="N716" s="4" t="str">
        <f>TEXT(CleanedData[[#This Row],[DAY]], "mmm yyyy")</f>
        <v>Jun 2024</v>
      </c>
    </row>
    <row r="717" spans="1:14" x14ac:dyDescent="0.3">
      <c r="A717" s="5">
        <v>45450</v>
      </c>
      <c r="B717" s="12">
        <v>3271.5</v>
      </c>
      <c r="C717" s="12">
        <v>6</v>
      </c>
      <c r="D717" s="2" t="s">
        <v>9</v>
      </c>
      <c r="E717" s="2" t="s">
        <v>8</v>
      </c>
      <c r="F717" s="1">
        <v>464</v>
      </c>
      <c r="G717" s="13">
        <v>2858.5150163939256</v>
      </c>
      <c r="H717" s="14" t="b">
        <v>0</v>
      </c>
      <c r="I717" s="15">
        <f t="shared" si="44"/>
        <v>3272</v>
      </c>
      <c r="J717" s="15">
        <f t="shared" si="44"/>
        <v>6</v>
      </c>
      <c r="K717" s="15">
        <f t="shared" si="45"/>
        <v>2859</v>
      </c>
      <c r="L717" s="3" t="str">
        <f t="shared" si="46"/>
        <v>Friday</v>
      </c>
      <c r="M717" s="4" t="str">
        <f t="shared" si="47"/>
        <v>Normal Day</v>
      </c>
      <c r="N717" s="4" t="str">
        <f>TEXT(CleanedData[[#This Row],[DAY]], "mmm yyyy")</f>
        <v>Jun 2024</v>
      </c>
    </row>
    <row r="718" spans="1:14" x14ac:dyDescent="0.3">
      <c r="A718" s="5">
        <v>45450</v>
      </c>
      <c r="B718" s="12">
        <v>6067.5</v>
      </c>
      <c r="C718" s="12">
        <v>198</v>
      </c>
      <c r="D718" s="2" t="s">
        <v>10</v>
      </c>
      <c r="E718" s="2" t="s">
        <v>7</v>
      </c>
      <c r="F718" s="1">
        <v>1604</v>
      </c>
      <c r="G718" s="13">
        <v>5472.3141590546056</v>
      </c>
      <c r="H718" s="14" t="b">
        <v>0</v>
      </c>
      <c r="I718" s="15">
        <f t="shared" si="44"/>
        <v>6068</v>
      </c>
      <c r="J718" s="15">
        <f t="shared" si="44"/>
        <v>198</v>
      </c>
      <c r="K718" s="15">
        <f t="shared" si="45"/>
        <v>5472</v>
      </c>
      <c r="L718" s="3" t="str">
        <f t="shared" si="46"/>
        <v>Friday</v>
      </c>
      <c r="M718" s="4" t="str">
        <f t="shared" si="47"/>
        <v>Normal Day</v>
      </c>
      <c r="N718" s="4" t="str">
        <f>TEXT(CleanedData[[#This Row],[DAY]], "mmm yyyy")</f>
        <v>Jun 2024</v>
      </c>
    </row>
    <row r="719" spans="1:14" x14ac:dyDescent="0.3">
      <c r="A719" s="5">
        <v>45451</v>
      </c>
      <c r="B719" s="12">
        <v>169.5</v>
      </c>
      <c r="C719" s="12">
        <v>6</v>
      </c>
      <c r="D719" s="2" t="s">
        <v>6</v>
      </c>
      <c r="E719" s="2" t="s">
        <v>8</v>
      </c>
      <c r="F719" s="1">
        <v>75</v>
      </c>
      <c r="G719" s="13">
        <v>153.11602727796793</v>
      </c>
      <c r="H719" s="14" t="b">
        <v>0</v>
      </c>
      <c r="I719" s="15">
        <f t="shared" si="44"/>
        <v>170</v>
      </c>
      <c r="J719" s="15">
        <f t="shared" si="44"/>
        <v>6</v>
      </c>
      <c r="K719" s="15">
        <f t="shared" si="45"/>
        <v>153</v>
      </c>
      <c r="L719" s="3" t="str">
        <f t="shared" si="46"/>
        <v>Saturday</v>
      </c>
      <c r="M719" s="4" t="str">
        <f t="shared" si="47"/>
        <v>Normal Day</v>
      </c>
      <c r="N719" s="4" t="str">
        <f>TEXT(CleanedData[[#This Row],[DAY]], "mmm yyyy")</f>
        <v>Jun 2024</v>
      </c>
    </row>
    <row r="720" spans="1:14" x14ac:dyDescent="0.3">
      <c r="A720" s="5">
        <v>45451</v>
      </c>
      <c r="B720" s="12">
        <v>342</v>
      </c>
      <c r="C720" s="12">
        <v>6</v>
      </c>
      <c r="D720" s="2" t="s">
        <v>6</v>
      </c>
      <c r="E720" s="2" t="s">
        <v>7</v>
      </c>
      <c r="F720" s="1">
        <v>18</v>
      </c>
      <c r="G720" s="13">
        <v>320.76909537760935</v>
      </c>
      <c r="H720" s="14" t="b">
        <v>0</v>
      </c>
      <c r="I720" s="15">
        <f t="shared" si="44"/>
        <v>342</v>
      </c>
      <c r="J720" s="15">
        <f t="shared" si="44"/>
        <v>6</v>
      </c>
      <c r="K720" s="15">
        <f t="shared" si="45"/>
        <v>321</v>
      </c>
      <c r="L720" s="3" t="str">
        <f t="shared" si="46"/>
        <v>Saturday</v>
      </c>
      <c r="M720" s="4" t="str">
        <f t="shared" si="47"/>
        <v>Normal Day</v>
      </c>
      <c r="N720" s="4" t="str">
        <f>TEXT(CleanedData[[#This Row],[DAY]], "mmm yyyy")</f>
        <v>Jun 2024</v>
      </c>
    </row>
    <row r="721" spans="1:14" x14ac:dyDescent="0.3">
      <c r="A721" s="5">
        <v>45451</v>
      </c>
      <c r="B721" s="12">
        <v>2637</v>
      </c>
      <c r="C721" s="12">
        <v>87</v>
      </c>
      <c r="D721" s="2" t="s">
        <v>9</v>
      </c>
      <c r="E721" s="2" t="s">
        <v>8</v>
      </c>
      <c r="F721" s="1">
        <v>1099</v>
      </c>
      <c r="G721" s="13">
        <v>2358.4523180424535</v>
      </c>
      <c r="H721" s="14" t="b">
        <v>0</v>
      </c>
      <c r="I721" s="15">
        <f t="shared" si="44"/>
        <v>2637</v>
      </c>
      <c r="J721" s="15">
        <f t="shared" si="44"/>
        <v>87</v>
      </c>
      <c r="K721" s="15">
        <f t="shared" si="45"/>
        <v>2358</v>
      </c>
      <c r="L721" s="3" t="str">
        <f t="shared" si="46"/>
        <v>Saturday</v>
      </c>
      <c r="M721" s="4" t="str">
        <f t="shared" si="47"/>
        <v>Normal Day</v>
      </c>
      <c r="N721" s="4" t="str">
        <f>TEXT(CleanedData[[#This Row],[DAY]], "mmm yyyy")</f>
        <v>Jun 2024</v>
      </c>
    </row>
    <row r="722" spans="1:14" x14ac:dyDescent="0.3">
      <c r="A722" s="5">
        <v>45451</v>
      </c>
      <c r="B722" s="12">
        <v>3553.5</v>
      </c>
      <c r="C722" s="12">
        <v>208.5</v>
      </c>
      <c r="D722" s="2" t="s">
        <v>10</v>
      </c>
      <c r="E722" s="2" t="s">
        <v>7</v>
      </c>
      <c r="F722" s="1">
        <v>1491</v>
      </c>
      <c r="G722" s="13">
        <v>3307.7169226255569</v>
      </c>
      <c r="H722" s="14" t="b">
        <v>1</v>
      </c>
      <c r="I722" s="15">
        <f t="shared" si="44"/>
        <v>3554</v>
      </c>
      <c r="J722" s="15">
        <f t="shared" si="44"/>
        <v>209</v>
      </c>
      <c r="K722" s="15">
        <f t="shared" si="45"/>
        <v>3308</v>
      </c>
      <c r="L722" s="3" t="str">
        <f t="shared" si="46"/>
        <v>Saturday</v>
      </c>
      <c r="M722" s="4" t="str">
        <f t="shared" si="47"/>
        <v>Outage Day</v>
      </c>
      <c r="N722" s="4" t="str">
        <f>TEXT(CleanedData[[#This Row],[DAY]], "mmm yyyy")</f>
        <v>Jun 2024</v>
      </c>
    </row>
    <row r="723" spans="1:14" x14ac:dyDescent="0.3">
      <c r="A723" s="5">
        <v>45452</v>
      </c>
      <c r="B723" s="12">
        <v>253.5</v>
      </c>
      <c r="C723" s="12">
        <v>3</v>
      </c>
      <c r="D723" s="2" t="s">
        <v>6</v>
      </c>
      <c r="E723" s="2" t="s">
        <v>8</v>
      </c>
      <c r="F723" s="1">
        <v>58</v>
      </c>
      <c r="G723" s="13">
        <v>216.84331879160339</v>
      </c>
      <c r="H723" s="14" t="b">
        <v>0</v>
      </c>
      <c r="I723" s="15">
        <f t="shared" si="44"/>
        <v>254</v>
      </c>
      <c r="J723" s="15">
        <f t="shared" si="44"/>
        <v>3</v>
      </c>
      <c r="K723" s="15">
        <f t="shared" si="45"/>
        <v>217</v>
      </c>
      <c r="L723" s="3" t="str">
        <f t="shared" si="46"/>
        <v>Sunday</v>
      </c>
      <c r="M723" s="4" t="str">
        <f t="shared" si="47"/>
        <v>Normal Day</v>
      </c>
      <c r="N723" s="4" t="str">
        <f>TEXT(CleanedData[[#This Row],[DAY]], "mmm yyyy")</f>
        <v>Jun 2024</v>
      </c>
    </row>
    <row r="724" spans="1:14" x14ac:dyDescent="0.3">
      <c r="A724" s="5">
        <v>45452</v>
      </c>
      <c r="B724" s="12">
        <v>276</v>
      </c>
      <c r="C724" s="12">
        <v>3</v>
      </c>
      <c r="D724" s="2" t="s">
        <v>6</v>
      </c>
      <c r="E724" s="2" t="s">
        <v>7</v>
      </c>
      <c r="F724" s="1">
        <v>105</v>
      </c>
      <c r="G724" s="13">
        <v>243.96934041516997</v>
      </c>
      <c r="H724" s="14" t="b">
        <v>0</v>
      </c>
      <c r="I724" s="15">
        <f t="shared" si="44"/>
        <v>276</v>
      </c>
      <c r="J724" s="15">
        <f t="shared" si="44"/>
        <v>3</v>
      </c>
      <c r="K724" s="15">
        <f t="shared" si="45"/>
        <v>244</v>
      </c>
      <c r="L724" s="3" t="str">
        <f t="shared" si="46"/>
        <v>Sunday</v>
      </c>
      <c r="M724" s="4" t="str">
        <f t="shared" si="47"/>
        <v>Normal Day</v>
      </c>
      <c r="N724" s="4" t="str">
        <f>TEXT(CleanedData[[#This Row],[DAY]], "mmm yyyy")</f>
        <v>Jun 2024</v>
      </c>
    </row>
    <row r="725" spans="1:14" x14ac:dyDescent="0.3">
      <c r="A725" s="5">
        <v>45452</v>
      </c>
      <c r="B725" s="12">
        <v>3016.5</v>
      </c>
      <c r="C725" s="12">
        <v>142.5</v>
      </c>
      <c r="D725" s="2" t="s">
        <v>9</v>
      </c>
      <c r="E725" s="2" t="s">
        <v>8</v>
      </c>
      <c r="F725" s="1">
        <v>1605</v>
      </c>
      <c r="G725" s="13">
        <v>2648.7335942840473</v>
      </c>
      <c r="H725" s="14" t="b">
        <v>0</v>
      </c>
      <c r="I725" s="15">
        <f t="shared" si="44"/>
        <v>3017</v>
      </c>
      <c r="J725" s="15">
        <f t="shared" si="44"/>
        <v>143</v>
      </c>
      <c r="K725" s="15">
        <f t="shared" si="45"/>
        <v>2649</v>
      </c>
      <c r="L725" s="3" t="str">
        <f t="shared" si="46"/>
        <v>Sunday</v>
      </c>
      <c r="M725" s="4" t="str">
        <f t="shared" si="47"/>
        <v>Normal Day</v>
      </c>
      <c r="N725" s="4" t="str">
        <f>TEXT(CleanedData[[#This Row],[DAY]], "mmm yyyy")</f>
        <v>Jun 2024</v>
      </c>
    </row>
    <row r="726" spans="1:14" x14ac:dyDescent="0.3">
      <c r="A726" s="5">
        <v>45452</v>
      </c>
      <c r="B726" s="12">
        <v>6229.5</v>
      </c>
      <c r="C726" s="12">
        <v>364.5</v>
      </c>
      <c r="D726" s="2" t="s">
        <v>10</v>
      </c>
      <c r="E726" s="2" t="s">
        <v>7</v>
      </c>
      <c r="F726" s="1">
        <v>493</v>
      </c>
      <c r="G726" s="13">
        <v>6001.171851942745</v>
      </c>
      <c r="H726" s="14" t="b">
        <v>0</v>
      </c>
      <c r="I726" s="15">
        <f t="shared" si="44"/>
        <v>6230</v>
      </c>
      <c r="J726" s="15">
        <f t="shared" si="44"/>
        <v>365</v>
      </c>
      <c r="K726" s="15">
        <f t="shared" si="45"/>
        <v>6001</v>
      </c>
      <c r="L726" s="3" t="str">
        <f t="shared" si="46"/>
        <v>Sunday</v>
      </c>
      <c r="M726" s="4" t="str">
        <f t="shared" si="47"/>
        <v>Normal Day</v>
      </c>
      <c r="N726" s="4" t="str">
        <f>TEXT(CleanedData[[#This Row],[DAY]], "mmm yyyy")</f>
        <v>Jun 2024</v>
      </c>
    </row>
    <row r="727" spans="1:14" x14ac:dyDescent="0.3">
      <c r="A727" s="5">
        <v>45453</v>
      </c>
      <c r="B727" s="12">
        <v>184.5</v>
      </c>
      <c r="C727" s="12">
        <v>1.5</v>
      </c>
      <c r="D727" s="2" t="s">
        <v>6</v>
      </c>
      <c r="E727" s="2" t="s">
        <v>8</v>
      </c>
      <c r="F727" s="1">
        <v>74</v>
      </c>
      <c r="G727" s="13">
        <v>155.13622788422413</v>
      </c>
      <c r="H727" s="14" t="b">
        <v>0</v>
      </c>
      <c r="I727" s="15">
        <f t="shared" si="44"/>
        <v>185</v>
      </c>
      <c r="J727" s="15">
        <f t="shared" si="44"/>
        <v>2</v>
      </c>
      <c r="K727" s="15">
        <f t="shared" si="45"/>
        <v>155</v>
      </c>
      <c r="L727" s="3" t="str">
        <f t="shared" si="46"/>
        <v>Monday</v>
      </c>
      <c r="M727" s="4" t="str">
        <f t="shared" si="47"/>
        <v>Normal Day</v>
      </c>
      <c r="N727" s="4" t="str">
        <f>TEXT(CleanedData[[#This Row],[DAY]], "mmm yyyy")</f>
        <v>Jun 2024</v>
      </c>
    </row>
    <row r="728" spans="1:14" x14ac:dyDescent="0.3">
      <c r="A728" s="5">
        <v>45453</v>
      </c>
      <c r="B728" s="12">
        <v>285</v>
      </c>
      <c r="C728" s="12">
        <v>1.5</v>
      </c>
      <c r="D728" s="2" t="s">
        <v>6</v>
      </c>
      <c r="E728" s="2" t="s">
        <v>7</v>
      </c>
      <c r="F728" s="1">
        <v>180</v>
      </c>
      <c r="G728" s="13">
        <v>257.04833540960732</v>
      </c>
      <c r="H728" s="14" t="b">
        <v>0</v>
      </c>
      <c r="I728" s="15">
        <f t="shared" si="44"/>
        <v>285</v>
      </c>
      <c r="J728" s="15">
        <f t="shared" si="44"/>
        <v>2</v>
      </c>
      <c r="K728" s="15">
        <f t="shared" si="45"/>
        <v>257</v>
      </c>
      <c r="L728" s="3" t="str">
        <f t="shared" si="46"/>
        <v>Monday</v>
      </c>
      <c r="M728" s="4" t="str">
        <f t="shared" si="47"/>
        <v>Normal Day</v>
      </c>
      <c r="N728" s="4" t="str">
        <f>TEXT(CleanedData[[#This Row],[DAY]], "mmm yyyy")</f>
        <v>Jun 2024</v>
      </c>
    </row>
    <row r="729" spans="1:14" x14ac:dyDescent="0.3">
      <c r="A729" s="5">
        <v>45453</v>
      </c>
      <c r="B729" s="12">
        <v>4567.5</v>
      </c>
      <c r="C729" s="12">
        <v>39</v>
      </c>
      <c r="D729" s="2" t="s">
        <v>9</v>
      </c>
      <c r="E729" s="2" t="s">
        <v>8</v>
      </c>
      <c r="F729" s="1">
        <v>852</v>
      </c>
      <c r="G729" s="13">
        <v>4094.6067095775234</v>
      </c>
      <c r="H729" s="14" t="b">
        <v>0</v>
      </c>
      <c r="I729" s="15">
        <f t="shared" si="44"/>
        <v>4568</v>
      </c>
      <c r="J729" s="15">
        <f t="shared" si="44"/>
        <v>39</v>
      </c>
      <c r="K729" s="15">
        <f t="shared" si="45"/>
        <v>4095</v>
      </c>
      <c r="L729" s="3" t="str">
        <f t="shared" si="46"/>
        <v>Monday</v>
      </c>
      <c r="M729" s="4" t="str">
        <f t="shared" si="47"/>
        <v>Normal Day</v>
      </c>
      <c r="N729" s="4" t="str">
        <f>TEXT(CleanedData[[#This Row],[DAY]], "mmm yyyy")</f>
        <v>Jun 2024</v>
      </c>
    </row>
    <row r="730" spans="1:14" x14ac:dyDescent="0.3">
      <c r="A730" s="5">
        <v>45453</v>
      </c>
      <c r="B730" s="12">
        <v>6310.5</v>
      </c>
      <c r="C730" s="12">
        <v>163.5</v>
      </c>
      <c r="D730" s="2" t="s">
        <v>10</v>
      </c>
      <c r="E730" s="2" t="s">
        <v>7</v>
      </c>
      <c r="F730" s="1">
        <v>4009</v>
      </c>
      <c r="G730" s="13">
        <v>5815.9342626991684</v>
      </c>
      <c r="H730" s="14" t="b">
        <v>0</v>
      </c>
      <c r="I730" s="15">
        <f t="shared" si="44"/>
        <v>6311</v>
      </c>
      <c r="J730" s="15">
        <f t="shared" si="44"/>
        <v>164</v>
      </c>
      <c r="K730" s="15">
        <f t="shared" si="45"/>
        <v>5816</v>
      </c>
      <c r="L730" s="3" t="str">
        <f t="shared" si="46"/>
        <v>Monday</v>
      </c>
      <c r="M730" s="4" t="str">
        <f t="shared" si="47"/>
        <v>Normal Day</v>
      </c>
      <c r="N730" s="4" t="str">
        <f>TEXT(CleanedData[[#This Row],[DAY]], "mmm yyyy")</f>
        <v>Jun 2024</v>
      </c>
    </row>
    <row r="731" spans="1:14" x14ac:dyDescent="0.3">
      <c r="A731" s="5">
        <v>45454</v>
      </c>
      <c r="B731" s="12">
        <v>351</v>
      </c>
      <c r="C731" s="12">
        <v>13.5</v>
      </c>
      <c r="D731" s="2" t="s">
        <v>6</v>
      </c>
      <c r="E731" s="2" t="s">
        <v>7</v>
      </c>
      <c r="F731" s="1">
        <v>89</v>
      </c>
      <c r="G731" s="13">
        <v>317.79030308899235</v>
      </c>
      <c r="H731" s="14" t="b">
        <v>0</v>
      </c>
      <c r="I731" s="15">
        <f t="shared" si="44"/>
        <v>351</v>
      </c>
      <c r="J731" s="15">
        <f t="shared" si="44"/>
        <v>14</v>
      </c>
      <c r="K731" s="15">
        <f t="shared" si="45"/>
        <v>318</v>
      </c>
      <c r="L731" s="3" t="str">
        <f t="shared" si="46"/>
        <v>Tuesday</v>
      </c>
      <c r="M731" s="4" t="str">
        <f t="shared" si="47"/>
        <v>Normal Day</v>
      </c>
      <c r="N731" s="4" t="str">
        <f>TEXT(CleanedData[[#This Row],[DAY]], "mmm yyyy")</f>
        <v>Jun 2024</v>
      </c>
    </row>
    <row r="732" spans="1:14" x14ac:dyDescent="0.3">
      <c r="A732" s="5">
        <v>45454</v>
      </c>
      <c r="B732" s="12">
        <v>355.5</v>
      </c>
      <c r="C732" s="12">
        <v>13.5</v>
      </c>
      <c r="D732" s="2" t="s">
        <v>6</v>
      </c>
      <c r="E732" s="2" t="s">
        <v>8</v>
      </c>
      <c r="F732" s="1">
        <v>146</v>
      </c>
      <c r="G732" s="13">
        <v>323.74942179716913</v>
      </c>
      <c r="H732" s="14" t="b">
        <v>0</v>
      </c>
      <c r="I732" s="15">
        <f t="shared" si="44"/>
        <v>356</v>
      </c>
      <c r="J732" s="15">
        <f t="shared" si="44"/>
        <v>14</v>
      </c>
      <c r="K732" s="15">
        <f t="shared" si="45"/>
        <v>324</v>
      </c>
      <c r="L732" s="3" t="str">
        <f t="shared" si="46"/>
        <v>Tuesday</v>
      </c>
      <c r="M732" s="4" t="str">
        <f t="shared" si="47"/>
        <v>Normal Day</v>
      </c>
      <c r="N732" s="4" t="str">
        <f>TEXT(CleanedData[[#This Row],[DAY]], "mmm yyyy")</f>
        <v>Jun 2024</v>
      </c>
    </row>
    <row r="733" spans="1:14" x14ac:dyDescent="0.3">
      <c r="A733" s="5">
        <v>45454</v>
      </c>
      <c r="B733" s="12">
        <v>2922</v>
      </c>
      <c r="C733" s="12">
        <v>97.5</v>
      </c>
      <c r="D733" s="2" t="s">
        <v>9</v>
      </c>
      <c r="E733" s="2" t="s">
        <v>8</v>
      </c>
      <c r="F733" s="1">
        <v>1042</v>
      </c>
      <c r="G733" s="13">
        <v>2456.6345747602891</v>
      </c>
      <c r="H733" s="14" t="b">
        <v>0</v>
      </c>
      <c r="I733" s="15">
        <f t="shared" si="44"/>
        <v>2922</v>
      </c>
      <c r="J733" s="15">
        <f t="shared" si="44"/>
        <v>98</v>
      </c>
      <c r="K733" s="15">
        <f t="shared" si="45"/>
        <v>2457</v>
      </c>
      <c r="L733" s="3" t="str">
        <f t="shared" si="46"/>
        <v>Tuesday</v>
      </c>
      <c r="M733" s="4" t="str">
        <f t="shared" si="47"/>
        <v>Normal Day</v>
      </c>
      <c r="N733" s="4" t="str">
        <f>TEXT(CleanedData[[#This Row],[DAY]], "mmm yyyy")</f>
        <v>Jun 2024</v>
      </c>
    </row>
    <row r="734" spans="1:14" x14ac:dyDescent="0.3">
      <c r="A734" s="5">
        <v>45454</v>
      </c>
      <c r="B734" s="12">
        <v>6351</v>
      </c>
      <c r="C734" s="12">
        <v>163.5</v>
      </c>
      <c r="D734" s="2" t="s">
        <v>10</v>
      </c>
      <c r="E734" s="2" t="s">
        <v>7</v>
      </c>
      <c r="F734" s="1">
        <v>681</v>
      </c>
      <c r="G734" s="13">
        <v>5885.8538305076218</v>
      </c>
      <c r="H734" s="14" t="b">
        <v>0</v>
      </c>
      <c r="I734" s="15">
        <f t="shared" si="44"/>
        <v>6351</v>
      </c>
      <c r="J734" s="15">
        <f t="shared" si="44"/>
        <v>164</v>
      </c>
      <c r="K734" s="15">
        <f t="shared" si="45"/>
        <v>5886</v>
      </c>
      <c r="L734" s="3" t="str">
        <f t="shared" si="46"/>
        <v>Tuesday</v>
      </c>
      <c r="M734" s="4" t="str">
        <f t="shared" si="47"/>
        <v>Normal Day</v>
      </c>
      <c r="N734" s="4" t="str">
        <f>TEXT(CleanedData[[#This Row],[DAY]], "mmm yyyy")</f>
        <v>Jun 2024</v>
      </c>
    </row>
    <row r="735" spans="1:14" x14ac:dyDescent="0.3">
      <c r="A735" s="5">
        <v>45455</v>
      </c>
      <c r="B735" s="12">
        <v>780</v>
      </c>
      <c r="C735" s="12">
        <v>61.5</v>
      </c>
      <c r="D735" s="2" t="s">
        <v>6</v>
      </c>
      <c r="E735" s="2" t="s">
        <v>8</v>
      </c>
      <c r="F735" s="1">
        <v>26</v>
      </c>
      <c r="G735" s="13">
        <v>747.49597944592858</v>
      </c>
      <c r="H735" s="14" t="b">
        <v>0</v>
      </c>
      <c r="I735" s="15">
        <f t="shared" si="44"/>
        <v>780</v>
      </c>
      <c r="J735" s="15">
        <f t="shared" si="44"/>
        <v>62</v>
      </c>
      <c r="K735" s="15">
        <f t="shared" si="45"/>
        <v>747</v>
      </c>
      <c r="L735" s="3" t="str">
        <f t="shared" si="46"/>
        <v>Wednesday</v>
      </c>
      <c r="M735" s="4" t="str">
        <f t="shared" si="47"/>
        <v>Normal Day</v>
      </c>
      <c r="N735" s="4" t="str">
        <f>TEXT(CleanedData[[#This Row],[DAY]], "mmm yyyy")</f>
        <v>Jun 2024</v>
      </c>
    </row>
    <row r="736" spans="1:14" x14ac:dyDescent="0.3">
      <c r="A736" s="5">
        <v>45455</v>
      </c>
      <c r="B736" s="12">
        <v>1008</v>
      </c>
      <c r="C736" s="12">
        <v>61.5</v>
      </c>
      <c r="D736" s="2" t="s">
        <v>6</v>
      </c>
      <c r="E736" s="2" t="s">
        <v>7</v>
      </c>
      <c r="F736" s="1">
        <v>290</v>
      </c>
      <c r="G736" s="13">
        <v>956.71589025732862</v>
      </c>
      <c r="H736" s="14" t="b">
        <v>0</v>
      </c>
      <c r="I736" s="15">
        <f t="shared" si="44"/>
        <v>1008</v>
      </c>
      <c r="J736" s="15">
        <f t="shared" si="44"/>
        <v>62</v>
      </c>
      <c r="K736" s="15">
        <f t="shared" si="45"/>
        <v>957</v>
      </c>
      <c r="L736" s="3" t="str">
        <f t="shared" si="46"/>
        <v>Wednesday</v>
      </c>
      <c r="M736" s="4" t="str">
        <f t="shared" si="47"/>
        <v>Normal Day</v>
      </c>
      <c r="N736" s="4" t="str">
        <f>TEXT(CleanedData[[#This Row],[DAY]], "mmm yyyy")</f>
        <v>Jun 2024</v>
      </c>
    </row>
    <row r="737" spans="1:14" x14ac:dyDescent="0.3">
      <c r="A737" s="5">
        <v>45455</v>
      </c>
      <c r="B737" s="12">
        <v>1653</v>
      </c>
      <c r="C737" s="12">
        <v>49.5</v>
      </c>
      <c r="D737" s="2" t="s">
        <v>9</v>
      </c>
      <c r="E737" s="2" t="s">
        <v>8</v>
      </c>
      <c r="F737" s="1">
        <v>156</v>
      </c>
      <c r="G737" s="13">
        <v>1467.3236499222069</v>
      </c>
      <c r="H737" s="14" t="b">
        <v>0</v>
      </c>
      <c r="I737" s="15">
        <f t="shared" si="44"/>
        <v>1653</v>
      </c>
      <c r="J737" s="15">
        <f t="shared" si="44"/>
        <v>50</v>
      </c>
      <c r="K737" s="15">
        <f t="shared" si="45"/>
        <v>1467</v>
      </c>
      <c r="L737" s="3" t="str">
        <f t="shared" si="46"/>
        <v>Wednesday</v>
      </c>
      <c r="M737" s="4" t="str">
        <f t="shared" si="47"/>
        <v>Normal Day</v>
      </c>
      <c r="N737" s="4" t="str">
        <f>TEXT(CleanedData[[#This Row],[DAY]], "mmm yyyy")</f>
        <v>Jun 2024</v>
      </c>
    </row>
    <row r="738" spans="1:14" x14ac:dyDescent="0.3">
      <c r="A738" s="5">
        <v>45455</v>
      </c>
      <c r="B738" s="12">
        <v>6232.5</v>
      </c>
      <c r="C738" s="12">
        <v>292.5</v>
      </c>
      <c r="D738" s="2" t="s">
        <v>10</v>
      </c>
      <c r="E738" s="2" t="s">
        <v>7</v>
      </c>
      <c r="F738" s="1">
        <v>98</v>
      </c>
      <c r="G738" s="13">
        <v>5750.9682251727636</v>
      </c>
      <c r="H738" s="14" t="b">
        <v>0</v>
      </c>
      <c r="I738" s="15">
        <f t="shared" si="44"/>
        <v>6233</v>
      </c>
      <c r="J738" s="15">
        <f t="shared" si="44"/>
        <v>293</v>
      </c>
      <c r="K738" s="15">
        <f t="shared" si="45"/>
        <v>5751</v>
      </c>
      <c r="L738" s="3" t="str">
        <f t="shared" si="46"/>
        <v>Wednesday</v>
      </c>
      <c r="M738" s="4" t="str">
        <f t="shared" si="47"/>
        <v>Normal Day</v>
      </c>
      <c r="N738" s="4" t="str">
        <f>TEXT(CleanedData[[#This Row],[DAY]], "mmm yyyy")</f>
        <v>Jun 2024</v>
      </c>
    </row>
    <row r="739" spans="1:14" x14ac:dyDescent="0.3">
      <c r="A739" s="5">
        <v>45456</v>
      </c>
      <c r="B739" s="12">
        <v>784.5</v>
      </c>
      <c r="C739" s="12">
        <v>43.5</v>
      </c>
      <c r="D739" s="2" t="s">
        <v>6</v>
      </c>
      <c r="E739" s="2" t="s">
        <v>8</v>
      </c>
      <c r="F739" s="1">
        <v>97</v>
      </c>
      <c r="G739" s="13">
        <v>712.29854731515513</v>
      </c>
      <c r="H739" s="14" t="b">
        <v>0</v>
      </c>
      <c r="I739" s="15">
        <f t="shared" si="44"/>
        <v>785</v>
      </c>
      <c r="J739" s="15">
        <f t="shared" si="44"/>
        <v>44</v>
      </c>
      <c r="K739" s="15">
        <f t="shared" si="45"/>
        <v>712</v>
      </c>
      <c r="L739" s="3" t="str">
        <f t="shared" si="46"/>
        <v>Thursday</v>
      </c>
      <c r="M739" s="4" t="str">
        <f t="shared" si="47"/>
        <v>Normal Day</v>
      </c>
      <c r="N739" s="4" t="str">
        <f>TEXT(CleanedData[[#This Row],[DAY]], "mmm yyyy")</f>
        <v>Jun 2024</v>
      </c>
    </row>
    <row r="740" spans="1:14" x14ac:dyDescent="0.3">
      <c r="A740" s="5">
        <v>45456</v>
      </c>
      <c r="B740" s="12">
        <v>990</v>
      </c>
      <c r="C740" s="12">
        <v>43.5</v>
      </c>
      <c r="D740" s="2" t="s">
        <v>6</v>
      </c>
      <c r="E740" s="2" t="s">
        <v>7</v>
      </c>
      <c r="F740" s="1">
        <v>571</v>
      </c>
      <c r="G740" s="13">
        <v>958.95582393056543</v>
      </c>
      <c r="H740" s="14" t="b">
        <v>0</v>
      </c>
      <c r="I740" s="15">
        <f t="shared" si="44"/>
        <v>990</v>
      </c>
      <c r="J740" s="15">
        <f t="shared" si="44"/>
        <v>44</v>
      </c>
      <c r="K740" s="15">
        <f t="shared" si="45"/>
        <v>959</v>
      </c>
      <c r="L740" s="3" t="str">
        <f t="shared" si="46"/>
        <v>Thursday</v>
      </c>
      <c r="M740" s="4" t="str">
        <f t="shared" si="47"/>
        <v>Normal Day</v>
      </c>
      <c r="N740" s="4" t="str">
        <f>TEXT(CleanedData[[#This Row],[DAY]], "mmm yyyy")</f>
        <v>Jun 2024</v>
      </c>
    </row>
    <row r="741" spans="1:14" x14ac:dyDescent="0.3">
      <c r="A741" s="5">
        <v>45456</v>
      </c>
      <c r="B741" s="12">
        <v>2302.5</v>
      </c>
      <c r="C741" s="12">
        <v>54</v>
      </c>
      <c r="D741" s="2" t="s">
        <v>9</v>
      </c>
      <c r="E741" s="2" t="s">
        <v>8</v>
      </c>
      <c r="F741" s="1">
        <v>1067</v>
      </c>
      <c r="G741" s="13">
        <v>1999.5895831781891</v>
      </c>
      <c r="H741" s="14" t="b">
        <v>0</v>
      </c>
      <c r="I741" s="15">
        <f t="shared" si="44"/>
        <v>2303</v>
      </c>
      <c r="J741" s="15">
        <f t="shared" si="44"/>
        <v>54</v>
      </c>
      <c r="K741" s="15">
        <f t="shared" si="45"/>
        <v>2000</v>
      </c>
      <c r="L741" s="3" t="str">
        <f t="shared" si="46"/>
        <v>Thursday</v>
      </c>
      <c r="M741" s="4" t="str">
        <f t="shared" si="47"/>
        <v>Normal Day</v>
      </c>
      <c r="N741" s="4" t="str">
        <f>TEXT(CleanedData[[#This Row],[DAY]], "mmm yyyy")</f>
        <v>Jun 2024</v>
      </c>
    </row>
    <row r="742" spans="1:14" x14ac:dyDescent="0.3">
      <c r="A742" s="5">
        <v>45456</v>
      </c>
      <c r="B742" s="12">
        <v>5565</v>
      </c>
      <c r="C742" s="12">
        <v>315</v>
      </c>
      <c r="D742" s="2" t="s">
        <v>10</v>
      </c>
      <c r="E742" s="2" t="s">
        <v>7</v>
      </c>
      <c r="F742" s="1">
        <v>588</v>
      </c>
      <c r="G742" s="13">
        <v>5225.460364445642</v>
      </c>
      <c r="H742" s="14" t="b">
        <v>0</v>
      </c>
      <c r="I742" s="15">
        <f t="shared" si="44"/>
        <v>5565</v>
      </c>
      <c r="J742" s="15">
        <f t="shared" si="44"/>
        <v>315</v>
      </c>
      <c r="K742" s="15">
        <f t="shared" si="45"/>
        <v>5225</v>
      </c>
      <c r="L742" s="3" t="str">
        <f t="shared" si="46"/>
        <v>Thursday</v>
      </c>
      <c r="M742" s="4" t="str">
        <f t="shared" si="47"/>
        <v>Normal Day</v>
      </c>
      <c r="N742" s="4" t="str">
        <f>TEXT(CleanedData[[#This Row],[DAY]], "mmm yyyy")</f>
        <v>Jun 2024</v>
      </c>
    </row>
    <row r="743" spans="1:14" x14ac:dyDescent="0.3">
      <c r="A743" s="5">
        <v>45457</v>
      </c>
      <c r="B743" s="12">
        <v>976.5</v>
      </c>
      <c r="C743" s="12">
        <v>1.5</v>
      </c>
      <c r="D743" s="2" t="s">
        <v>9</v>
      </c>
      <c r="E743" s="2" t="s">
        <v>8</v>
      </c>
      <c r="F743" s="1">
        <v>558</v>
      </c>
      <c r="G743" s="13">
        <v>867.99241872000175</v>
      </c>
      <c r="H743" s="14" t="b">
        <v>0</v>
      </c>
      <c r="I743" s="15">
        <f t="shared" si="44"/>
        <v>977</v>
      </c>
      <c r="J743" s="15">
        <f t="shared" si="44"/>
        <v>2</v>
      </c>
      <c r="K743" s="15">
        <f t="shared" si="45"/>
        <v>868</v>
      </c>
      <c r="L743" s="3" t="str">
        <f t="shared" si="46"/>
        <v>Friday</v>
      </c>
      <c r="M743" s="4" t="str">
        <f t="shared" si="47"/>
        <v>Normal Day</v>
      </c>
      <c r="N743" s="4" t="str">
        <f>TEXT(CleanedData[[#This Row],[DAY]], "mmm yyyy")</f>
        <v>Jun 2024</v>
      </c>
    </row>
    <row r="744" spans="1:14" x14ac:dyDescent="0.3">
      <c r="A744" s="5">
        <v>45457</v>
      </c>
      <c r="B744" s="12">
        <v>1132.5</v>
      </c>
      <c r="C744" s="12">
        <v>37.5</v>
      </c>
      <c r="D744" s="2" t="s">
        <v>6</v>
      </c>
      <c r="E744" s="2" t="s">
        <v>7</v>
      </c>
      <c r="F744" s="1">
        <v>30</v>
      </c>
      <c r="G744" s="13">
        <v>1025.40715767762</v>
      </c>
      <c r="H744" s="14" t="b">
        <v>0</v>
      </c>
      <c r="I744" s="15">
        <f t="shared" si="44"/>
        <v>1133</v>
      </c>
      <c r="J744" s="15">
        <f t="shared" si="44"/>
        <v>38</v>
      </c>
      <c r="K744" s="15">
        <f t="shared" si="45"/>
        <v>1025</v>
      </c>
      <c r="L744" s="3" t="str">
        <f t="shared" si="46"/>
        <v>Friday</v>
      </c>
      <c r="M744" s="4" t="str">
        <f t="shared" si="47"/>
        <v>Normal Day</v>
      </c>
      <c r="N744" s="4" t="str">
        <f>TEXT(CleanedData[[#This Row],[DAY]], "mmm yyyy")</f>
        <v>Jun 2024</v>
      </c>
    </row>
    <row r="745" spans="1:14" x14ac:dyDescent="0.3">
      <c r="A745" s="5">
        <v>45457</v>
      </c>
      <c r="B745" s="12">
        <v>1144.5</v>
      </c>
      <c r="C745" s="12">
        <v>37.5</v>
      </c>
      <c r="D745" s="2" t="s">
        <v>6</v>
      </c>
      <c r="E745" s="2" t="s">
        <v>8</v>
      </c>
      <c r="F745" s="1">
        <v>446</v>
      </c>
      <c r="G745" s="13">
        <v>968.03089230393857</v>
      </c>
      <c r="H745" s="14" t="b">
        <v>0</v>
      </c>
      <c r="I745" s="15">
        <f t="shared" si="44"/>
        <v>1145</v>
      </c>
      <c r="J745" s="15">
        <f t="shared" si="44"/>
        <v>38</v>
      </c>
      <c r="K745" s="15">
        <f t="shared" si="45"/>
        <v>968</v>
      </c>
      <c r="L745" s="3" t="str">
        <f t="shared" si="46"/>
        <v>Friday</v>
      </c>
      <c r="M745" s="4" t="str">
        <f t="shared" si="47"/>
        <v>Normal Day</v>
      </c>
      <c r="N745" s="4" t="str">
        <f>TEXT(CleanedData[[#This Row],[DAY]], "mmm yyyy")</f>
        <v>Jun 2024</v>
      </c>
    </row>
    <row r="746" spans="1:14" x14ac:dyDescent="0.3">
      <c r="A746" s="5">
        <v>45457</v>
      </c>
      <c r="B746" s="12">
        <v>4702.5</v>
      </c>
      <c r="C746" s="12">
        <v>181.5</v>
      </c>
      <c r="D746" s="2" t="s">
        <v>10</v>
      </c>
      <c r="E746" s="2" t="s">
        <v>7</v>
      </c>
      <c r="F746" s="1">
        <v>3122</v>
      </c>
      <c r="G746" s="13">
        <v>4481.5694035632432</v>
      </c>
      <c r="H746" s="14" t="b">
        <v>0</v>
      </c>
      <c r="I746" s="15">
        <f t="shared" si="44"/>
        <v>4703</v>
      </c>
      <c r="J746" s="15">
        <f t="shared" si="44"/>
        <v>182</v>
      </c>
      <c r="K746" s="15">
        <f t="shared" si="45"/>
        <v>4482</v>
      </c>
      <c r="L746" s="3" t="str">
        <f t="shared" si="46"/>
        <v>Friday</v>
      </c>
      <c r="M746" s="4" t="str">
        <f t="shared" si="47"/>
        <v>Normal Day</v>
      </c>
      <c r="N746" s="4" t="str">
        <f>TEXT(CleanedData[[#This Row],[DAY]], "mmm yyyy")</f>
        <v>Jun 2024</v>
      </c>
    </row>
    <row r="747" spans="1:14" x14ac:dyDescent="0.3">
      <c r="A747" s="5">
        <v>45458</v>
      </c>
      <c r="B747" s="12">
        <v>466.5</v>
      </c>
      <c r="C747" s="12">
        <v>1.5</v>
      </c>
      <c r="D747" s="2" t="s">
        <v>6</v>
      </c>
      <c r="E747" s="2" t="s">
        <v>8</v>
      </c>
      <c r="F747" s="1">
        <v>100</v>
      </c>
      <c r="G747" s="13">
        <v>410.41377189502236</v>
      </c>
      <c r="H747" s="14" t="b">
        <v>0</v>
      </c>
      <c r="I747" s="15">
        <f t="shared" si="44"/>
        <v>467</v>
      </c>
      <c r="J747" s="15">
        <f t="shared" si="44"/>
        <v>2</v>
      </c>
      <c r="K747" s="15">
        <f t="shared" si="45"/>
        <v>410</v>
      </c>
      <c r="L747" s="3" t="str">
        <f t="shared" si="46"/>
        <v>Saturday</v>
      </c>
      <c r="M747" s="4" t="str">
        <f t="shared" si="47"/>
        <v>Normal Day</v>
      </c>
      <c r="N747" s="4" t="str">
        <f>TEXT(CleanedData[[#This Row],[DAY]], "mmm yyyy")</f>
        <v>Jun 2024</v>
      </c>
    </row>
    <row r="748" spans="1:14" x14ac:dyDescent="0.3">
      <c r="A748" s="5">
        <v>45458</v>
      </c>
      <c r="B748" s="12">
        <v>1012.5</v>
      </c>
      <c r="C748" s="12">
        <v>1.5</v>
      </c>
      <c r="D748" s="2" t="s">
        <v>6</v>
      </c>
      <c r="E748" s="2" t="s">
        <v>7</v>
      </c>
      <c r="F748" s="1">
        <v>378</v>
      </c>
      <c r="G748" s="13">
        <v>935.04948230774733</v>
      </c>
      <c r="H748" s="14" t="b">
        <v>0</v>
      </c>
      <c r="I748" s="15">
        <f t="shared" si="44"/>
        <v>1013</v>
      </c>
      <c r="J748" s="15">
        <f t="shared" si="44"/>
        <v>2</v>
      </c>
      <c r="K748" s="15">
        <f t="shared" si="45"/>
        <v>935</v>
      </c>
      <c r="L748" s="3" t="str">
        <f t="shared" si="46"/>
        <v>Saturday</v>
      </c>
      <c r="M748" s="4" t="str">
        <f t="shared" si="47"/>
        <v>Normal Day</v>
      </c>
      <c r="N748" s="4" t="str">
        <f>TEXT(CleanedData[[#This Row],[DAY]], "mmm yyyy")</f>
        <v>Jun 2024</v>
      </c>
    </row>
    <row r="749" spans="1:14" x14ac:dyDescent="0.3">
      <c r="A749" s="5">
        <v>45458</v>
      </c>
      <c r="B749" s="12">
        <v>1513.5</v>
      </c>
      <c r="C749" s="12">
        <v>66</v>
      </c>
      <c r="D749" s="2" t="s">
        <v>9</v>
      </c>
      <c r="E749" s="2" t="s">
        <v>8</v>
      </c>
      <c r="F749" s="1">
        <v>834</v>
      </c>
      <c r="G749" s="13">
        <v>1320.1242424251386</v>
      </c>
      <c r="H749" s="14" t="b">
        <v>0</v>
      </c>
      <c r="I749" s="15">
        <f t="shared" si="44"/>
        <v>1514</v>
      </c>
      <c r="J749" s="15">
        <f t="shared" si="44"/>
        <v>66</v>
      </c>
      <c r="K749" s="15">
        <f t="shared" si="45"/>
        <v>1320</v>
      </c>
      <c r="L749" s="3" t="str">
        <f t="shared" si="46"/>
        <v>Saturday</v>
      </c>
      <c r="M749" s="4" t="str">
        <f t="shared" si="47"/>
        <v>Normal Day</v>
      </c>
      <c r="N749" s="4" t="str">
        <f>TEXT(CleanedData[[#This Row],[DAY]], "mmm yyyy")</f>
        <v>Jun 2024</v>
      </c>
    </row>
    <row r="750" spans="1:14" x14ac:dyDescent="0.3">
      <c r="A750" s="5">
        <v>45458</v>
      </c>
      <c r="B750" s="12">
        <v>4302</v>
      </c>
      <c r="C750" s="12">
        <v>115.5</v>
      </c>
      <c r="D750" s="2" t="s">
        <v>10</v>
      </c>
      <c r="E750" s="2" t="s">
        <v>7</v>
      </c>
      <c r="F750" s="1">
        <v>2080</v>
      </c>
      <c r="G750" s="13">
        <v>3874.5286896243861</v>
      </c>
      <c r="H750" s="14" t="b">
        <v>0</v>
      </c>
      <c r="I750" s="15">
        <f t="shared" si="44"/>
        <v>4302</v>
      </c>
      <c r="J750" s="15">
        <f t="shared" si="44"/>
        <v>116</v>
      </c>
      <c r="K750" s="15">
        <f t="shared" si="45"/>
        <v>3875</v>
      </c>
      <c r="L750" s="3" t="str">
        <f t="shared" si="46"/>
        <v>Saturday</v>
      </c>
      <c r="M750" s="4" t="str">
        <f t="shared" si="47"/>
        <v>Normal Day</v>
      </c>
      <c r="N750" s="4" t="str">
        <f>TEXT(CleanedData[[#This Row],[DAY]], "mmm yyyy")</f>
        <v>Jun 2024</v>
      </c>
    </row>
    <row r="751" spans="1:14" x14ac:dyDescent="0.3">
      <c r="A751" s="5">
        <v>45459</v>
      </c>
      <c r="B751" s="12">
        <v>441</v>
      </c>
      <c r="C751" s="12">
        <v>51</v>
      </c>
      <c r="D751" s="2" t="s">
        <v>6</v>
      </c>
      <c r="E751" s="2" t="s">
        <v>8</v>
      </c>
      <c r="F751" s="1">
        <v>158</v>
      </c>
      <c r="G751" s="13">
        <v>433.84326014503222</v>
      </c>
      <c r="H751" s="14" t="b">
        <v>0</v>
      </c>
      <c r="I751" s="15">
        <f t="shared" si="44"/>
        <v>441</v>
      </c>
      <c r="J751" s="15">
        <f t="shared" si="44"/>
        <v>51</v>
      </c>
      <c r="K751" s="15">
        <f t="shared" si="45"/>
        <v>434</v>
      </c>
      <c r="L751" s="3" t="str">
        <f t="shared" si="46"/>
        <v>Sunday</v>
      </c>
      <c r="M751" s="4" t="str">
        <f t="shared" si="47"/>
        <v>Normal Day</v>
      </c>
      <c r="N751" s="4" t="str">
        <f>TEXT(CleanedData[[#This Row],[DAY]], "mmm yyyy")</f>
        <v>Jun 2024</v>
      </c>
    </row>
    <row r="752" spans="1:14" x14ac:dyDescent="0.3">
      <c r="A752" s="5">
        <v>45459</v>
      </c>
      <c r="B752" s="12">
        <v>976.5</v>
      </c>
      <c r="C752" s="12">
        <v>51</v>
      </c>
      <c r="D752" s="2" t="s">
        <v>6</v>
      </c>
      <c r="E752" s="2" t="s">
        <v>7</v>
      </c>
      <c r="F752" s="1">
        <v>470</v>
      </c>
      <c r="G752" s="13">
        <v>957.90056589512483</v>
      </c>
      <c r="H752" s="14" t="b">
        <v>0</v>
      </c>
      <c r="I752" s="15">
        <f t="shared" si="44"/>
        <v>977</v>
      </c>
      <c r="J752" s="15">
        <f t="shared" si="44"/>
        <v>51</v>
      </c>
      <c r="K752" s="15">
        <f t="shared" si="45"/>
        <v>958</v>
      </c>
      <c r="L752" s="3" t="str">
        <f t="shared" si="46"/>
        <v>Sunday</v>
      </c>
      <c r="M752" s="4" t="str">
        <f t="shared" si="47"/>
        <v>Normal Day</v>
      </c>
      <c r="N752" s="4" t="str">
        <f>TEXT(CleanedData[[#This Row],[DAY]], "mmm yyyy")</f>
        <v>Jun 2024</v>
      </c>
    </row>
    <row r="753" spans="1:14" x14ac:dyDescent="0.3">
      <c r="A753" s="5">
        <v>45459</v>
      </c>
      <c r="B753" s="12">
        <v>1134</v>
      </c>
      <c r="C753" s="12">
        <v>24</v>
      </c>
      <c r="D753" s="2" t="s">
        <v>9</v>
      </c>
      <c r="E753" s="2" t="s">
        <v>8</v>
      </c>
      <c r="F753" s="1">
        <v>430</v>
      </c>
      <c r="G753" s="13">
        <v>974.99171628786871</v>
      </c>
      <c r="H753" s="14" t="b">
        <v>0</v>
      </c>
      <c r="I753" s="15">
        <f t="shared" si="44"/>
        <v>1134</v>
      </c>
      <c r="J753" s="15">
        <f t="shared" si="44"/>
        <v>24</v>
      </c>
      <c r="K753" s="15">
        <f t="shared" si="45"/>
        <v>975</v>
      </c>
      <c r="L753" s="3" t="str">
        <f t="shared" si="46"/>
        <v>Sunday</v>
      </c>
      <c r="M753" s="4" t="str">
        <f t="shared" si="47"/>
        <v>Normal Day</v>
      </c>
      <c r="N753" s="4" t="str">
        <f>TEXT(CleanedData[[#This Row],[DAY]], "mmm yyyy")</f>
        <v>Jun 2024</v>
      </c>
    </row>
    <row r="754" spans="1:14" x14ac:dyDescent="0.3">
      <c r="A754" s="5">
        <v>45459</v>
      </c>
      <c r="B754" s="12">
        <v>3453</v>
      </c>
      <c r="C754" s="12">
        <v>25.5</v>
      </c>
      <c r="D754" s="2" t="s">
        <v>10</v>
      </c>
      <c r="E754" s="2" t="s">
        <v>7</v>
      </c>
      <c r="F754" s="1">
        <v>2005</v>
      </c>
      <c r="G754" s="13">
        <v>3173.482978117217</v>
      </c>
      <c r="H754" s="14" t="b">
        <v>0</v>
      </c>
      <c r="I754" s="15">
        <f t="shared" si="44"/>
        <v>3453</v>
      </c>
      <c r="J754" s="15">
        <f t="shared" si="44"/>
        <v>26</v>
      </c>
      <c r="K754" s="15">
        <f t="shared" si="45"/>
        <v>3173</v>
      </c>
      <c r="L754" s="3" t="str">
        <f t="shared" si="46"/>
        <v>Sunday</v>
      </c>
      <c r="M754" s="4" t="str">
        <f t="shared" si="47"/>
        <v>Normal Day</v>
      </c>
      <c r="N754" s="4" t="str">
        <f>TEXT(CleanedData[[#This Row],[DAY]], "mmm yyyy")</f>
        <v>Jun 2024</v>
      </c>
    </row>
    <row r="755" spans="1:14" x14ac:dyDescent="0.3">
      <c r="A755" s="5">
        <v>45460</v>
      </c>
      <c r="B755" s="12">
        <v>727.5</v>
      </c>
      <c r="C755" s="12">
        <v>27</v>
      </c>
      <c r="D755" s="2" t="s">
        <v>6</v>
      </c>
      <c r="E755" s="2" t="s">
        <v>8</v>
      </c>
      <c r="F755" s="1">
        <v>431</v>
      </c>
      <c r="G755" s="13">
        <v>628.47594130658399</v>
      </c>
      <c r="H755" s="14" t="b">
        <v>0</v>
      </c>
      <c r="I755" s="15">
        <f t="shared" si="44"/>
        <v>728</v>
      </c>
      <c r="J755" s="15">
        <f t="shared" si="44"/>
        <v>27</v>
      </c>
      <c r="K755" s="15">
        <f t="shared" si="45"/>
        <v>628</v>
      </c>
      <c r="L755" s="3" t="str">
        <f t="shared" si="46"/>
        <v>Monday</v>
      </c>
      <c r="M755" s="4" t="str">
        <f t="shared" si="47"/>
        <v>Normal Day</v>
      </c>
      <c r="N755" s="4" t="str">
        <f>TEXT(CleanedData[[#This Row],[DAY]], "mmm yyyy")</f>
        <v>Jun 2024</v>
      </c>
    </row>
    <row r="756" spans="1:14" x14ac:dyDescent="0.3">
      <c r="A756" s="5">
        <v>45460</v>
      </c>
      <c r="B756" s="12">
        <v>814.5</v>
      </c>
      <c r="C756" s="12">
        <v>10.5</v>
      </c>
      <c r="D756" s="2" t="s">
        <v>9</v>
      </c>
      <c r="E756" s="2" t="s">
        <v>8</v>
      </c>
      <c r="F756" s="1">
        <v>445</v>
      </c>
      <c r="G756" s="13">
        <v>700.62631738468792</v>
      </c>
      <c r="H756" s="14" t="b">
        <v>0</v>
      </c>
      <c r="I756" s="15">
        <f t="shared" si="44"/>
        <v>815</v>
      </c>
      <c r="J756" s="15">
        <f t="shared" si="44"/>
        <v>11</v>
      </c>
      <c r="K756" s="15">
        <f t="shared" si="45"/>
        <v>701</v>
      </c>
      <c r="L756" s="3" t="str">
        <f t="shared" si="46"/>
        <v>Monday</v>
      </c>
      <c r="M756" s="4" t="str">
        <f t="shared" si="47"/>
        <v>Normal Day</v>
      </c>
      <c r="N756" s="4" t="str">
        <f>TEXT(CleanedData[[#This Row],[DAY]], "mmm yyyy")</f>
        <v>Jun 2024</v>
      </c>
    </row>
    <row r="757" spans="1:14" x14ac:dyDescent="0.3">
      <c r="A757" s="5">
        <v>45460</v>
      </c>
      <c r="B757" s="12">
        <v>1287</v>
      </c>
      <c r="C757" s="12">
        <v>27</v>
      </c>
      <c r="D757" s="2" t="s">
        <v>6</v>
      </c>
      <c r="E757" s="2" t="s">
        <v>7</v>
      </c>
      <c r="F757" s="1">
        <v>385</v>
      </c>
      <c r="G757" s="13">
        <v>1169.4095999829042</v>
      </c>
      <c r="H757" s="14" t="b">
        <v>0</v>
      </c>
      <c r="I757" s="15">
        <f t="shared" si="44"/>
        <v>1287</v>
      </c>
      <c r="J757" s="15">
        <f t="shared" si="44"/>
        <v>27</v>
      </c>
      <c r="K757" s="15">
        <f t="shared" si="45"/>
        <v>1169</v>
      </c>
      <c r="L757" s="3" t="str">
        <f t="shared" si="46"/>
        <v>Monday</v>
      </c>
      <c r="M757" s="4" t="str">
        <f t="shared" si="47"/>
        <v>Normal Day</v>
      </c>
      <c r="N757" s="4" t="str">
        <f>TEXT(CleanedData[[#This Row],[DAY]], "mmm yyyy")</f>
        <v>Jun 2024</v>
      </c>
    </row>
    <row r="758" spans="1:14" x14ac:dyDescent="0.3">
      <c r="A758" s="5">
        <v>45460</v>
      </c>
      <c r="B758" s="12">
        <v>3948</v>
      </c>
      <c r="C758" s="12">
        <v>204</v>
      </c>
      <c r="D758" s="2" t="s">
        <v>10</v>
      </c>
      <c r="E758" s="2" t="s">
        <v>7</v>
      </c>
      <c r="F758" s="1">
        <v>2087</v>
      </c>
      <c r="G758" s="13">
        <v>3796.3087334102988</v>
      </c>
      <c r="H758" s="14" t="b">
        <v>0</v>
      </c>
      <c r="I758" s="15">
        <f t="shared" si="44"/>
        <v>3948</v>
      </c>
      <c r="J758" s="15">
        <f t="shared" si="44"/>
        <v>204</v>
      </c>
      <c r="K758" s="15">
        <f t="shared" si="45"/>
        <v>3796</v>
      </c>
      <c r="L758" s="3" t="str">
        <f t="shared" si="46"/>
        <v>Monday</v>
      </c>
      <c r="M758" s="4" t="str">
        <f t="shared" si="47"/>
        <v>Normal Day</v>
      </c>
      <c r="N758" s="4" t="str">
        <f>TEXT(CleanedData[[#This Row],[DAY]], "mmm yyyy")</f>
        <v>Jun 2024</v>
      </c>
    </row>
    <row r="759" spans="1:14" x14ac:dyDescent="0.3">
      <c r="A759" s="5">
        <v>45461</v>
      </c>
      <c r="B759" s="12">
        <v>1414.5</v>
      </c>
      <c r="C759" s="12">
        <v>9</v>
      </c>
      <c r="D759" s="2" t="s">
        <v>9</v>
      </c>
      <c r="E759" s="2" t="s">
        <v>8</v>
      </c>
      <c r="F759" s="1">
        <v>800</v>
      </c>
      <c r="G759" s="13">
        <v>1214.3500643432446</v>
      </c>
      <c r="H759" s="14" t="b">
        <v>1</v>
      </c>
      <c r="I759" s="15">
        <f t="shared" si="44"/>
        <v>1415</v>
      </c>
      <c r="J759" s="15">
        <f t="shared" si="44"/>
        <v>9</v>
      </c>
      <c r="K759" s="15">
        <f t="shared" si="45"/>
        <v>1214</v>
      </c>
      <c r="L759" s="3" t="str">
        <f t="shared" si="46"/>
        <v>Tuesday</v>
      </c>
      <c r="M759" s="4" t="str">
        <f t="shared" si="47"/>
        <v>Outage Day</v>
      </c>
      <c r="N759" s="4" t="str">
        <f>TEXT(CleanedData[[#This Row],[DAY]], "mmm yyyy")</f>
        <v>Jun 2024</v>
      </c>
    </row>
    <row r="760" spans="1:14" x14ac:dyDescent="0.3">
      <c r="A760" s="5">
        <v>45461</v>
      </c>
      <c r="B760" s="12">
        <v>1423.5</v>
      </c>
      <c r="C760" s="12">
        <v>78</v>
      </c>
      <c r="D760" s="2" t="s">
        <v>6</v>
      </c>
      <c r="E760" s="2" t="s">
        <v>7</v>
      </c>
      <c r="F760" s="1">
        <v>323</v>
      </c>
      <c r="G760" s="13">
        <v>1398.8811284201333</v>
      </c>
      <c r="H760" s="14" t="b">
        <v>1</v>
      </c>
      <c r="I760" s="15">
        <f t="shared" si="44"/>
        <v>1424</v>
      </c>
      <c r="J760" s="15">
        <f t="shared" si="44"/>
        <v>78</v>
      </c>
      <c r="K760" s="15">
        <f t="shared" si="45"/>
        <v>1399</v>
      </c>
      <c r="L760" s="3" t="str">
        <f t="shared" si="46"/>
        <v>Tuesday</v>
      </c>
      <c r="M760" s="4" t="str">
        <f t="shared" si="47"/>
        <v>Outage Day</v>
      </c>
      <c r="N760" s="4" t="str">
        <f>TEXT(CleanedData[[#This Row],[DAY]], "mmm yyyy")</f>
        <v>Jun 2024</v>
      </c>
    </row>
    <row r="761" spans="1:14" x14ac:dyDescent="0.3">
      <c r="A761" s="5">
        <v>45461</v>
      </c>
      <c r="B761" s="12">
        <v>1728</v>
      </c>
      <c r="C761" s="12">
        <v>78</v>
      </c>
      <c r="D761" s="2" t="s">
        <v>6</v>
      </c>
      <c r="E761" s="2" t="s">
        <v>8</v>
      </c>
      <c r="F761" s="1">
        <v>351</v>
      </c>
      <c r="G761" s="13">
        <v>1574.8558126798905</v>
      </c>
      <c r="H761" s="14" t="b">
        <v>1</v>
      </c>
      <c r="I761" s="15">
        <f t="shared" si="44"/>
        <v>1728</v>
      </c>
      <c r="J761" s="15">
        <f t="shared" si="44"/>
        <v>78</v>
      </c>
      <c r="K761" s="15">
        <f t="shared" si="45"/>
        <v>1575</v>
      </c>
      <c r="L761" s="3" t="str">
        <f t="shared" si="46"/>
        <v>Tuesday</v>
      </c>
      <c r="M761" s="4" t="str">
        <f t="shared" si="47"/>
        <v>Outage Day</v>
      </c>
      <c r="N761" s="4" t="str">
        <f>TEXT(CleanedData[[#This Row],[DAY]], "mmm yyyy")</f>
        <v>Jun 2024</v>
      </c>
    </row>
    <row r="762" spans="1:14" x14ac:dyDescent="0.3">
      <c r="A762" s="5">
        <v>45461</v>
      </c>
      <c r="B762" s="12">
        <v>4867.5</v>
      </c>
      <c r="C762" s="12">
        <v>204</v>
      </c>
      <c r="D762" s="2" t="s">
        <v>10</v>
      </c>
      <c r="E762" s="2" t="s">
        <v>7</v>
      </c>
      <c r="F762" s="1">
        <v>2413</v>
      </c>
      <c r="G762" s="13">
        <v>4720.044749645529</v>
      </c>
      <c r="H762" s="14" t="b">
        <v>1</v>
      </c>
      <c r="I762" s="15">
        <f t="shared" si="44"/>
        <v>4868</v>
      </c>
      <c r="J762" s="15">
        <f t="shared" si="44"/>
        <v>204</v>
      </c>
      <c r="K762" s="15">
        <f t="shared" si="45"/>
        <v>4720</v>
      </c>
      <c r="L762" s="3" t="str">
        <f t="shared" si="46"/>
        <v>Tuesday</v>
      </c>
      <c r="M762" s="4" t="str">
        <f t="shared" si="47"/>
        <v>Outage Day</v>
      </c>
      <c r="N762" s="4" t="str">
        <f>TEXT(CleanedData[[#This Row],[DAY]], "mmm yyyy")</f>
        <v>Jun 2024</v>
      </c>
    </row>
    <row r="763" spans="1:14" x14ac:dyDescent="0.3">
      <c r="A763" s="5">
        <v>45462</v>
      </c>
      <c r="B763" s="12">
        <v>1050</v>
      </c>
      <c r="C763" s="12">
        <v>49.5</v>
      </c>
      <c r="D763" s="2" t="s">
        <v>6</v>
      </c>
      <c r="E763" s="2" t="s">
        <v>8</v>
      </c>
      <c r="F763" s="1">
        <v>110</v>
      </c>
      <c r="G763" s="13">
        <v>938.77303907041482</v>
      </c>
      <c r="H763" s="14" t="b">
        <v>0</v>
      </c>
      <c r="I763" s="15">
        <f t="shared" si="44"/>
        <v>1050</v>
      </c>
      <c r="J763" s="15">
        <f t="shared" si="44"/>
        <v>50</v>
      </c>
      <c r="K763" s="15">
        <f t="shared" si="45"/>
        <v>939</v>
      </c>
      <c r="L763" s="3" t="str">
        <f t="shared" si="46"/>
        <v>Wednesday</v>
      </c>
      <c r="M763" s="4" t="str">
        <f t="shared" si="47"/>
        <v>Normal Day</v>
      </c>
      <c r="N763" s="4" t="str">
        <f>TEXT(CleanedData[[#This Row],[DAY]], "mmm yyyy")</f>
        <v>Jun 2024</v>
      </c>
    </row>
    <row r="764" spans="1:14" x14ac:dyDescent="0.3">
      <c r="A764" s="5">
        <v>45462</v>
      </c>
      <c r="B764" s="12">
        <v>1201.5</v>
      </c>
      <c r="C764" s="12">
        <v>10.5</v>
      </c>
      <c r="D764" s="2" t="s">
        <v>9</v>
      </c>
      <c r="E764" s="2" t="s">
        <v>8</v>
      </c>
      <c r="F764" s="1">
        <v>784</v>
      </c>
      <c r="G764" s="13">
        <v>983.64338426873246</v>
      </c>
      <c r="H764" s="14" t="b">
        <v>0</v>
      </c>
      <c r="I764" s="15">
        <f t="shared" si="44"/>
        <v>1202</v>
      </c>
      <c r="J764" s="15">
        <f t="shared" si="44"/>
        <v>11</v>
      </c>
      <c r="K764" s="15">
        <f t="shared" si="45"/>
        <v>984</v>
      </c>
      <c r="L764" s="3" t="str">
        <f t="shared" si="46"/>
        <v>Wednesday</v>
      </c>
      <c r="M764" s="4" t="str">
        <f t="shared" si="47"/>
        <v>Normal Day</v>
      </c>
      <c r="N764" s="4" t="str">
        <f>TEXT(CleanedData[[#This Row],[DAY]], "mmm yyyy")</f>
        <v>Jun 2024</v>
      </c>
    </row>
    <row r="765" spans="1:14" x14ac:dyDescent="0.3">
      <c r="A765" s="5">
        <v>45462</v>
      </c>
      <c r="B765" s="12">
        <v>1276.5</v>
      </c>
      <c r="C765" s="12">
        <v>49.5</v>
      </c>
      <c r="D765" s="2" t="s">
        <v>6</v>
      </c>
      <c r="E765" s="2" t="s">
        <v>7</v>
      </c>
      <c r="F765" s="1">
        <v>785</v>
      </c>
      <c r="G765" s="13">
        <v>1165.5798171671906</v>
      </c>
      <c r="H765" s="14" t="b">
        <v>0</v>
      </c>
      <c r="I765" s="15">
        <f t="shared" si="44"/>
        <v>1277</v>
      </c>
      <c r="J765" s="15">
        <f t="shared" si="44"/>
        <v>50</v>
      </c>
      <c r="K765" s="15">
        <f t="shared" si="45"/>
        <v>1166</v>
      </c>
      <c r="L765" s="3" t="str">
        <f t="shared" si="46"/>
        <v>Wednesday</v>
      </c>
      <c r="M765" s="4" t="str">
        <f t="shared" si="47"/>
        <v>Normal Day</v>
      </c>
      <c r="N765" s="4" t="str">
        <f>TEXT(CleanedData[[#This Row],[DAY]], "mmm yyyy")</f>
        <v>Jun 2024</v>
      </c>
    </row>
    <row r="766" spans="1:14" x14ac:dyDescent="0.3">
      <c r="A766" s="5">
        <v>45462</v>
      </c>
      <c r="B766" s="12">
        <v>5281.5</v>
      </c>
      <c r="C766" s="12">
        <v>114</v>
      </c>
      <c r="D766" s="2" t="s">
        <v>10</v>
      </c>
      <c r="E766" s="2" t="s">
        <v>7</v>
      </c>
      <c r="F766" s="1">
        <v>1279</v>
      </c>
      <c r="G766" s="13">
        <v>4791.905883338939</v>
      </c>
      <c r="H766" s="14" t="b">
        <v>0</v>
      </c>
      <c r="I766" s="15">
        <f t="shared" si="44"/>
        <v>5282</v>
      </c>
      <c r="J766" s="15">
        <f t="shared" si="44"/>
        <v>114</v>
      </c>
      <c r="K766" s="15">
        <f t="shared" si="45"/>
        <v>4792</v>
      </c>
      <c r="L766" s="3" t="str">
        <f t="shared" si="46"/>
        <v>Wednesday</v>
      </c>
      <c r="M766" s="4" t="str">
        <f t="shared" si="47"/>
        <v>Normal Day</v>
      </c>
      <c r="N766" s="4" t="str">
        <f>TEXT(CleanedData[[#This Row],[DAY]], "mmm yyyy")</f>
        <v>Jun 2024</v>
      </c>
    </row>
    <row r="767" spans="1:14" x14ac:dyDescent="0.3">
      <c r="A767" s="5">
        <v>45463</v>
      </c>
      <c r="B767" s="12">
        <v>1.5</v>
      </c>
      <c r="C767" s="12">
        <v>0</v>
      </c>
      <c r="D767" s="2" t="s">
        <v>9</v>
      </c>
      <c r="E767" s="2" t="s">
        <v>7</v>
      </c>
      <c r="F767" s="1">
        <v>1</v>
      </c>
      <c r="G767" s="13">
        <v>1.3460573054138971</v>
      </c>
      <c r="H767" s="14" t="b">
        <v>1</v>
      </c>
      <c r="I767" s="15">
        <f t="shared" si="44"/>
        <v>2</v>
      </c>
      <c r="J767" s="15">
        <f t="shared" si="44"/>
        <v>0</v>
      </c>
      <c r="K767" s="15">
        <f t="shared" si="45"/>
        <v>1</v>
      </c>
      <c r="L767" s="3" t="str">
        <f t="shared" si="46"/>
        <v>Thursday</v>
      </c>
      <c r="M767" s="4" t="str">
        <f t="shared" si="47"/>
        <v>Outage Day</v>
      </c>
      <c r="N767" s="4" t="str">
        <f>TEXT(CleanedData[[#This Row],[DAY]], "mmm yyyy")</f>
        <v>Jun 2024</v>
      </c>
    </row>
    <row r="768" spans="1:14" x14ac:dyDescent="0.3">
      <c r="A768" s="5">
        <v>45463</v>
      </c>
      <c r="B768" s="12">
        <v>724.5</v>
      </c>
      <c r="C768" s="12">
        <v>12</v>
      </c>
      <c r="D768" s="2" t="s">
        <v>6</v>
      </c>
      <c r="E768" s="2" t="s">
        <v>8</v>
      </c>
      <c r="F768" s="1">
        <v>169</v>
      </c>
      <c r="G768" s="13">
        <v>619.30561296531778</v>
      </c>
      <c r="H768" s="14" t="b">
        <v>1</v>
      </c>
      <c r="I768" s="15">
        <f t="shared" si="44"/>
        <v>725</v>
      </c>
      <c r="J768" s="15">
        <f t="shared" si="44"/>
        <v>12</v>
      </c>
      <c r="K768" s="15">
        <f t="shared" si="45"/>
        <v>619</v>
      </c>
      <c r="L768" s="3" t="str">
        <f t="shared" si="46"/>
        <v>Thursday</v>
      </c>
      <c r="M768" s="4" t="str">
        <f t="shared" si="47"/>
        <v>Outage Day</v>
      </c>
      <c r="N768" s="4" t="str">
        <f>TEXT(CleanedData[[#This Row],[DAY]], "mmm yyyy")</f>
        <v>Jun 2024</v>
      </c>
    </row>
    <row r="769" spans="1:14" x14ac:dyDescent="0.3">
      <c r="A769" s="5">
        <v>45463</v>
      </c>
      <c r="B769" s="12">
        <v>1011</v>
      </c>
      <c r="C769" s="12">
        <v>12</v>
      </c>
      <c r="D769" s="2" t="s">
        <v>6</v>
      </c>
      <c r="E769" s="2" t="s">
        <v>7</v>
      </c>
      <c r="F769" s="1">
        <v>7</v>
      </c>
      <c r="G769" s="13">
        <v>920.7951553978246</v>
      </c>
      <c r="H769" s="14" t="b">
        <v>1</v>
      </c>
      <c r="I769" s="15">
        <f t="shared" si="44"/>
        <v>1011</v>
      </c>
      <c r="J769" s="15">
        <f t="shared" si="44"/>
        <v>12</v>
      </c>
      <c r="K769" s="15">
        <f t="shared" si="45"/>
        <v>921</v>
      </c>
      <c r="L769" s="3" t="str">
        <f t="shared" si="46"/>
        <v>Thursday</v>
      </c>
      <c r="M769" s="4" t="str">
        <f t="shared" si="47"/>
        <v>Outage Day</v>
      </c>
      <c r="N769" s="4" t="str">
        <f>TEXT(CleanedData[[#This Row],[DAY]], "mmm yyyy")</f>
        <v>Jun 2024</v>
      </c>
    </row>
    <row r="770" spans="1:14" x14ac:dyDescent="0.3">
      <c r="A770" s="5">
        <v>45463</v>
      </c>
      <c r="B770" s="12">
        <v>1599</v>
      </c>
      <c r="C770" s="12">
        <v>79.5</v>
      </c>
      <c r="D770" s="2" t="s">
        <v>9</v>
      </c>
      <c r="E770" s="2" t="s">
        <v>8</v>
      </c>
      <c r="F770" s="1">
        <v>979</v>
      </c>
      <c r="G770" s="13">
        <v>1478.3192144294699</v>
      </c>
      <c r="H770" s="14" t="b">
        <v>1</v>
      </c>
      <c r="I770" s="15">
        <f t="shared" ref="I770:J833" si="48">ROUND(B770, 0)</f>
        <v>1599</v>
      </c>
      <c r="J770" s="15">
        <f t="shared" si="48"/>
        <v>80</v>
      </c>
      <c r="K770" s="15">
        <f t="shared" ref="K770:K833" si="49">ROUND(G770, 0)</f>
        <v>1478</v>
      </c>
      <c r="L770" s="3" t="str">
        <f t="shared" si="46"/>
        <v>Thursday</v>
      </c>
      <c r="M770" s="4" t="str">
        <f t="shared" si="47"/>
        <v>Outage Day</v>
      </c>
      <c r="N770" s="4" t="str">
        <f>TEXT(CleanedData[[#This Row],[DAY]], "mmm yyyy")</f>
        <v>Jun 2024</v>
      </c>
    </row>
    <row r="771" spans="1:14" x14ac:dyDescent="0.3">
      <c r="A771" s="5">
        <v>45463</v>
      </c>
      <c r="B771" s="12">
        <v>5817</v>
      </c>
      <c r="C771" s="12">
        <v>52.5</v>
      </c>
      <c r="D771" s="2" t="s">
        <v>10</v>
      </c>
      <c r="E771" s="2" t="s">
        <v>7</v>
      </c>
      <c r="F771" s="1">
        <v>3560</v>
      </c>
      <c r="G771" s="13">
        <v>5496.6146776342657</v>
      </c>
      <c r="H771" s="14" t="b">
        <v>1</v>
      </c>
      <c r="I771" s="15">
        <f t="shared" si="48"/>
        <v>5817</v>
      </c>
      <c r="J771" s="15">
        <f t="shared" si="48"/>
        <v>53</v>
      </c>
      <c r="K771" s="15">
        <f t="shared" si="49"/>
        <v>5497</v>
      </c>
      <c r="L771" s="3" t="str">
        <f t="shared" ref="L771:L834" si="50">TEXT(A771,"dddd")</f>
        <v>Thursday</v>
      </c>
      <c r="M771" s="4" t="str">
        <f t="shared" ref="M771:M834" si="51">IF(H771=TRUE, "Outage Day", "Normal Day")</f>
        <v>Outage Day</v>
      </c>
      <c r="N771" s="4" t="str">
        <f>TEXT(CleanedData[[#This Row],[DAY]], "mmm yyyy")</f>
        <v>Jun 2024</v>
      </c>
    </row>
    <row r="772" spans="1:14" x14ac:dyDescent="0.3">
      <c r="A772" s="5">
        <v>45464</v>
      </c>
      <c r="B772" s="12">
        <v>934.5</v>
      </c>
      <c r="C772" s="12">
        <v>39</v>
      </c>
      <c r="D772" s="2" t="s">
        <v>6</v>
      </c>
      <c r="E772" s="2" t="s">
        <v>8</v>
      </c>
      <c r="F772" s="1">
        <v>602</v>
      </c>
      <c r="G772" s="13">
        <v>845.88195568269782</v>
      </c>
      <c r="H772" s="14" t="b">
        <v>1</v>
      </c>
      <c r="I772" s="15">
        <f t="shared" si="48"/>
        <v>935</v>
      </c>
      <c r="J772" s="15">
        <f t="shared" si="48"/>
        <v>39</v>
      </c>
      <c r="K772" s="15">
        <f t="shared" si="49"/>
        <v>846</v>
      </c>
      <c r="L772" s="3" t="str">
        <f t="shared" si="50"/>
        <v>Friday</v>
      </c>
      <c r="M772" s="4" t="str">
        <f t="shared" si="51"/>
        <v>Outage Day</v>
      </c>
      <c r="N772" s="4" t="str">
        <f>TEXT(CleanedData[[#This Row],[DAY]], "mmm yyyy")</f>
        <v>Jun 2024</v>
      </c>
    </row>
    <row r="773" spans="1:14" x14ac:dyDescent="0.3">
      <c r="A773" s="5">
        <v>45464</v>
      </c>
      <c r="B773" s="12">
        <v>1210.5</v>
      </c>
      <c r="C773" s="12">
        <v>39</v>
      </c>
      <c r="D773" s="2" t="s">
        <v>6</v>
      </c>
      <c r="E773" s="2" t="s">
        <v>7</v>
      </c>
      <c r="F773" s="1">
        <v>345</v>
      </c>
      <c r="G773" s="13">
        <v>1136.8940805574239</v>
      </c>
      <c r="H773" s="14" t="b">
        <v>1</v>
      </c>
      <c r="I773" s="15">
        <f t="shared" si="48"/>
        <v>1211</v>
      </c>
      <c r="J773" s="15">
        <f t="shared" si="48"/>
        <v>39</v>
      </c>
      <c r="K773" s="15">
        <f t="shared" si="49"/>
        <v>1137</v>
      </c>
      <c r="L773" s="3" t="str">
        <f t="shared" si="50"/>
        <v>Friday</v>
      </c>
      <c r="M773" s="4" t="str">
        <f t="shared" si="51"/>
        <v>Outage Day</v>
      </c>
      <c r="N773" s="4" t="str">
        <f>TEXT(CleanedData[[#This Row],[DAY]], "mmm yyyy")</f>
        <v>Jun 2024</v>
      </c>
    </row>
    <row r="774" spans="1:14" x14ac:dyDescent="0.3">
      <c r="A774" s="5">
        <v>45464</v>
      </c>
      <c r="B774" s="12">
        <v>2059.5</v>
      </c>
      <c r="C774" s="12">
        <v>36</v>
      </c>
      <c r="D774" s="2" t="s">
        <v>9</v>
      </c>
      <c r="E774" s="2" t="s">
        <v>8</v>
      </c>
      <c r="F774" s="1">
        <v>732</v>
      </c>
      <c r="G774" s="13">
        <v>1817.7658724270916</v>
      </c>
      <c r="H774" s="14" t="b">
        <v>1</v>
      </c>
      <c r="I774" s="15">
        <f t="shared" si="48"/>
        <v>2060</v>
      </c>
      <c r="J774" s="15">
        <f t="shared" si="48"/>
        <v>36</v>
      </c>
      <c r="K774" s="15">
        <f t="shared" si="49"/>
        <v>1818</v>
      </c>
      <c r="L774" s="3" t="str">
        <f t="shared" si="50"/>
        <v>Friday</v>
      </c>
      <c r="M774" s="4" t="str">
        <f t="shared" si="51"/>
        <v>Outage Day</v>
      </c>
      <c r="N774" s="4" t="str">
        <f>TEXT(CleanedData[[#This Row],[DAY]], "mmm yyyy")</f>
        <v>Jun 2024</v>
      </c>
    </row>
    <row r="775" spans="1:14" x14ac:dyDescent="0.3">
      <c r="A775" s="5">
        <v>45464</v>
      </c>
      <c r="B775" s="12">
        <v>6358.5</v>
      </c>
      <c r="C775" s="12">
        <v>90</v>
      </c>
      <c r="D775" s="2" t="s">
        <v>10</v>
      </c>
      <c r="E775" s="2" t="s">
        <v>7</v>
      </c>
      <c r="F775" s="1">
        <v>2817</v>
      </c>
      <c r="G775" s="13">
        <v>6017.1798035339125</v>
      </c>
      <c r="H775" s="14" t="b">
        <v>1</v>
      </c>
      <c r="I775" s="15">
        <f t="shared" si="48"/>
        <v>6359</v>
      </c>
      <c r="J775" s="15">
        <f t="shared" si="48"/>
        <v>90</v>
      </c>
      <c r="K775" s="15">
        <f t="shared" si="49"/>
        <v>6017</v>
      </c>
      <c r="L775" s="3" t="str">
        <f t="shared" si="50"/>
        <v>Friday</v>
      </c>
      <c r="M775" s="4" t="str">
        <f t="shared" si="51"/>
        <v>Outage Day</v>
      </c>
      <c r="N775" s="4" t="str">
        <f>TEXT(CleanedData[[#This Row],[DAY]], "mmm yyyy")</f>
        <v>Jun 2024</v>
      </c>
    </row>
    <row r="776" spans="1:14" x14ac:dyDescent="0.3">
      <c r="A776" s="5">
        <v>45465</v>
      </c>
      <c r="B776" s="12">
        <v>1.5</v>
      </c>
      <c r="C776" s="12">
        <v>0</v>
      </c>
      <c r="D776" s="2" t="s">
        <v>10</v>
      </c>
      <c r="E776" s="2" t="s">
        <v>8</v>
      </c>
      <c r="F776" s="1">
        <v>1</v>
      </c>
      <c r="G776" s="13">
        <v>1.2078096001777801</v>
      </c>
      <c r="H776" s="14" t="b">
        <v>0</v>
      </c>
      <c r="I776" s="15">
        <f t="shared" si="48"/>
        <v>2</v>
      </c>
      <c r="J776" s="15">
        <f t="shared" si="48"/>
        <v>0</v>
      </c>
      <c r="K776" s="15">
        <f t="shared" si="49"/>
        <v>1</v>
      </c>
      <c r="L776" s="3" t="str">
        <f t="shared" si="50"/>
        <v>Saturday</v>
      </c>
      <c r="M776" s="4" t="str">
        <f t="shared" si="51"/>
        <v>Normal Day</v>
      </c>
      <c r="N776" s="4" t="str">
        <f>TEXT(CleanedData[[#This Row],[DAY]], "mmm yyyy")</f>
        <v>Jun 2024</v>
      </c>
    </row>
    <row r="777" spans="1:14" x14ac:dyDescent="0.3">
      <c r="A777" s="5">
        <v>45465</v>
      </c>
      <c r="B777" s="12">
        <v>1717.5</v>
      </c>
      <c r="C777" s="12">
        <v>3</v>
      </c>
      <c r="D777" s="2" t="s">
        <v>6</v>
      </c>
      <c r="E777" s="2" t="s">
        <v>8</v>
      </c>
      <c r="F777" s="1">
        <v>267</v>
      </c>
      <c r="G777" s="13">
        <v>1525.5589497487288</v>
      </c>
      <c r="H777" s="14" t="b">
        <v>0</v>
      </c>
      <c r="I777" s="15">
        <f t="shared" si="48"/>
        <v>1718</v>
      </c>
      <c r="J777" s="15">
        <f t="shared" si="48"/>
        <v>3</v>
      </c>
      <c r="K777" s="15">
        <f t="shared" si="49"/>
        <v>1526</v>
      </c>
      <c r="L777" s="3" t="str">
        <f t="shared" si="50"/>
        <v>Saturday</v>
      </c>
      <c r="M777" s="4" t="str">
        <f t="shared" si="51"/>
        <v>Normal Day</v>
      </c>
      <c r="N777" s="4" t="str">
        <f>TEXT(CleanedData[[#This Row],[DAY]], "mmm yyyy")</f>
        <v>Jun 2024</v>
      </c>
    </row>
    <row r="778" spans="1:14" x14ac:dyDescent="0.3">
      <c r="A778" s="5">
        <v>45465</v>
      </c>
      <c r="B778" s="12">
        <v>1971</v>
      </c>
      <c r="C778" s="12">
        <v>33</v>
      </c>
      <c r="D778" s="2" t="s">
        <v>9</v>
      </c>
      <c r="E778" s="2" t="s">
        <v>8</v>
      </c>
      <c r="F778" s="1">
        <v>789</v>
      </c>
      <c r="G778" s="13">
        <v>1690.4657439145421</v>
      </c>
      <c r="H778" s="14" t="b">
        <v>0</v>
      </c>
      <c r="I778" s="15">
        <f t="shared" si="48"/>
        <v>1971</v>
      </c>
      <c r="J778" s="15">
        <f t="shared" si="48"/>
        <v>33</v>
      </c>
      <c r="K778" s="15">
        <f t="shared" si="49"/>
        <v>1690</v>
      </c>
      <c r="L778" s="3" t="str">
        <f t="shared" si="50"/>
        <v>Saturday</v>
      </c>
      <c r="M778" s="4" t="str">
        <f t="shared" si="51"/>
        <v>Normal Day</v>
      </c>
      <c r="N778" s="4" t="str">
        <f>TEXT(CleanedData[[#This Row],[DAY]], "mmm yyyy")</f>
        <v>Jun 2024</v>
      </c>
    </row>
    <row r="779" spans="1:14" x14ac:dyDescent="0.3">
      <c r="A779" s="5">
        <v>45465</v>
      </c>
      <c r="B779" s="12">
        <v>2160</v>
      </c>
      <c r="C779" s="12">
        <v>3</v>
      </c>
      <c r="D779" s="2" t="s">
        <v>6</v>
      </c>
      <c r="E779" s="2" t="s">
        <v>7</v>
      </c>
      <c r="F779" s="1">
        <v>1131</v>
      </c>
      <c r="G779" s="13">
        <v>1887.189999183116</v>
      </c>
      <c r="H779" s="14" t="b">
        <v>0</v>
      </c>
      <c r="I779" s="15">
        <f t="shared" si="48"/>
        <v>2160</v>
      </c>
      <c r="J779" s="15">
        <f t="shared" si="48"/>
        <v>3</v>
      </c>
      <c r="K779" s="15">
        <f t="shared" si="49"/>
        <v>1887</v>
      </c>
      <c r="L779" s="3" t="str">
        <f t="shared" si="50"/>
        <v>Saturday</v>
      </c>
      <c r="M779" s="4" t="str">
        <f t="shared" si="51"/>
        <v>Normal Day</v>
      </c>
      <c r="N779" s="4" t="str">
        <f>TEXT(CleanedData[[#This Row],[DAY]], "mmm yyyy")</f>
        <v>Jun 2024</v>
      </c>
    </row>
    <row r="780" spans="1:14" x14ac:dyDescent="0.3">
      <c r="A780" s="5">
        <v>45465</v>
      </c>
      <c r="B780" s="12">
        <v>4959</v>
      </c>
      <c r="C780" s="12">
        <v>309</v>
      </c>
      <c r="D780" s="2" t="s">
        <v>10</v>
      </c>
      <c r="E780" s="2" t="s">
        <v>7</v>
      </c>
      <c r="F780" s="1">
        <v>3211</v>
      </c>
      <c r="G780" s="13">
        <v>4673.7380043385938</v>
      </c>
      <c r="H780" s="14" t="b">
        <v>0</v>
      </c>
      <c r="I780" s="15">
        <f t="shared" si="48"/>
        <v>4959</v>
      </c>
      <c r="J780" s="15">
        <f t="shared" si="48"/>
        <v>309</v>
      </c>
      <c r="K780" s="15">
        <f t="shared" si="49"/>
        <v>4674</v>
      </c>
      <c r="L780" s="3" t="str">
        <f t="shared" si="50"/>
        <v>Saturday</v>
      </c>
      <c r="M780" s="4" t="str">
        <f t="shared" si="51"/>
        <v>Normal Day</v>
      </c>
      <c r="N780" s="4" t="str">
        <f>TEXT(CleanedData[[#This Row],[DAY]], "mmm yyyy")</f>
        <v>Jun 2024</v>
      </c>
    </row>
    <row r="781" spans="1:14" x14ac:dyDescent="0.3">
      <c r="A781" s="5">
        <v>45466</v>
      </c>
      <c r="B781" s="12">
        <v>1359</v>
      </c>
      <c r="C781" s="12">
        <v>106.5</v>
      </c>
      <c r="D781" s="2" t="s">
        <v>6</v>
      </c>
      <c r="E781" s="2" t="s">
        <v>8</v>
      </c>
      <c r="F781" s="1">
        <v>853</v>
      </c>
      <c r="G781" s="13">
        <v>1191.5980590266593</v>
      </c>
      <c r="H781" s="14" t="b">
        <v>0</v>
      </c>
      <c r="I781" s="15">
        <f t="shared" si="48"/>
        <v>1359</v>
      </c>
      <c r="J781" s="15">
        <f t="shared" si="48"/>
        <v>107</v>
      </c>
      <c r="K781" s="15">
        <f t="shared" si="49"/>
        <v>1192</v>
      </c>
      <c r="L781" s="3" t="str">
        <f t="shared" si="50"/>
        <v>Sunday</v>
      </c>
      <c r="M781" s="4" t="str">
        <f t="shared" si="51"/>
        <v>Normal Day</v>
      </c>
      <c r="N781" s="4" t="str">
        <f>TEXT(CleanedData[[#This Row],[DAY]], "mmm yyyy")</f>
        <v>Jun 2024</v>
      </c>
    </row>
    <row r="782" spans="1:14" x14ac:dyDescent="0.3">
      <c r="A782" s="5">
        <v>45466</v>
      </c>
      <c r="B782" s="12">
        <v>1756.5</v>
      </c>
      <c r="C782" s="12">
        <v>106.5</v>
      </c>
      <c r="D782" s="2" t="s">
        <v>6</v>
      </c>
      <c r="E782" s="2" t="s">
        <v>7</v>
      </c>
      <c r="F782" s="1">
        <v>949</v>
      </c>
      <c r="G782" s="13">
        <v>1689.1398139997716</v>
      </c>
      <c r="H782" s="14" t="b">
        <v>0</v>
      </c>
      <c r="I782" s="15">
        <f t="shared" si="48"/>
        <v>1757</v>
      </c>
      <c r="J782" s="15">
        <f t="shared" si="48"/>
        <v>107</v>
      </c>
      <c r="K782" s="15">
        <f t="shared" si="49"/>
        <v>1689</v>
      </c>
      <c r="L782" s="3" t="str">
        <f t="shared" si="50"/>
        <v>Sunday</v>
      </c>
      <c r="M782" s="4" t="str">
        <f t="shared" si="51"/>
        <v>Normal Day</v>
      </c>
      <c r="N782" s="4" t="str">
        <f>TEXT(CleanedData[[#This Row],[DAY]], "mmm yyyy")</f>
        <v>Jun 2024</v>
      </c>
    </row>
    <row r="783" spans="1:14" x14ac:dyDescent="0.3">
      <c r="A783" s="5">
        <v>45466</v>
      </c>
      <c r="B783" s="12">
        <v>2311.5</v>
      </c>
      <c r="C783" s="12">
        <v>30</v>
      </c>
      <c r="D783" s="2" t="s">
        <v>9</v>
      </c>
      <c r="E783" s="2" t="s">
        <v>8</v>
      </c>
      <c r="F783" s="1">
        <v>818</v>
      </c>
      <c r="G783" s="13">
        <v>1912.1670173148714</v>
      </c>
      <c r="H783" s="14" t="b">
        <v>0</v>
      </c>
      <c r="I783" s="15">
        <f t="shared" si="48"/>
        <v>2312</v>
      </c>
      <c r="J783" s="15">
        <f t="shared" si="48"/>
        <v>30</v>
      </c>
      <c r="K783" s="15">
        <f t="shared" si="49"/>
        <v>1912</v>
      </c>
      <c r="L783" s="3" t="str">
        <f t="shared" si="50"/>
        <v>Sunday</v>
      </c>
      <c r="M783" s="4" t="str">
        <f t="shared" si="51"/>
        <v>Normal Day</v>
      </c>
      <c r="N783" s="4" t="str">
        <f>TEXT(CleanedData[[#This Row],[DAY]], "mmm yyyy")</f>
        <v>Jun 2024</v>
      </c>
    </row>
    <row r="784" spans="1:14" x14ac:dyDescent="0.3">
      <c r="A784" s="5">
        <v>45466</v>
      </c>
      <c r="B784" s="12">
        <v>5232</v>
      </c>
      <c r="C784" s="12">
        <v>297</v>
      </c>
      <c r="D784" s="2" t="s">
        <v>10</v>
      </c>
      <c r="E784" s="2" t="s">
        <v>7</v>
      </c>
      <c r="F784" s="1">
        <v>2488</v>
      </c>
      <c r="G784" s="13">
        <v>4963.4991910326544</v>
      </c>
      <c r="H784" s="14" t="b">
        <v>0</v>
      </c>
      <c r="I784" s="15">
        <f t="shared" si="48"/>
        <v>5232</v>
      </c>
      <c r="J784" s="15">
        <f t="shared" si="48"/>
        <v>297</v>
      </c>
      <c r="K784" s="15">
        <f t="shared" si="49"/>
        <v>4963</v>
      </c>
      <c r="L784" s="3" t="str">
        <f t="shared" si="50"/>
        <v>Sunday</v>
      </c>
      <c r="M784" s="4" t="str">
        <f t="shared" si="51"/>
        <v>Normal Day</v>
      </c>
      <c r="N784" s="4" t="str">
        <f>TEXT(CleanedData[[#This Row],[DAY]], "mmm yyyy")</f>
        <v>Jun 2024</v>
      </c>
    </row>
    <row r="785" spans="1:14" x14ac:dyDescent="0.3">
      <c r="A785" s="5">
        <v>45467</v>
      </c>
      <c r="B785" s="12">
        <v>1.5</v>
      </c>
      <c r="C785" s="12">
        <v>0</v>
      </c>
      <c r="D785" s="2" t="s">
        <v>10</v>
      </c>
      <c r="E785" s="2" t="s">
        <v>8</v>
      </c>
      <c r="F785" s="1">
        <v>1</v>
      </c>
      <c r="G785" s="13">
        <v>1.2595663485269071</v>
      </c>
      <c r="H785" s="14" t="b">
        <v>0</v>
      </c>
      <c r="I785" s="15">
        <f t="shared" si="48"/>
        <v>2</v>
      </c>
      <c r="J785" s="15">
        <f t="shared" si="48"/>
        <v>0</v>
      </c>
      <c r="K785" s="15">
        <f t="shared" si="49"/>
        <v>1</v>
      </c>
      <c r="L785" s="3" t="str">
        <f t="shared" si="50"/>
        <v>Monday</v>
      </c>
      <c r="M785" s="4" t="str">
        <f t="shared" si="51"/>
        <v>Normal Day</v>
      </c>
      <c r="N785" s="4" t="str">
        <f>TEXT(CleanedData[[#This Row],[DAY]], "mmm yyyy")</f>
        <v>Jun 2024</v>
      </c>
    </row>
    <row r="786" spans="1:14" x14ac:dyDescent="0.3">
      <c r="A786" s="5">
        <v>45467</v>
      </c>
      <c r="B786" s="12">
        <v>1287</v>
      </c>
      <c r="C786" s="12">
        <v>75</v>
      </c>
      <c r="D786" s="2" t="s">
        <v>6</v>
      </c>
      <c r="E786" s="2" t="s">
        <v>8</v>
      </c>
      <c r="F786" s="1">
        <v>460</v>
      </c>
      <c r="G786" s="13">
        <v>1122.3105857666906</v>
      </c>
      <c r="H786" s="14" t="b">
        <v>0</v>
      </c>
      <c r="I786" s="15">
        <f t="shared" si="48"/>
        <v>1287</v>
      </c>
      <c r="J786" s="15">
        <f t="shared" si="48"/>
        <v>75</v>
      </c>
      <c r="K786" s="15">
        <f t="shared" si="49"/>
        <v>1122</v>
      </c>
      <c r="L786" s="3" t="str">
        <f t="shared" si="50"/>
        <v>Monday</v>
      </c>
      <c r="M786" s="4" t="str">
        <f t="shared" si="51"/>
        <v>Normal Day</v>
      </c>
      <c r="N786" s="4" t="str">
        <f>TEXT(CleanedData[[#This Row],[DAY]], "mmm yyyy")</f>
        <v>Jun 2024</v>
      </c>
    </row>
    <row r="787" spans="1:14" x14ac:dyDescent="0.3">
      <c r="A787" s="5">
        <v>45467</v>
      </c>
      <c r="B787" s="12">
        <v>1690.5</v>
      </c>
      <c r="C787" s="12">
        <v>63</v>
      </c>
      <c r="D787" s="2" t="s">
        <v>9</v>
      </c>
      <c r="E787" s="2" t="s">
        <v>8</v>
      </c>
      <c r="F787" s="1">
        <v>1038</v>
      </c>
      <c r="G787" s="13">
        <v>1476.0164487159254</v>
      </c>
      <c r="H787" s="14" t="b">
        <v>0</v>
      </c>
      <c r="I787" s="15">
        <f t="shared" si="48"/>
        <v>1691</v>
      </c>
      <c r="J787" s="15">
        <f t="shared" si="48"/>
        <v>63</v>
      </c>
      <c r="K787" s="15">
        <f t="shared" si="49"/>
        <v>1476</v>
      </c>
      <c r="L787" s="3" t="str">
        <f t="shared" si="50"/>
        <v>Monday</v>
      </c>
      <c r="M787" s="4" t="str">
        <f t="shared" si="51"/>
        <v>Normal Day</v>
      </c>
      <c r="N787" s="4" t="str">
        <f>TEXT(CleanedData[[#This Row],[DAY]], "mmm yyyy")</f>
        <v>Jun 2024</v>
      </c>
    </row>
    <row r="788" spans="1:14" x14ac:dyDescent="0.3">
      <c r="A788" s="5">
        <v>45467</v>
      </c>
      <c r="B788" s="12">
        <v>1797</v>
      </c>
      <c r="C788" s="12">
        <v>75</v>
      </c>
      <c r="D788" s="2" t="s">
        <v>6</v>
      </c>
      <c r="E788" s="2" t="s">
        <v>7</v>
      </c>
      <c r="F788" s="1">
        <v>604</v>
      </c>
      <c r="G788" s="13">
        <v>1707.3181217944239</v>
      </c>
      <c r="H788" s="14" t="b">
        <v>0</v>
      </c>
      <c r="I788" s="15">
        <f t="shared" si="48"/>
        <v>1797</v>
      </c>
      <c r="J788" s="15">
        <f t="shared" si="48"/>
        <v>75</v>
      </c>
      <c r="K788" s="15">
        <f t="shared" si="49"/>
        <v>1707</v>
      </c>
      <c r="L788" s="3" t="str">
        <f t="shared" si="50"/>
        <v>Monday</v>
      </c>
      <c r="M788" s="4" t="str">
        <f t="shared" si="51"/>
        <v>Normal Day</v>
      </c>
      <c r="N788" s="4" t="str">
        <f>TEXT(CleanedData[[#This Row],[DAY]], "mmm yyyy")</f>
        <v>Jun 2024</v>
      </c>
    </row>
    <row r="789" spans="1:14" x14ac:dyDescent="0.3">
      <c r="A789" s="5">
        <v>45467</v>
      </c>
      <c r="B789" s="12">
        <v>3903</v>
      </c>
      <c r="C789" s="12">
        <v>261</v>
      </c>
      <c r="D789" s="2" t="s">
        <v>10</v>
      </c>
      <c r="E789" s="2" t="s">
        <v>7</v>
      </c>
      <c r="F789" s="1">
        <v>1485</v>
      </c>
      <c r="G789" s="13">
        <v>3633.5822396668295</v>
      </c>
      <c r="H789" s="14" t="b">
        <v>0</v>
      </c>
      <c r="I789" s="15">
        <f t="shared" si="48"/>
        <v>3903</v>
      </c>
      <c r="J789" s="15">
        <f t="shared" si="48"/>
        <v>261</v>
      </c>
      <c r="K789" s="15">
        <f t="shared" si="49"/>
        <v>3634</v>
      </c>
      <c r="L789" s="3" t="str">
        <f t="shared" si="50"/>
        <v>Monday</v>
      </c>
      <c r="M789" s="4" t="str">
        <f t="shared" si="51"/>
        <v>Normal Day</v>
      </c>
      <c r="N789" s="4" t="str">
        <f>TEXT(CleanedData[[#This Row],[DAY]], "mmm yyyy")</f>
        <v>Jun 2024</v>
      </c>
    </row>
    <row r="790" spans="1:14" x14ac:dyDescent="0.3">
      <c r="A790" s="5">
        <v>45468</v>
      </c>
      <c r="B790" s="12">
        <v>1198.5</v>
      </c>
      <c r="C790" s="12">
        <v>34.5</v>
      </c>
      <c r="D790" s="2" t="s">
        <v>9</v>
      </c>
      <c r="E790" s="2" t="s">
        <v>8</v>
      </c>
      <c r="F790" s="1">
        <v>646</v>
      </c>
      <c r="G790" s="13">
        <v>993.32813018617412</v>
      </c>
      <c r="H790" s="14" t="b">
        <v>1</v>
      </c>
      <c r="I790" s="15">
        <f t="shared" si="48"/>
        <v>1199</v>
      </c>
      <c r="J790" s="15">
        <f t="shared" si="48"/>
        <v>35</v>
      </c>
      <c r="K790" s="15">
        <f t="shared" si="49"/>
        <v>993</v>
      </c>
      <c r="L790" s="3" t="str">
        <f t="shared" si="50"/>
        <v>Tuesday</v>
      </c>
      <c r="M790" s="4" t="str">
        <f t="shared" si="51"/>
        <v>Outage Day</v>
      </c>
      <c r="N790" s="4" t="str">
        <f>TEXT(CleanedData[[#This Row],[DAY]], "mmm yyyy")</f>
        <v>Jun 2024</v>
      </c>
    </row>
    <row r="791" spans="1:14" x14ac:dyDescent="0.3">
      <c r="A791" s="5">
        <v>45468</v>
      </c>
      <c r="B791" s="12">
        <v>1444.5</v>
      </c>
      <c r="C791" s="12">
        <v>9</v>
      </c>
      <c r="D791" s="2" t="s">
        <v>6</v>
      </c>
      <c r="E791" s="2" t="s">
        <v>7</v>
      </c>
      <c r="F791" s="1">
        <v>856</v>
      </c>
      <c r="G791" s="13">
        <v>1290.6121397176239</v>
      </c>
      <c r="H791" s="14" t="b">
        <v>0</v>
      </c>
      <c r="I791" s="15">
        <f t="shared" si="48"/>
        <v>1445</v>
      </c>
      <c r="J791" s="15">
        <f t="shared" si="48"/>
        <v>9</v>
      </c>
      <c r="K791" s="15">
        <f t="shared" si="49"/>
        <v>1291</v>
      </c>
      <c r="L791" s="3" t="str">
        <f t="shared" si="50"/>
        <v>Tuesday</v>
      </c>
      <c r="M791" s="4" t="str">
        <f t="shared" si="51"/>
        <v>Normal Day</v>
      </c>
      <c r="N791" s="4" t="str">
        <f>TEXT(CleanedData[[#This Row],[DAY]], "mmm yyyy")</f>
        <v>Jun 2024</v>
      </c>
    </row>
    <row r="792" spans="1:14" x14ac:dyDescent="0.3">
      <c r="A792" s="5">
        <v>45468</v>
      </c>
      <c r="B792" s="12">
        <v>1656</v>
      </c>
      <c r="C792" s="12">
        <v>9</v>
      </c>
      <c r="D792" s="2" t="s">
        <v>6</v>
      </c>
      <c r="E792" s="2" t="s">
        <v>8</v>
      </c>
      <c r="F792" s="1">
        <v>572</v>
      </c>
      <c r="G792" s="13">
        <v>1361.560437159673</v>
      </c>
      <c r="H792" s="14" t="b">
        <v>0</v>
      </c>
      <c r="I792" s="15">
        <f t="shared" si="48"/>
        <v>1656</v>
      </c>
      <c r="J792" s="15">
        <f t="shared" si="48"/>
        <v>9</v>
      </c>
      <c r="K792" s="15">
        <f t="shared" si="49"/>
        <v>1362</v>
      </c>
      <c r="L792" s="3" t="str">
        <f t="shared" si="50"/>
        <v>Tuesday</v>
      </c>
      <c r="M792" s="4" t="str">
        <f t="shared" si="51"/>
        <v>Normal Day</v>
      </c>
      <c r="N792" s="4" t="str">
        <f>TEXT(CleanedData[[#This Row],[DAY]], "mmm yyyy")</f>
        <v>Jun 2024</v>
      </c>
    </row>
    <row r="793" spans="1:14" x14ac:dyDescent="0.3">
      <c r="A793" s="5">
        <v>45468</v>
      </c>
      <c r="B793" s="12">
        <v>4438.5</v>
      </c>
      <c r="C793" s="12">
        <v>99</v>
      </c>
      <c r="D793" s="2" t="s">
        <v>10</v>
      </c>
      <c r="E793" s="2" t="s">
        <v>7</v>
      </c>
      <c r="F793" s="1">
        <v>2801</v>
      </c>
      <c r="G793" s="13">
        <v>4141.1903522666389</v>
      </c>
      <c r="H793" s="14" t="b">
        <v>0</v>
      </c>
      <c r="I793" s="15">
        <f t="shared" si="48"/>
        <v>4439</v>
      </c>
      <c r="J793" s="15">
        <f t="shared" si="48"/>
        <v>99</v>
      </c>
      <c r="K793" s="15">
        <f t="shared" si="49"/>
        <v>4141</v>
      </c>
      <c r="L793" s="3" t="str">
        <f t="shared" si="50"/>
        <v>Tuesday</v>
      </c>
      <c r="M793" s="4" t="str">
        <f t="shared" si="51"/>
        <v>Normal Day</v>
      </c>
      <c r="N793" s="4" t="str">
        <f>TEXT(CleanedData[[#This Row],[DAY]], "mmm yyyy")</f>
        <v>Jun 2024</v>
      </c>
    </row>
    <row r="794" spans="1:14" x14ac:dyDescent="0.3">
      <c r="A794" s="5">
        <v>45469</v>
      </c>
      <c r="B794" s="12">
        <v>1234.5</v>
      </c>
      <c r="C794" s="12">
        <v>42</v>
      </c>
      <c r="D794" s="2" t="s">
        <v>6</v>
      </c>
      <c r="E794" s="2" t="s">
        <v>8</v>
      </c>
      <c r="F794" s="1">
        <v>660</v>
      </c>
      <c r="G794" s="13">
        <v>1101.8626961746011</v>
      </c>
      <c r="H794" s="14" t="b">
        <v>0</v>
      </c>
      <c r="I794" s="15">
        <f t="shared" si="48"/>
        <v>1235</v>
      </c>
      <c r="J794" s="15">
        <f t="shared" si="48"/>
        <v>42</v>
      </c>
      <c r="K794" s="15">
        <f t="shared" si="49"/>
        <v>1102</v>
      </c>
      <c r="L794" s="3" t="str">
        <f t="shared" si="50"/>
        <v>Wednesday</v>
      </c>
      <c r="M794" s="4" t="str">
        <f t="shared" si="51"/>
        <v>Normal Day</v>
      </c>
      <c r="N794" s="4" t="str">
        <f>TEXT(CleanedData[[#This Row],[DAY]], "mmm yyyy")</f>
        <v>Jun 2024</v>
      </c>
    </row>
    <row r="795" spans="1:14" x14ac:dyDescent="0.3">
      <c r="A795" s="5">
        <v>45469</v>
      </c>
      <c r="B795" s="12">
        <v>1368</v>
      </c>
      <c r="C795" s="12">
        <v>42</v>
      </c>
      <c r="D795" s="2" t="s">
        <v>6</v>
      </c>
      <c r="E795" s="2" t="s">
        <v>7</v>
      </c>
      <c r="F795" s="1">
        <v>650</v>
      </c>
      <c r="G795" s="13">
        <v>1291.4960140630665</v>
      </c>
      <c r="H795" s="14" t="b">
        <v>0</v>
      </c>
      <c r="I795" s="15">
        <f t="shared" si="48"/>
        <v>1368</v>
      </c>
      <c r="J795" s="15">
        <f t="shared" si="48"/>
        <v>42</v>
      </c>
      <c r="K795" s="15">
        <f t="shared" si="49"/>
        <v>1291</v>
      </c>
      <c r="L795" s="3" t="str">
        <f t="shared" si="50"/>
        <v>Wednesday</v>
      </c>
      <c r="M795" s="4" t="str">
        <f t="shared" si="51"/>
        <v>Normal Day</v>
      </c>
      <c r="N795" s="4" t="str">
        <f>TEXT(CleanedData[[#This Row],[DAY]], "mmm yyyy")</f>
        <v>Jun 2024</v>
      </c>
    </row>
    <row r="796" spans="1:14" x14ac:dyDescent="0.3">
      <c r="A796" s="5">
        <v>45469</v>
      </c>
      <c r="B796" s="12">
        <v>1893</v>
      </c>
      <c r="C796" s="12">
        <v>15</v>
      </c>
      <c r="D796" s="2" t="s">
        <v>9</v>
      </c>
      <c r="E796" s="2" t="s">
        <v>8</v>
      </c>
      <c r="F796" s="1">
        <v>587</v>
      </c>
      <c r="G796" s="13">
        <v>1589.6814605482871</v>
      </c>
      <c r="H796" s="14" t="b">
        <v>0</v>
      </c>
      <c r="I796" s="15">
        <f t="shared" si="48"/>
        <v>1893</v>
      </c>
      <c r="J796" s="15">
        <f t="shared" si="48"/>
        <v>15</v>
      </c>
      <c r="K796" s="15">
        <f t="shared" si="49"/>
        <v>1590</v>
      </c>
      <c r="L796" s="3" t="str">
        <f t="shared" si="50"/>
        <v>Wednesday</v>
      </c>
      <c r="M796" s="4" t="str">
        <f t="shared" si="51"/>
        <v>Normal Day</v>
      </c>
      <c r="N796" s="4" t="str">
        <f>TEXT(CleanedData[[#This Row],[DAY]], "mmm yyyy")</f>
        <v>Jun 2024</v>
      </c>
    </row>
    <row r="797" spans="1:14" x14ac:dyDescent="0.3">
      <c r="A797" s="5">
        <v>45469</v>
      </c>
      <c r="B797" s="12">
        <v>5145</v>
      </c>
      <c r="C797" s="12">
        <v>306</v>
      </c>
      <c r="D797" s="2" t="s">
        <v>10</v>
      </c>
      <c r="E797" s="2" t="s">
        <v>7</v>
      </c>
      <c r="F797" s="1">
        <v>2626</v>
      </c>
      <c r="G797" s="13">
        <v>4975.756814552291</v>
      </c>
      <c r="H797" s="14" t="b">
        <v>0</v>
      </c>
      <c r="I797" s="15">
        <f t="shared" si="48"/>
        <v>5145</v>
      </c>
      <c r="J797" s="15">
        <f t="shared" si="48"/>
        <v>306</v>
      </c>
      <c r="K797" s="15">
        <f t="shared" si="49"/>
        <v>4976</v>
      </c>
      <c r="L797" s="3" t="str">
        <f t="shared" si="50"/>
        <v>Wednesday</v>
      </c>
      <c r="M797" s="4" t="str">
        <f t="shared" si="51"/>
        <v>Normal Day</v>
      </c>
      <c r="N797" s="4" t="str">
        <f>TEXT(CleanedData[[#This Row],[DAY]], "mmm yyyy")</f>
        <v>Jun 2024</v>
      </c>
    </row>
    <row r="798" spans="1:14" x14ac:dyDescent="0.3">
      <c r="A798" s="5">
        <v>45470</v>
      </c>
      <c r="B798" s="12">
        <v>732</v>
      </c>
      <c r="C798" s="12">
        <v>24</v>
      </c>
      <c r="D798" s="2" t="s">
        <v>6</v>
      </c>
      <c r="E798" s="2" t="s">
        <v>8</v>
      </c>
      <c r="F798" s="1">
        <v>394</v>
      </c>
      <c r="G798" s="13">
        <v>652.08362879567073</v>
      </c>
      <c r="H798" s="14" t="b">
        <v>0</v>
      </c>
      <c r="I798" s="15">
        <f t="shared" si="48"/>
        <v>732</v>
      </c>
      <c r="J798" s="15">
        <f t="shared" si="48"/>
        <v>24</v>
      </c>
      <c r="K798" s="15">
        <f t="shared" si="49"/>
        <v>652</v>
      </c>
      <c r="L798" s="3" t="str">
        <f t="shared" si="50"/>
        <v>Thursday</v>
      </c>
      <c r="M798" s="4" t="str">
        <f t="shared" si="51"/>
        <v>Normal Day</v>
      </c>
      <c r="N798" s="4" t="str">
        <f>TEXT(CleanedData[[#This Row],[DAY]], "mmm yyyy")</f>
        <v>Jun 2024</v>
      </c>
    </row>
    <row r="799" spans="1:14" x14ac:dyDescent="0.3">
      <c r="A799" s="5">
        <v>45470</v>
      </c>
      <c r="B799" s="12">
        <v>1065</v>
      </c>
      <c r="C799" s="12">
        <v>24</v>
      </c>
      <c r="D799" s="2" t="s">
        <v>6</v>
      </c>
      <c r="E799" s="2" t="s">
        <v>7</v>
      </c>
      <c r="F799" s="1">
        <v>449</v>
      </c>
      <c r="G799" s="13">
        <v>961.37744380317861</v>
      </c>
      <c r="H799" s="14" t="b">
        <v>0</v>
      </c>
      <c r="I799" s="15">
        <f t="shared" si="48"/>
        <v>1065</v>
      </c>
      <c r="J799" s="15">
        <f t="shared" si="48"/>
        <v>24</v>
      </c>
      <c r="K799" s="15">
        <f t="shared" si="49"/>
        <v>961</v>
      </c>
      <c r="L799" s="3" t="str">
        <f t="shared" si="50"/>
        <v>Thursday</v>
      </c>
      <c r="M799" s="4" t="str">
        <f t="shared" si="51"/>
        <v>Normal Day</v>
      </c>
      <c r="N799" s="4" t="str">
        <f>TEXT(CleanedData[[#This Row],[DAY]], "mmm yyyy")</f>
        <v>Jun 2024</v>
      </c>
    </row>
    <row r="800" spans="1:14" x14ac:dyDescent="0.3">
      <c r="A800" s="5">
        <v>45470</v>
      </c>
      <c r="B800" s="12">
        <v>2953.5</v>
      </c>
      <c r="C800" s="12">
        <v>90</v>
      </c>
      <c r="D800" s="2" t="s">
        <v>9</v>
      </c>
      <c r="E800" s="2" t="s">
        <v>8</v>
      </c>
      <c r="F800" s="1">
        <v>1536</v>
      </c>
      <c r="G800" s="13">
        <v>2478.9630644379858</v>
      </c>
      <c r="H800" s="14" t="b">
        <v>0</v>
      </c>
      <c r="I800" s="15">
        <f t="shared" si="48"/>
        <v>2954</v>
      </c>
      <c r="J800" s="15">
        <f t="shared" si="48"/>
        <v>90</v>
      </c>
      <c r="K800" s="15">
        <f t="shared" si="49"/>
        <v>2479</v>
      </c>
      <c r="L800" s="3" t="str">
        <f t="shared" si="50"/>
        <v>Thursday</v>
      </c>
      <c r="M800" s="4" t="str">
        <f t="shared" si="51"/>
        <v>Normal Day</v>
      </c>
      <c r="N800" s="4" t="str">
        <f>TEXT(CleanedData[[#This Row],[DAY]], "mmm yyyy")</f>
        <v>Jun 2024</v>
      </c>
    </row>
    <row r="801" spans="1:14" x14ac:dyDescent="0.3">
      <c r="A801" s="5">
        <v>45470</v>
      </c>
      <c r="B801" s="12">
        <v>6687</v>
      </c>
      <c r="C801" s="12">
        <v>163.5</v>
      </c>
      <c r="D801" s="2" t="s">
        <v>10</v>
      </c>
      <c r="E801" s="2" t="s">
        <v>7</v>
      </c>
      <c r="F801" s="1">
        <v>659</v>
      </c>
      <c r="G801" s="13">
        <v>6003.9662945160308</v>
      </c>
      <c r="H801" s="14" t="b">
        <v>0</v>
      </c>
      <c r="I801" s="15">
        <f t="shared" si="48"/>
        <v>6687</v>
      </c>
      <c r="J801" s="15">
        <f t="shared" si="48"/>
        <v>164</v>
      </c>
      <c r="K801" s="15">
        <f t="shared" si="49"/>
        <v>6004</v>
      </c>
      <c r="L801" s="3" t="str">
        <f t="shared" si="50"/>
        <v>Thursday</v>
      </c>
      <c r="M801" s="4" t="str">
        <f t="shared" si="51"/>
        <v>Normal Day</v>
      </c>
      <c r="N801" s="4" t="str">
        <f>TEXT(CleanedData[[#This Row],[DAY]], "mmm yyyy")</f>
        <v>Jun 2024</v>
      </c>
    </row>
    <row r="802" spans="1:14" x14ac:dyDescent="0.3">
      <c r="A802" s="5">
        <v>45471</v>
      </c>
      <c r="B802" s="12">
        <v>1335</v>
      </c>
      <c r="C802" s="12">
        <v>3</v>
      </c>
      <c r="D802" s="2" t="s">
        <v>6</v>
      </c>
      <c r="E802" s="2" t="s">
        <v>8</v>
      </c>
      <c r="F802" s="1">
        <v>694</v>
      </c>
      <c r="G802" s="13">
        <v>1153.4660113991524</v>
      </c>
      <c r="H802" s="14" t="b">
        <v>0</v>
      </c>
      <c r="I802" s="15">
        <f t="shared" si="48"/>
        <v>1335</v>
      </c>
      <c r="J802" s="15">
        <f t="shared" si="48"/>
        <v>3</v>
      </c>
      <c r="K802" s="15">
        <f t="shared" si="49"/>
        <v>1153</v>
      </c>
      <c r="L802" s="3" t="str">
        <f t="shared" si="50"/>
        <v>Friday</v>
      </c>
      <c r="M802" s="4" t="str">
        <f t="shared" si="51"/>
        <v>Normal Day</v>
      </c>
      <c r="N802" s="4" t="str">
        <f>TEXT(CleanedData[[#This Row],[DAY]], "mmm yyyy")</f>
        <v>Jun 2024</v>
      </c>
    </row>
    <row r="803" spans="1:14" x14ac:dyDescent="0.3">
      <c r="A803" s="5">
        <v>45471</v>
      </c>
      <c r="B803" s="12">
        <v>1716</v>
      </c>
      <c r="C803" s="12">
        <v>3</v>
      </c>
      <c r="D803" s="2" t="s">
        <v>6</v>
      </c>
      <c r="E803" s="2" t="s">
        <v>7</v>
      </c>
      <c r="F803" s="1">
        <v>96</v>
      </c>
      <c r="G803" s="13">
        <v>1570.2264159967765</v>
      </c>
      <c r="H803" s="14" t="b">
        <v>0</v>
      </c>
      <c r="I803" s="15">
        <f t="shared" si="48"/>
        <v>1716</v>
      </c>
      <c r="J803" s="15">
        <f t="shared" si="48"/>
        <v>3</v>
      </c>
      <c r="K803" s="15">
        <f t="shared" si="49"/>
        <v>1570</v>
      </c>
      <c r="L803" s="3" t="str">
        <f t="shared" si="50"/>
        <v>Friday</v>
      </c>
      <c r="M803" s="4" t="str">
        <f t="shared" si="51"/>
        <v>Normal Day</v>
      </c>
      <c r="N803" s="4" t="str">
        <f>TEXT(CleanedData[[#This Row],[DAY]], "mmm yyyy")</f>
        <v>Jun 2024</v>
      </c>
    </row>
    <row r="804" spans="1:14" x14ac:dyDescent="0.3">
      <c r="A804" s="5">
        <v>45471</v>
      </c>
      <c r="B804" s="12">
        <v>1924.5</v>
      </c>
      <c r="C804" s="12">
        <v>7.5</v>
      </c>
      <c r="D804" s="2" t="s">
        <v>9</v>
      </c>
      <c r="E804" s="2" t="s">
        <v>8</v>
      </c>
      <c r="F804" s="1">
        <v>167</v>
      </c>
      <c r="G804" s="13">
        <v>1575.5484160131177</v>
      </c>
      <c r="H804" s="14" t="b">
        <v>0</v>
      </c>
      <c r="I804" s="15">
        <f t="shared" si="48"/>
        <v>1925</v>
      </c>
      <c r="J804" s="15">
        <f t="shared" si="48"/>
        <v>8</v>
      </c>
      <c r="K804" s="15">
        <f t="shared" si="49"/>
        <v>1576</v>
      </c>
      <c r="L804" s="3" t="str">
        <f t="shared" si="50"/>
        <v>Friday</v>
      </c>
      <c r="M804" s="4" t="str">
        <f t="shared" si="51"/>
        <v>Normal Day</v>
      </c>
      <c r="N804" s="4" t="str">
        <f>TEXT(CleanedData[[#This Row],[DAY]], "mmm yyyy")</f>
        <v>Jun 2024</v>
      </c>
    </row>
    <row r="805" spans="1:14" x14ac:dyDescent="0.3">
      <c r="A805" s="5">
        <v>45471</v>
      </c>
      <c r="B805" s="12">
        <v>6238.5</v>
      </c>
      <c r="C805" s="12">
        <v>117</v>
      </c>
      <c r="D805" s="2" t="s">
        <v>10</v>
      </c>
      <c r="E805" s="2" t="s">
        <v>7</v>
      </c>
      <c r="F805" s="1">
        <v>3593</v>
      </c>
      <c r="G805" s="13">
        <v>5958.1235824406085</v>
      </c>
      <c r="H805" s="14" t="b">
        <v>0</v>
      </c>
      <c r="I805" s="15">
        <f t="shared" si="48"/>
        <v>6239</v>
      </c>
      <c r="J805" s="15">
        <f t="shared" si="48"/>
        <v>117</v>
      </c>
      <c r="K805" s="15">
        <f t="shared" si="49"/>
        <v>5958</v>
      </c>
      <c r="L805" s="3" t="str">
        <f t="shared" si="50"/>
        <v>Friday</v>
      </c>
      <c r="M805" s="4" t="str">
        <f t="shared" si="51"/>
        <v>Normal Day</v>
      </c>
      <c r="N805" s="4" t="str">
        <f>TEXT(CleanedData[[#This Row],[DAY]], "mmm yyyy")</f>
        <v>Jun 2024</v>
      </c>
    </row>
    <row r="806" spans="1:14" x14ac:dyDescent="0.3">
      <c r="A806" s="5">
        <v>45472</v>
      </c>
      <c r="B806" s="12">
        <v>1830</v>
      </c>
      <c r="C806" s="12">
        <v>66</v>
      </c>
      <c r="D806" s="2" t="s">
        <v>6</v>
      </c>
      <c r="E806" s="2" t="s">
        <v>8</v>
      </c>
      <c r="F806" s="1">
        <v>739</v>
      </c>
      <c r="G806" s="13">
        <v>1590.3778835420555</v>
      </c>
      <c r="H806" s="14" t="b">
        <v>0</v>
      </c>
      <c r="I806" s="15">
        <f t="shared" si="48"/>
        <v>1830</v>
      </c>
      <c r="J806" s="15">
        <f t="shared" si="48"/>
        <v>66</v>
      </c>
      <c r="K806" s="15">
        <f t="shared" si="49"/>
        <v>1590</v>
      </c>
      <c r="L806" s="3" t="str">
        <f t="shared" si="50"/>
        <v>Saturday</v>
      </c>
      <c r="M806" s="4" t="str">
        <f t="shared" si="51"/>
        <v>Normal Day</v>
      </c>
      <c r="N806" s="4" t="str">
        <f>TEXT(CleanedData[[#This Row],[DAY]], "mmm yyyy")</f>
        <v>Jun 2024</v>
      </c>
    </row>
    <row r="807" spans="1:14" x14ac:dyDescent="0.3">
      <c r="A807" s="5">
        <v>45472</v>
      </c>
      <c r="B807" s="12">
        <v>2340</v>
      </c>
      <c r="C807" s="12">
        <v>66</v>
      </c>
      <c r="D807" s="2" t="s">
        <v>6</v>
      </c>
      <c r="E807" s="2" t="s">
        <v>7</v>
      </c>
      <c r="F807" s="1">
        <v>1403</v>
      </c>
      <c r="G807" s="13">
        <v>2181.225453806027</v>
      </c>
      <c r="H807" s="14" t="b">
        <v>0</v>
      </c>
      <c r="I807" s="15">
        <f t="shared" si="48"/>
        <v>2340</v>
      </c>
      <c r="J807" s="15">
        <f t="shared" si="48"/>
        <v>66</v>
      </c>
      <c r="K807" s="15">
        <f t="shared" si="49"/>
        <v>2181</v>
      </c>
      <c r="L807" s="3" t="str">
        <f t="shared" si="50"/>
        <v>Saturday</v>
      </c>
      <c r="M807" s="4" t="str">
        <f t="shared" si="51"/>
        <v>Normal Day</v>
      </c>
      <c r="N807" s="4" t="str">
        <f>TEXT(CleanedData[[#This Row],[DAY]], "mmm yyyy")</f>
        <v>Jun 2024</v>
      </c>
    </row>
    <row r="808" spans="1:14" x14ac:dyDescent="0.3">
      <c r="A808" s="5">
        <v>45472</v>
      </c>
      <c r="B808" s="12">
        <v>3064.5</v>
      </c>
      <c r="C808" s="12">
        <v>64.5</v>
      </c>
      <c r="D808" s="2" t="s">
        <v>9</v>
      </c>
      <c r="E808" s="2" t="s">
        <v>8</v>
      </c>
      <c r="F808" s="1">
        <v>1219</v>
      </c>
      <c r="G808" s="13">
        <v>2709.3767641481336</v>
      </c>
      <c r="H808" s="14" t="b">
        <v>0</v>
      </c>
      <c r="I808" s="15">
        <f t="shared" si="48"/>
        <v>3065</v>
      </c>
      <c r="J808" s="15">
        <f t="shared" si="48"/>
        <v>65</v>
      </c>
      <c r="K808" s="15">
        <f t="shared" si="49"/>
        <v>2709</v>
      </c>
      <c r="L808" s="3" t="str">
        <f t="shared" si="50"/>
        <v>Saturday</v>
      </c>
      <c r="M808" s="4" t="str">
        <f t="shared" si="51"/>
        <v>Normal Day</v>
      </c>
      <c r="N808" s="4" t="str">
        <f>TEXT(CleanedData[[#This Row],[DAY]], "mmm yyyy")</f>
        <v>Jun 2024</v>
      </c>
    </row>
    <row r="809" spans="1:14" x14ac:dyDescent="0.3">
      <c r="A809" s="5">
        <v>45472</v>
      </c>
      <c r="B809" s="12">
        <v>6133.5</v>
      </c>
      <c r="C809" s="12">
        <v>234</v>
      </c>
      <c r="D809" s="2" t="s">
        <v>10</v>
      </c>
      <c r="E809" s="2" t="s">
        <v>7</v>
      </c>
      <c r="F809" s="1">
        <v>161</v>
      </c>
      <c r="G809" s="13">
        <v>5783.2083861298297</v>
      </c>
      <c r="H809" s="14" t="b">
        <v>0</v>
      </c>
      <c r="I809" s="15">
        <f t="shared" si="48"/>
        <v>6134</v>
      </c>
      <c r="J809" s="15">
        <f t="shared" si="48"/>
        <v>234</v>
      </c>
      <c r="K809" s="15">
        <f t="shared" si="49"/>
        <v>5783</v>
      </c>
      <c r="L809" s="3" t="str">
        <f t="shared" si="50"/>
        <v>Saturday</v>
      </c>
      <c r="M809" s="4" t="str">
        <f t="shared" si="51"/>
        <v>Normal Day</v>
      </c>
      <c r="N809" s="4" t="str">
        <f>TEXT(CleanedData[[#This Row],[DAY]], "mmm yyyy")</f>
        <v>Jun 2024</v>
      </c>
    </row>
    <row r="810" spans="1:14" x14ac:dyDescent="0.3">
      <c r="A810" s="5">
        <v>45473</v>
      </c>
      <c r="B810" s="12">
        <v>1615.5</v>
      </c>
      <c r="C810" s="12">
        <v>46.5</v>
      </c>
      <c r="D810" s="2" t="s">
        <v>6</v>
      </c>
      <c r="E810" s="2" t="s">
        <v>8</v>
      </c>
      <c r="F810" s="1">
        <v>49</v>
      </c>
      <c r="G810" s="13">
        <v>1428.7069557064265</v>
      </c>
      <c r="H810" s="14" t="b">
        <v>0</v>
      </c>
      <c r="I810" s="15">
        <f t="shared" si="48"/>
        <v>1616</v>
      </c>
      <c r="J810" s="15">
        <f t="shared" si="48"/>
        <v>47</v>
      </c>
      <c r="K810" s="15">
        <f t="shared" si="49"/>
        <v>1429</v>
      </c>
      <c r="L810" s="3" t="str">
        <f t="shared" si="50"/>
        <v>Sunday</v>
      </c>
      <c r="M810" s="4" t="str">
        <f t="shared" si="51"/>
        <v>Normal Day</v>
      </c>
      <c r="N810" s="4" t="str">
        <f>TEXT(CleanedData[[#This Row],[DAY]], "mmm yyyy")</f>
        <v>Jun 2024</v>
      </c>
    </row>
    <row r="811" spans="1:14" x14ac:dyDescent="0.3">
      <c r="A811" s="5">
        <v>45473</v>
      </c>
      <c r="B811" s="12">
        <v>2100</v>
      </c>
      <c r="C811" s="12">
        <v>46.5</v>
      </c>
      <c r="D811" s="2" t="s">
        <v>6</v>
      </c>
      <c r="E811" s="2" t="s">
        <v>7</v>
      </c>
      <c r="F811" s="1">
        <v>579</v>
      </c>
      <c r="G811" s="13">
        <v>1924.9770721872583</v>
      </c>
      <c r="H811" s="14" t="b">
        <v>0</v>
      </c>
      <c r="I811" s="15">
        <f t="shared" si="48"/>
        <v>2100</v>
      </c>
      <c r="J811" s="15">
        <f t="shared" si="48"/>
        <v>47</v>
      </c>
      <c r="K811" s="15">
        <f t="shared" si="49"/>
        <v>1925</v>
      </c>
      <c r="L811" s="3" t="str">
        <f t="shared" si="50"/>
        <v>Sunday</v>
      </c>
      <c r="M811" s="4" t="str">
        <f t="shared" si="51"/>
        <v>Normal Day</v>
      </c>
      <c r="N811" s="4" t="str">
        <f>TEXT(CleanedData[[#This Row],[DAY]], "mmm yyyy")</f>
        <v>Jun 2024</v>
      </c>
    </row>
    <row r="812" spans="1:14" x14ac:dyDescent="0.3">
      <c r="A812" s="5">
        <v>45473</v>
      </c>
      <c r="B812" s="12">
        <v>2787</v>
      </c>
      <c r="C812" s="12">
        <v>112.5</v>
      </c>
      <c r="D812" s="2" t="s">
        <v>9</v>
      </c>
      <c r="E812" s="2" t="s">
        <v>8</v>
      </c>
      <c r="F812" s="1">
        <v>1753</v>
      </c>
      <c r="G812" s="13">
        <v>2420.8576733563923</v>
      </c>
      <c r="H812" s="14" t="b">
        <v>0</v>
      </c>
      <c r="I812" s="15">
        <f t="shared" si="48"/>
        <v>2787</v>
      </c>
      <c r="J812" s="15">
        <f t="shared" si="48"/>
        <v>113</v>
      </c>
      <c r="K812" s="15">
        <f t="shared" si="49"/>
        <v>2421</v>
      </c>
      <c r="L812" s="3" t="str">
        <f t="shared" si="50"/>
        <v>Sunday</v>
      </c>
      <c r="M812" s="4" t="str">
        <f t="shared" si="51"/>
        <v>Normal Day</v>
      </c>
      <c r="N812" s="4" t="str">
        <f>TEXT(CleanedData[[#This Row],[DAY]], "mmm yyyy")</f>
        <v>Jun 2024</v>
      </c>
    </row>
    <row r="813" spans="1:14" x14ac:dyDescent="0.3">
      <c r="A813" s="5">
        <v>45473</v>
      </c>
      <c r="B813" s="12">
        <v>6975</v>
      </c>
      <c r="C813" s="12">
        <v>337.5</v>
      </c>
      <c r="D813" s="2" t="s">
        <v>10</v>
      </c>
      <c r="E813" s="2" t="s">
        <v>7</v>
      </c>
      <c r="F813" s="1">
        <v>4490</v>
      </c>
      <c r="G813" s="13">
        <v>6654.4241706314406</v>
      </c>
      <c r="H813" s="14" t="b">
        <v>0</v>
      </c>
      <c r="I813" s="15">
        <f t="shared" si="48"/>
        <v>6975</v>
      </c>
      <c r="J813" s="15">
        <f t="shared" si="48"/>
        <v>338</v>
      </c>
      <c r="K813" s="15">
        <f t="shared" si="49"/>
        <v>6654</v>
      </c>
      <c r="L813" s="3" t="str">
        <f t="shared" si="50"/>
        <v>Sunday</v>
      </c>
      <c r="M813" s="4" t="str">
        <f t="shared" si="51"/>
        <v>Normal Day</v>
      </c>
      <c r="N813" s="4" t="str">
        <f>TEXT(CleanedData[[#This Row],[DAY]], "mmm yyyy")</f>
        <v>Jun 2024</v>
      </c>
    </row>
    <row r="814" spans="1:14" x14ac:dyDescent="0.3">
      <c r="A814" s="5">
        <v>45474</v>
      </c>
      <c r="B814" s="12">
        <v>1834.5</v>
      </c>
      <c r="C814" s="12">
        <v>64.5</v>
      </c>
      <c r="D814" s="2" t="s">
        <v>6</v>
      </c>
      <c r="E814" s="2" t="s">
        <v>8</v>
      </c>
      <c r="F814" s="1">
        <v>504</v>
      </c>
      <c r="G814" s="13">
        <v>1640.8391494148252</v>
      </c>
      <c r="H814" s="14" t="b">
        <v>0</v>
      </c>
      <c r="I814" s="15">
        <f t="shared" si="48"/>
        <v>1835</v>
      </c>
      <c r="J814" s="15">
        <f t="shared" si="48"/>
        <v>65</v>
      </c>
      <c r="K814" s="15">
        <f t="shared" si="49"/>
        <v>1641</v>
      </c>
      <c r="L814" s="3" t="str">
        <f t="shared" si="50"/>
        <v>Monday</v>
      </c>
      <c r="M814" s="4" t="str">
        <f t="shared" si="51"/>
        <v>Normal Day</v>
      </c>
      <c r="N814" s="4" t="str">
        <f>TEXT(CleanedData[[#This Row],[DAY]], "mmm yyyy")</f>
        <v>Jul 2024</v>
      </c>
    </row>
    <row r="815" spans="1:14" x14ac:dyDescent="0.3">
      <c r="A815" s="5">
        <v>45474</v>
      </c>
      <c r="B815" s="12">
        <v>2128.5</v>
      </c>
      <c r="C815" s="12">
        <v>64.5</v>
      </c>
      <c r="D815" s="2" t="s">
        <v>6</v>
      </c>
      <c r="E815" s="2" t="s">
        <v>7</v>
      </c>
      <c r="F815" s="1">
        <v>231</v>
      </c>
      <c r="G815" s="13">
        <v>2018.2434256759209</v>
      </c>
      <c r="H815" s="14" t="b">
        <v>0</v>
      </c>
      <c r="I815" s="15">
        <f t="shared" si="48"/>
        <v>2129</v>
      </c>
      <c r="J815" s="15">
        <f t="shared" si="48"/>
        <v>65</v>
      </c>
      <c r="K815" s="15">
        <f t="shared" si="49"/>
        <v>2018</v>
      </c>
      <c r="L815" s="3" t="str">
        <f t="shared" si="50"/>
        <v>Monday</v>
      </c>
      <c r="M815" s="4" t="str">
        <f t="shared" si="51"/>
        <v>Normal Day</v>
      </c>
      <c r="N815" s="4" t="str">
        <f>TEXT(CleanedData[[#This Row],[DAY]], "mmm yyyy")</f>
        <v>Jul 2024</v>
      </c>
    </row>
    <row r="816" spans="1:14" x14ac:dyDescent="0.3">
      <c r="A816" s="5">
        <v>45474</v>
      </c>
      <c r="B816" s="12">
        <v>2898</v>
      </c>
      <c r="C816" s="12">
        <v>37.5</v>
      </c>
      <c r="D816" s="2" t="s">
        <v>9</v>
      </c>
      <c r="E816" s="2" t="s">
        <v>8</v>
      </c>
      <c r="F816" s="1">
        <v>269</v>
      </c>
      <c r="G816" s="13">
        <v>2501.353492895038</v>
      </c>
      <c r="H816" s="14" t="b">
        <v>0</v>
      </c>
      <c r="I816" s="15">
        <f t="shared" si="48"/>
        <v>2898</v>
      </c>
      <c r="J816" s="15">
        <f t="shared" si="48"/>
        <v>38</v>
      </c>
      <c r="K816" s="15">
        <f t="shared" si="49"/>
        <v>2501</v>
      </c>
      <c r="L816" s="3" t="str">
        <f t="shared" si="50"/>
        <v>Monday</v>
      </c>
      <c r="M816" s="4" t="str">
        <f t="shared" si="51"/>
        <v>Normal Day</v>
      </c>
      <c r="N816" s="4" t="str">
        <f>TEXT(CleanedData[[#This Row],[DAY]], "mmm yyyy")</f>
        <v>Jul 2024</v>
      </c>
    </row>
    <row r="817" spans="1:14" x14ac:dyDescent="0.3">
      <c r="A817" s="5">
        <v>45474</v>
      </c>
      <c r="B817" s="12">
        <v>5919</v>
      </c>
      <c r="C817" s="12">
        <v>393</v>
      </c>
      <c r="D817" s="2" t="s">
        <v>10</v>
      </c>
      <c r="E817" s="2" t="s">
        <v>7</v>
      </c>
      <c r="F817" s="1">
        <v>2154</v>
      </c>
      <c r="G817" s="13">
        <v>5668.4580167133327</v>
      </c>
      <c r="H817" s="14" t="b">
        <v>0</v>
      </c>
      <c r="I817" s="15">
        <f t="shared" si="48"/>
        <v>5919</v>
      </c>
      <c r="J817" s="15">
        <f t="shared" si="48"/>
        <v>393</v>
      </c>
      <c r="K817" s="15">
        <f t="shared" si="49"/>
        <v>5668</v>
      </c>
      <c r="L817" s="3" t="str">
        <f t="shared" si="50"/>
        <v>Monday</v>
      </c>
      <c r="M817" s="4" t="str">
        <f t="shared" si="51"/>
        <v>Normal Day</v>
      </c>
      <c r="N817" s="4" t="str">
        <f>TEXT(CleanedData[[#This Row],[DAY]], "mmm yyyy")</f>
        <v>Jul 2024</v>
      </c>
    </row>
    <row r="818" spans="1:14" x14ac:dyDescent="0.3">
      <c r="A818" s="5">
        <v>45475</v>
      </c>
      <c r="B818" s="12">
        <v>1041</v>
      </c>
      <c r="C818" s="12">
        <v>9</v>
      </c>
      <c r="D818" s="2" t="s">
        <v>6</v>
      </c>
      <c r="E818" s="2" t="s">
        <v>8</v>
      </c>
      <c r="F818" s="1">
        <v>324</v>
      </c>
      <c r="G818" s="13">
        <v>895.4078581172339</v>
      </c>
      <c r="H818" s="14" t="b">
        <v>0</v>
      </c>
      <c r="I818" s="15">
        <f t="shared" si="48"/>
        <v>1041</v>
      </c>
      <c r="J818" s="15">
        <f t="shared" si="48"/>
        <v>9</v>
      </c>
      <c r="K818" s="15">
        <f t="shared" si="49"/>
        <v>895</v>
      </c>
      <c r="L818" s="3" t="str">
        <f t="shared" si="50"/>
        <v>Tuesday</v>
      </c>
      <c r="M818" s="4" t="str">
        <f t="shared" si="51"/>
        <v>Normal Day</v>
      </c>
      <c r="N818" s="4" t="str">
        <f>TEXT(CleanedData[[#This Row],[DAY]], "mmm yyyy")</f>
        <v>Jul 2024</v>
      </c>
    </row>
    <row r="819" spans="1:14" x14ac:dyDescent="0.3">
      <c r="A819" s="5">
        <v>45475</v>
      </c>
      <c r="B819" s="12">
        <v>1618.5</v>
      </c>
      <c r="C819" s="12">
        <v>9</v>
      </c>
      <c r="D819" s="2" t="s">
        <v>6</v>
      </c>
      <c r="E819" s="2" t="s">
        <v>7</v>
      </c>
      <c r="F819" s="1">
        <v>1028</v>
      </c>
      <c r="G819" s="13">
        <v>1493.7089323100017</v>
      </c>
      <c r="H819" s="14" t="b">
        <v>0</v>
      </c>
      <c r="I819" s="15">
        <f t="shared" si="48"/>
        <v>1619</v>
      </c>
      <c r="J819" s="15">
        <f t="shared" si="48"/>
        <v>9</v>
      </c>
      <c r="K819" s="15">
        <f t="shared" si="49"/>
        <v>1494</v>
      </c>
      <c r="L819" s="3" t="str">
        <f t="shared" si="50"/>
        <v>Tuesday</v>
      </c>
      <c r="M819" s="4" t="str">
        <f t="shared" si="51"/>
        <v>Normal Day</v>
      </c>
      <c r="N819" s="4" t="str">
        <f>TEXT(CleanedData[[#This Row],[DAY]], "mmm yyyy")</f>
        <v>Jul 2024</v>
      </c>
    </row>
    <row r="820" spans="1:14" x14ac:dyDescent="0.3">
      <c r="A820" s="5">
        <v>45475</v>
      </c>
      <c r="B820" s="12">
        <v>4231.5</v>
      </c>
      <c r="C820" s="12">
        <v>112.5</v>
      </c>
      <c r="D820" s="2" t="s">
        <v>9</v>
      </c>
      <c r="E820" s="2" t="s">
        <v>8</v>
      </c>
      <c r="F820" s="1">
        <v>14</v>
      </c>
      <c r="G820" s="13">
        <v>3500.2296377386883</v>
      </c>
      <c r="H820" s="14" t="b">
        <v>0</v>
      </c>
      <c r="I820" s="15">
        <f t="shared" si="48"/>
        <v>4232</v>
      </c>
      <c r="J820" s="15">
        <f t="shared" si="48"/>
        <v>113</v>
      </c>
      <c r="K820" s="15">
        <f t="shared" si="49"/>
        <v>3500</v>
      </c>
      <c r="L820" s="3" t="str">
        <f t="shared" si="50"/>
        <v>Tuesday</v>
      </c>
      <c r="M820" s="4" t="str">
        <f t="shared" si="51"/>
        <v>Normal Day</v>
      </c>
      <c r="N820" s="4" t="str">
        <f>TEXT(CleanedData[[#This Row],[DAY]], "mmm yyyy")</f>
        <v>Jul 2024</v>
      </c>
    </row>
    <row r="821" spans="1:14" x14ac:dyDescent="0.3">
      <c r="A821" s="5">
        <v>45475</v>
      </c>
      <c r="B821" s="12">
        <v>4960.5</v>
      </c>
      <c r="C821" s="12">
        <v>306</v>
      </c>
      <c r="D821" s="2" t="s">
        <v>10</v>
      </c>
      <c r="E821" s="2" t="s">
        <v>7</v>
      </c>
      <c r="F821" s="1">
        <v>3102</v>
      </c>
      <c r="G821" s="13">
        <v>4805.7443047495626</v>
      </c>
      <c r="H821" s="14" t="b">
        <v>0</v>
      </c>
      <c r="I821" s="15">
        <f t="shared" si="48"/>
        <v>4961</v>
      </c>
      <c r="J821" s="15">
        <f t="shared" si="48"/>
        <v>306</v>
      </c>
      <c r="K821" s="15">
        <f t="shared" si="49"/>
        <v>4806</v>
      </c>
      <c r="L821" s="3" t="str">
        <f t="shared" si="50"/>
        <v>Tuesday</v>
      </c>
      <c r="M821" s="4" t="str">
        <f t="shared" si="51"/>
        <v>Normal Day</v>
      </c>
      <c r="N821" s="4" t="str">
        <f>TEXT(CleanedData[[#This Row],[DAY]], "mmm yyyy")</f>
        <v>Jul 2024</v>
      </c>
    </row>
    <row r="822" spans="1:14" x14ac:dyDescent="0.3">
      <c r="A822" s="5">
        <v>45476</v>
      </c>
      <c r="B822" s="12">
        <v>1552.5</v>
      </c>
      <c r="C822" s="12">
        <v>66</v>
      </c>
      <c r="D822" s="2" t="s">
        <v>6</v>
      </c>
      <c r="E822" s="2" t="s">
        <v>8</v>
      </c>
      <c r="F822" s="1">
        <v>152</v>
      </c>
      <c r="G822" s="13">
        <v>1433.1009897111794</v>
      </c>
      <c r="H822" s="14" t="b">
        <v>1</v>
      </c>
      <c r="I822" s="15">
        <f t="shared" si="48"/>
        <v>1553</v>
      </c>
      <c r="J822" s="15">
        <f t="shared" si="48"/>
        <v>66</v>
      </c>
      <c r="K822" s="15">
        <f t="shared" si="49"/>
        <v>1433</v>
      </c>
      <c r="L822" s="3" t="str">
        <f t="shared" si="50"/>
        <v>Wednesday</v>
      </c>
      <c r="M822" s="4" t="str">
        <f t="shared" si="51"/>
        <v>Outage Day</v>
      </c>
      <c r="N822" s="4" t="str">
        <f>TEXT(CleanedData[[#This Row],[DAY]], "mmm yyyy")</f>
        <v>Jul 2024</v>
      </c>
    </row>
    <row r="823" spans="1:14" x14ac:dyDescent="0.3">
      <c r="A823" s="5">
        <v>45476</v>
      </c>
      <c r="B823" s="12">
        <v>1603.5</v>
      </c>
      <c r="C823" s="12">
        <v>66</v>
      </c>
      <c r="D823" s="2" t="s">
        <v>6</v>
      </c>
      <c r="E823" s="2" t="s">
        <v>7</v>
      </c>
      <c r="F823" s="1">
        <v>776</v>
      </c>
      <c r="G823" s="13">
        <v>1458.4258410284906</v>
      </c>
      <c r="H823" s="14" t="b">
        <v>1</v>
      </c>
      <c r="I823" s="15">
        <f t="shared" si="48"/>
        <v>1604</v>
      </c>
      <c r="J823" s="15">
        <f t="shared" si="48"/>
        <v>66</v>
      </c>
      <c r="K823" s="15">
        <f t="shared" si="49"/>
        <v>1458</v>
      </c>
      <c r="L823" s="3" t="str">
        <f t="shared" si="50"/>
        <v>Wednesday</v>
      </c>
      <c r="M823" s="4" t="str">
        <f t="shared" si="51"/>
        <v>Outage Day</v>
      </c>
      <c r="N823" s="4" t="str">
        <f>TEXT(CleanedData[[#This Row],[DAY]], "mmm yyyy")</f>
        <v>Jul 2024</v>
      </c>
    </row>
    <row r="824" spans="1:14" x14ac:dyDescent="0.3">
      <c r="A824" s="5">
        <v>45476</v>
      </c>
      <c r="B824" s="12">
        <v>2103</v>
      </c>
      <c r="C824" s="12">
        <v>16.5</v>
      </c>
      <c r="D824" s="2" t="s">
        <v>9</v>
      </c>
      <c r="E824" s="2" t="s">
        <v>8</v>
      </c>
      <c r="F824" s="1">
        <v>1127</v>
      </c>
      <c r="G824" s="13">
        <v>1860.7872339317137</v>
      </c>
      <c r="H824" s="14" t="b">
        <v>1</v>
      </c>
      <c r="I824" s="15">
        <f t="shared" si="48"/>
        <v>2103</v>
      </c>
      <c r="J824" s="15">
        <f t="shared" si="48"/>
        <v>17</v>
      </c>
      <c r="K824" s="15">
        <f t="shared" si="49"/>
        <v>1861</v>
      </c>
      <c r="L824" s="3" t="str">
        <f t="shared" si="50"/>
        <v>Wednesday</v>
      </c>
      <c r="M824" s="4" t="str">
        <f t="shared" si="51"/>
        <v>Outage Day</v>
      </c>
      <c r="N824" s="4" t="str">
        <f>TEXT(CleanedData[[#This Row],[DAY]], "mmm yyyy")</f>
        <v>Jul 2024</v>
      </c>
    </row>
    <row r="825" spans="1:14" x14ac:dyDescent="0.3">
      <c r="A825" s="5">
        <v>45476</v>
      </c>
      <c r="B825" s="12">
        <v>4642.5</v>
      </c>
      <c r="C825" s="12">
        <v>228</v>
      </c>
      <c r="D825" s="2" t="s">
        <v>10</v>
      </c>
      <c r="E825" s="2" t="s">
        <v>7</v>
      </c>
      <c r="F825" s="1">
        <v>2909</v>
      </c>
      <c r="G825" s="13">
        <v>4451.0968304557546</v>
      </c>
      <c r="H825" s="14" t="b">
        <v>1</v>
      </c>
      <c r="I825" s="15">
        <f t="shared" si="48"/>
        <v>4643</v>
      </c>
      <c r="J825" s="15">
        <f t="shared" si="48"/>
        <v>228</v>
      </c>
      <c r="K825" s="15">
        <f t="shared" si="49"/>
        <v>4451</v>
      </c>
      <c r="L825" s="3" t="str">
        <f t="shared" si="50"/>
        <v>Wednesday</v>
      </c>
      <c r="M825" s="4" t="str">
        <f t="shared" si="51"/>
        <v>Outage Day</v>
      </c>
      <c r="N825" s="4" t="str">
        <f>TEXT(CleanedData[[#This Row],[DAY]], "mmm yyyy")</f>
        <v>Jul 2024</v>
      </c>
    </row>
    <row r="826" spans="1:14" x14ac:dyDescent="0.3">
      <c r="A826" s="5">
        <v>45477</v>
      </c>
      <c r="B826" s="12">
        <v>1054.5</v>
      </c>
      <c r="C826" s="12">
        <v>46.5</v>
      </c>
      <c r="D826" s="2" t="s">
        <v>6</v>
      </c>
      <c r="E826" s="2" t="s">
        <v>8</v>
      </c>
      <c r="F826" s="1">
        <v>490</v>
      </c>
      <c r="G826" s="13">
        <v>917.03417595674739</v>
      </c>
      <c r="H826" s="14" t="b">
        <v>1</v>
      </c>
      <c r="I826" s="15">
        <f t="shared" si="48"/>
        <v>1055</v>
      </c>
      <c r="J826" s="15">
        <f t="shared" si="48"/>
        <v>47</v>
      </c>
      <c r="K826" s="15">
        <f t="shared" si="49"/>
        <v>917</v>
      </c>
      <c r="L826" s="3" t="str">
        <f t="shared" si="50"/>
        <v>Thursday</v>
      </c>
      <c r="M826" s="4" t="str">
        <f t="shared" si="51"/>
        <v>Outage Day</v>
      </c>
      <c r="N826" s="4" t="str">
        <f>TEXT(CleanedData[[#This Row],[DAY]], "mmm yyyy")</f>
        <v>Jul 2024</v>
      </c>
    </row>
    <row r="827" spans="1:14" x14ac:dyDescent="0.3">
      <c r="A827" s="5">
        <v>45477</v>
      </c>
      <c r="B827" s="12">
        <v>1309.5</v>
      </c>
      <c r="C827" s="12">
        <v>46.5</v>
      </c>
      <c r="D827" s="2" t="s">
        <v>6</v>
      </c>
      <c r="E827" s="2" t="s">
        <v>7</v>
      </c>
      <c r="F827" s="1">
        <v>376</v>
      </c>
      <c r="G827" s="13">
        <v>1229.8206474597962</v>
      </c>
      <c r="H827" s="14" t="b">
        <v>1</v>
      </c>
      <c r="I827" s="15">
        <f t="shared" si="48"/>
        <v>1310</v>
      </c>
      <c r="J827" s="15">
        <f t="shared" si="48"/>
        <v>47</v>
      </c>
      <c r="K827" s="15">
        <f t="shared" si="49"/>
        <v>1230</v>
      </c>
      <c r="L827" s="3" t="str">
        <f t="shared" si="50"/>
        <v>Thursday</v>
      </c>
      <c r="M827" s="4" t="str">
        <f t="shared" si="51"/>
        <v>Outage Day</v>
      </c>
      <c r="N827" s="4" t="str">
        <f>TEXT(CleanedData[[#This Row],[DAY]], "mmm yyyy")</f>
        <v>Jul 2024</v>
      </c>
    </row>
    <row r="828" spans="1:14" x14ac:dyDescent="0.3">
      <c r="A828" s="5">
        <v>45477</v>
      </c>
      <c r="B828" s="12">
        <v>2517</v>
      </c>
      <c r="C828" s="12">
        <v>28.5</v>
      </c>
      <c r="D828" s="2" t="s">
        <v>9</v>
      </c>
      <c r="E828" s="2" t="s">
        <v>8</v>
      </c>
      <c r="F828" s="1">
        <v>1416</v>
      </c>
      <c r="G828" s="13">
        <v>2216.9338893226486</v>
      </c>
      <c r="H828" s="14" t="b">
        <v>1</v>
      </c>
      <c r="I828" s="15">
        <f t="shared" si="48"/>
        <v>2517</v>
      </c>
      <c r="J828" s="15">
        <f t="shared" si="48"/>
        <v>29</v>
      </c>
      <c r="K828" s="15">
        <f t="shared" si="49"/>
        <v>2217</v>
      </c>
      <c r="L828" s="3" t="str">
        <f t="shared" si="50"/>
        <v>Thursday</v>
      </c>
      <c r="M828" s="4" t="str">
        <f t="shared" si="51"/>
        <v>Outage Day</v>
      </c>
      <c r="N828" s="4" t="str">
        <f>TEXT(CleanedData[[#This Row],[DAY]], "mmm yyyy")</f>
        <v>Jul 2024</v>
      </c>
    </row>
    <row r="829" spans="1:14" x14ac:dyDescent="0.3">
      <c r="A829" s="5">
        <v>45477</v>
      </c>
      <c r="B829" s="12">
        <v>5728.5</v>
      </c>
      <c r="C829" s="12">
        <v>133.5</v>
      </c>
      <c r="D829" s="2" t="s">
        <v>10</v>
      </c>
      <c r="E829" s="2" t="s">
        <v>7</v>
      </c>
      <c r="F829" s="1">
        <v>1004</v>
      </c>
      <c r="G829" s="13">
        <v>5393.7372531698556</v>
      </c>
      <c r="H829" s="14" t="b">
        <v>1</v>
      </c>
      <c r="I829" s="15">
        <f t="shared" si="48"/>
        <v>5729</v>
      </c>
      <c r="J829" s="15">
        <f t="shared" si="48"/>
        <v>134</v>
      </c>
      <c r="K829" s="15">
        <f t="shared" si="49"/>
        <v>5394</v>
      </c>
      <c r="L829" s="3" t="str">
        <f t="shared" si="50"/>
        <v>Thursday</v>
      </c>
      <c r="M829" s="4" t="str">
        <f t="shared" si="51"/>
        <v>Outage Day</v>
      </c>
      <c r="N829" s="4" t="str">
        <f>TEXT(CleanedData[[#This Row],[DAY]], "mmm yyyy")</f>
        <v>Jul 2024</v>
      </c>
    </row>
    <row r="830" spans="1:14" x14ac:dyDescent="0.3">
      <c r="A830" s="5">
        <v>45478</v>
      </c>
      <c r="B830" s="12">
        <v>1042.5</v>
      </c>
      <c r="C830" s="12">
        <v>52.5</v>
      </c>
      <c r="D830" s="2" t="s">
        <v>6</v>
      </c>
      <c r="E830" s="2" t="s">
        <v>8</v>
      </c>
      <c r="F830" s="1">
        <v>17</v>
      </c>
      <c r="G830" s="13">
        <v>952.53051915072353</v>
      </c>
      <c r="H830" s="14" t="b">
        <v>0</v>
      </c>
      <c r="I830" s="15">
        <f t="shared" si="48"/>
        <v>1043</v>
      </c>
      <c r="J830" s="15">
        <f t="shared" si="48"/>
        <v>53</v>
      </c>
      <c r="K830" s="15">
        <f t="shared" si="49"/>
        <v>953</v>
      </c>
      <c r="L830" s="3" t="str">
        <f t="shared" si="50"/>
        <v>Friday</v>
      </c>
      <c r="M830" s="4" t="str">
        <f t="shared" si="51"/>
        <v>Normal Day</v>
      </c>
      <c r="N830" s="4" t="str">
        <f>TEXT(CleanedData[[#This Row],[DAY]], "mmm yyyy")</f>
        <v>Jul 2024</v>
      </c>
    </row>
    <row r="831" spans="1:14" x14ac:dyDescent="0.3">
      <c r="A831" s="5">
        <v>45478</v>
      </c>
      <c r="B831" s="12">
        <v>1228.5</v>
      </c>
      <c r="C831" s="12">
        <v>52.5</v>
      </c>
      <c r="D831" s="2" t="s">
        <v>6</v>
      </c>
      <c r="E831" s="2" t="s">
        <v>7</v>
      </c>
      <c r="F831" s="1">
        <v>327</v>
      </c>
      <c r="G831" s="13">
        <v>1128.0893985366381</v>
      </c>
      <c r="H831" s="14" t="b">
        <v>0</v>
      </c>
      <c r="I831" s="15">
        <f t="shared" si="48"/>
        <v>1229</v>
      </c>
      <c r="J831" s="15">
        <f t="shared" si="48"/>
        <v>53</v>
      </c>
      <c r="K831" s="15">
        <f t="shared" si="49"/>
        <v>1128</v>
      </c>
      <c r="L831" s="3" t="str">
        <f t="shared" si="50"/>
        <v>Friday</v>
      </c>
      <c r="M831" s="4" t="str">
        <f t="shared" si="51"/>
        <v>Normal Day</v>
      </c>
      <c r="N831" s="4" t="str">
        <f>TEXT(CleanedData[[#This Row],[DAY]], "mmm yyyy")</f>
        <v>Jul 2024</v>
      </c>
    </row>
    <row r="832" spans="1:14" x14ac:dyDescent="0.3">
      <c r="A832" s="5">
        <v>45478</v>
      </c>
      <c r="B832" s="12">
        <v>2253</v>
      </c>
      <c r="C832" s="12">
        <v>3</v>
      </c>
      <c r="D832" s="2" t="s">
        <v>9</v>
      </c>
      <c r="E832" s="2" t="s">
        <v>8</v>
      </c>
      <c r="F832" s="1">
        <v>368</v>
      </c>
      <c r="G832" s="13">
        <v>1855.4485418163051</v>
      </c>
      <c r="H832" s="14" t="b">
        <v>0</v>
      </c>
      <c r="I832" s="15">
        <f t="shared" si="48"/>
        <v>2253</v>
      </c>
      <c r="J832" s="15">
        <f t="shared" si="48"/>
        <v>3</v>
      </c>
      <c r="K832" s="15">
        <f t="shared" si="49"/>
        <v>1855</v>
      </c>
      <c r="L832" s="3" t="str">
        <f t="shared" si="50"/>
        <v>Friday</v>
      </c>
      <c r="M832" s="4" t="str">
        <f t="shared" si="51"/>
        <v>Normal Day</v>
      </c>
      <c r="N832" s="4" t="str">
        <f>TEXT(CleanedData[[#This Row],[DAY]], "mmm yyyy")</f>
        <v>Jul 2024</v>
      </c>
    </row>
    <row r="833" spans="1:14" x14ac:dyDescent="0.3">
      <c r="A833" s="5">
        <v>45478</v>
      </c>
      <c r="B833" s="12">
        <v>5593.5</v>
      </c>
      <c r="C833" s="12">
        <v>286.5</v>
      </c>
      <c r="D833" s="2" t="s">
        <v>10</v>
      </c>
      <c r="E833" s="2" t="s">
        <v>7</v>
      </c>
      <c r="F833" s="1">
        <v>774</v>
      </c>
      <c r="G833" s="13">
        <v>5285.9244258330891</v>
      </c>
      <c r="H833" s="14" t="b">
        <v>0</v>
      </c>
      <c r="I833" s="15">
        <f t="shared" si="48"/>
        <v>5594</v>
      </c>
      <c r="J833" s="15">
        <f t="shared" si="48"/>
        <v>287</v>
      </c>
      <c r="K833" s="15">
        <f t="shared" si="49"/>
        <v>5286</v>
      </c>
      <c r="L833" s="3" t="str">
        <f t="shared" si="50"/>
        <v>Friday</v>
      </c>
      <c r="M833" s="4" t="str">
        <f t="shared" si="51"/>
        <v>Normal Day</v>
      </c>
      <c r="N833" s="4" t="str">
        <f>TEXT(CleanedData[[#This Row],[DAY]], "mmm yyyy")</f>
        <v>Jul 2024</v>
      </c>
    </row>
    <row r="834" spans="1:14" x14ac:dyDescent="0.3">
      <c r="A834" s="5">
        <v>45479</v>
      </c>
      <c r="B834" s="12">
        <v>1.5</v>
      </c>
      <c r="C834" s="12">
        <v>0</v>
      </c>
      <c r="D834" s="2" t="s">
        <v>10</v>
      </c>
      <c r="E834" s="2" t="s">
        <v>8</v>
      </c>
      <c r="F834" s="1">
        <v>1</v>
      </c>
      <c r="G834" s="13">
        <v>1.2612325758231018</v>
      </c>
      <c r="H834" s="14" t="b">
        <v>0</v>
      </c>
      <c r="I834" s="15">
        <f t="shared" ref="I834:J897" si="52">ROUND(B834, 0)</f>
        <v>2</v>
      </c>
      <c r="J834" s="15">
        <f t="shared" si="52"/>
        <v>0</v>
      </c>
      <c r="K834" s="15">
        <f t="shared" ref="K834:K897" si="53">ROUND(G834, 0)</f>
        <v>1</v>
      </c>
      <c r="L834" s="3" t="str">
        <f t="shared" si="50"/>
        <v>Saturday</v>
      </c>
      <c r="M834" s="4" t="str">
        <f t="shared" si="51"/>
        <v>Normal Day</v>
      </c>
      <c r="N834" s="4" t="str">
        <f>TEXT(CleanedData[[#This Row],[DAY]], "mmm yyyy")</f>
        <v>Jul 2024</v>
      </c>
    </row>
    <row r="835" spans="1:14" x14ac:dyDescent="0.3">
      <c r="A835" s="5">
        <v>45479</v>
      </c>
      <c r="B835" s="12">
        <v>1.5</v>
      </c>
      <c r="C835" s="12">
        <v>0</v>
      </c>
      <c r="D835" s="2" t="s">
        <v>9</v>
      </c>
      <c r="E835" s="2" t="s">
        <v>7</v>
      </c>
      <c r="F835" s="1">
        <v>1</v>
      </c>
      <c r="G835" s="13">
        <v>1.3136072989548195</v>
      </c>
      <c r="H835" s="14" t="b">
        <v>0</v>
      </c>
      <c r="I835" s="15">
        <f t="shared" si="52"/>
        <v>2</v>
      </c>
      <c r="J835" s="15">
        <f t="shared" si="52"/>
        <v>0</v>
      </c>
      <c r="K835" s="15">
        <f t="shared" si="53"/>
        <v>1</v>
      </c>
      <c r="L835" s="3" t="str">
        <f t="shared" ref="L835:L898" si="54">TEXT(A835,"dddd")</f>
        <v>Saturday</v>
      </c>
      <c r="M835" s="4" t="str">
        <f t="shared" ref="M835:M898" si="55">IF(H835=TRUE, "Outage Day", "Normal Day")</f>
        <v>Normal Day</v>
      </c>
      <c r="N835" s="4" t="str">
        <f>TEXT(CleanedData[[#This Row],[DAY]], "mmm yyyy")</f>
        <v>Jul 2024</v>
      </c>
    </row>
    <row r="836" spans="1:14" x14ac:dyDescent="0.3">
      <c r="A836" s="5">
        <v>45479</v>
      </c>
      <c r="B836" s="12">
        <v>807</v>
      </c>
      <c r="C836" s="12">
        <v>51</v>
      </c>
      <c r="D836" s="2" t="s">
        <v>6</v>
      </c>
      <c r="E836" s="2" t="s">
        <v>8</v>
      </c>
      <c r="F836" s="1">
        <v>76</v>
      </c>
      <c r="G836" s="13">
        <v>703.40214513448484</v>
      </c>
      <c r="H836" s="14" t="b">
        <v>0</v>
      </c>
      <c r="I836" s="15">
        <f t="shared" si="52"/>
        <v>807</v>
      </c>
      <c r="J836" s="15">
        <f t="shared" si="52"/>
        <v>51</v>
      </c>
      <c r="K836" s="15">
        <f t="shared" si="53"/>
        <v>703</v>
      </c>
      <c r="L836" s="3" t="str">
        <f t="shared" si="54"/>
        <v>Saturday</v>
      </c>
      <c r="M836" s="4" t="str">
        <f t="shared" si="55"/>
        <v>Normal Day</v>
      </c>
      <c r="N836" s="4" t="str">
        <f>TEXT(CleanedData[[#This Row],[DAY]], "mmm yyyy")</f>
        <v>Jul 2024</v>
      </c>
    </row>
    <row r="837" spans="1:14" x14ac:dyDescent="0.3">
      <c r="A837" s="5">
        <v>45479</v>
      </c>
      <c r="B837" s="12">
        <v>925.5</v>
      </c>
      <c r="C837" s="12">
        <v>51</v>
      </c>
      <c r="D837" s="2" t="s">
        <v>6</v>
      </c>
      <c r="E837" s="2" t="s">
        <v>7</v>
      </c>
      <c r="F837" s="1">
        <v>8</v>
      </c>
      <c r="G837" s="13">
        <v>856.75445368319413</v>
      </c>
      <c r="H837" s="14" t="b">
        <v>0</v>
      </c>
      <c r="I837" s="15">
        <f t="shared" si="52"/>
        <v>926</v>
      </c>
      <c r="J837" s="15">
        <f t="shared" si="52"/>
        <v>51</v>
      </c>
      <c r="K837" s="15">
        <f t="shared" si="53"/>
        <v>857</v>
      </c>
      <c r="L837" s="3" t="str">
        <f t="shared" si="54"/>
        <v>Saturday</v>
      </c>
      <c r="M837" s="4" t="str">
        <f t="shared" si="55"/>
        <v>Normal Day</v>
      </c>
      <c r="N837" s="4" t="str">
        <f>TEXT(CleanedData[[#This Row],[DAY]], "mmm yyyy")</f>
        <v>Jul 2024</v>
      </c>
    </row>
    <row r="838" spans="1:14" x14ac:dyDescent="0.3">
      <c r="A838" s="5">
        <v>45479</v>
      </c>
      <c r="B838" s="12">
        <v>2329.5</v>
      </c>
      <c r="C838" s="12">
        <v>39</v>
      </c>
      <c r="D838" s="2" t="s">
        <v>9</v>
      </c>
      <c r="E838" s="2" t="s">
        <v>8</v>
      </c>
      <c r="F838" s="1">
        <v>1196</v>
      </c>
      <c r="G838" s="13">
        <v>1994.4123557832463</v>
      </c>
      <c r="H838" s="14" t="b">
        <v>0</v>
      </c>
      <c r="I838" s="15">
        <f t="shared" si="52"/>
        <v>2330</v>
      </c>
      <c r="J838" s="15">
        <f t="shared" si="52"/>
        <v>39</v>
      </c>
      <c r="K838" s="15">
        <f t="shared" si="53"/>
        <v>1994</v>
      </c>
      <c r="L838" s="3" t="str">
        <f t="shared" si="54"/>
        <v>Saturday</v>
      </c>
      <c r="M838" s="4" t="str">
        <f t="shared" si="55"/>
        <v>Normal Day</v>
      </c>
      <c r="N838" s="4" t="str">
        <f>TEXT(CleanedData[[#This Row],[DAY]], "mmm yyyy")</f>
        <v>Jul 2024</v>
      </c>
    </row>
    <row r="839" spans="1:14" x14ac:dyDescent="0.3">
      <c r="A839" s="5">
        <v>45479</v>
      </c>
      <c r="B839" s="12">
        <v>5491.5</v>
      </c>
      <c r="C839" s="12">
        <v>324</v>
      </c>
      <c r="D839" s="2" t="s">
        <v>10</v>
      </c>
      <c r="E839" s="2" t="s">
        <v>7</v>
      </c>
      <c r="F839" s="1">
        <v>148</v>
      </c>
      <c r="G839" s="13">
        <v>5309.6239060372682</v>
      </c>
      <c r="H839" s="14" t="b">
        <v>0</v>
      </c>
      <c r="I839" s="15">
        <f t="shared" si="52"/>
        <v>5492</v>
      </c>
      <c r="J839" s="15">
        <f t="shared" si="52"/>
        <v>324</v>
      </c>
      <c r="K839" s="15">
        <f t="shared" si="53"/>
        <v>5310</v>
      </c>
      <c r="L839" s="3" t="str">
        <f t="shared" si="54"/>
        <v>Saturday</v>
      </c>
      <c r="M839" s="4" t="str">
        <f t="shared" si="55"/>
        <v>Normal Day</v>
      </c>
      <c r="N839" s="4" t="str">
        <f>TEXT(CleanedData[[#This Row],[DAY]], "mmm yyyy")</f>
        <v>Jul 2024</v>
      </c>
    </row>
    <row r="840" spans="1:14" x14ac:dyDescent="0.3">
      <c r="A840" s="5">
        <v>45480</v>
      </c>
      <c r="B840" s="12">
        <v>909</v>
      </c>
      <c r="C840" s="12">
        <v>72</v>
      </c>
      <c r="D840" s="2" t="s">
        <v>6</v>
      </c>
      <c r="E840" s="2" t="s">
        <v>8</v>
      </c>
      <c r="F840" s="1">
        <v>439</v>
      </c>
      <c r="G840" s="13">
        <v>839.86719984373644</v>
      </c>
      <c r="H840" s="14" t="b">
        <v>0</v>
      </c>
      <c r="I840" s="15">
        <f t="shared" si="52"/>
        <v>909</v>
      </c>
      <c r="J840" s="15">
        <f t="shared" si="52"/>
        <v>72</v>
      </c>
      <c r="K840" s="15">
        <f t="shared" si="53"/>
        <v>840</v>
      </c>
      <c r="L840" s="3" t="str">
        <f t="shared" si="54"/>
        <v>Sunday</v>
      </c>
      <c r="M840" s="4" t="str">
        <f t="shared" si="55"/>
        <v>Normal Day</v>
      </c>
      <c r="N840" s="4" t="str">
        <f>TEXT(CleanedData[[#This Row],[DAY]], "mmm yyyy")</f>
        <v>Jul 2024</v>
      </c>
    </row>
    <row r="841" spans="1:14" x14ac:dyDescent="0.3">
      <c r="A841" s="5">
        <v>45480</v>
      </c>
      <c r="B841" s="12">
        <v>1249.5</v>
      </c>
      <c r="C841" s="12">
        <v>72</v>
      </c>
      <c r="D841" s="2" t="s">
        <v>6</v>
      </c>
      <c r="E841" s="2" t="s">
        <v>7</v>
      </c>
      <c r="F841" s="1">
        <v>786</v>
      </c>
      <c r="G841" s="13">
        <v>1180.7074766637347</v>
      </c>
      <c r="H841" s="14" t="b">
        <v>0</v>
      </c>
      <c r="I841" s="15">
        <f t="shared" si="52"/>
        <v>1250</v>
      </c>
      <c r="J841" s="15">
        <f t="shared" si="52"/>
        <v>72</v>
      </c>
      <c r="K841" s="15">
        <f t="shared" si="53"/>
        <v>1181</v>
      </c>
      <c r="L841" s="3" t="str">
        <f t="shared" si="54"/>
        <v>Sunday</v>
      </c>
      <c r="M841" s="4" t="str">
        <f t="shared" si="55"/>
        <v>Normal Day</v>
      </c>
      <c r="N841" s="4" t="str">
        <f>TEXT(CleanedData[[#This Row],[DAY]], "mmm yyyy")</f>
        <v>Jul 2024</v>
      </c>
    </row>
    <row r="842" spans="1:14" x14ac:dyDescent="0.3">
      <c r="A842" s="5">
        <v>45480</v>
      </c>
      <c r="B842" s="12">
        <v>2349</v>
      </c>
      <c r="C842" s="12">
        <v>48</v>
      </c>
      <c r="D842" s="2" t="s">
        <v>9</v>
      </c>
      <c r="E842" s="2" t="s">
        <v>8</v>
      </c>
      <c r="F842" s="1">
        <v>1386</v>
      </c>
      <c r="G842" s="13">
        <v>2010.379842363395</v>
      </c>
      <c r="H842" s="14" t="b">
        <v>0</v>
      </c>
      <c r="I842" s="15">
        <f t="shared" si="52"/>
        <v>2349</v>
      </c>
      <c r="J842" s="15">
        <f t="shared" si="52"/>
        <v>48</v>
      </c>
      <c r="K842" s="15">
        <f t="shared" si="53"/>
        <v>2010</v>
      </c>
      <c r="L842" s="3" t="str">
        <f t="shared" si="54"/>
        <v>Sunday</v>
      </c>
      <c r="M842" s="4" t="str">
        <f t="shared" si="55"/>
        <v>Normal Day</v>
      </c>
      <c r="N842" s="4" t="str">
        <f>TEXT(CleanedData[[#This Row],[DAY]], "mmm yyyy")</f>
        <v>Jul 2024</v>
      </c>
    </row>
    <row r="843" spans="1:14" x14ac:dyDescent="0.3">
      <c r="A843" s="5">
        <v>45480</v>
      </c>
      <c r="B843" s="12">
        <v>6031.5</v>
      </c>
      <c r="C843" s="12">
        <v>228</v>
      </c>
      <c r="D843" s="2" t="s">
        <v>10</v>
      </c>
      <c r="E843" s="2" t="s">
        <v>7</v>
      </c>
      <c r="F843" s="1">
        <v>3690</v>
      </c>
      <c r="G843" s="13">
        <v>5480.8309964766931</v>
      </c>
      <c r="H843" s="14" t="b">
        <v>0</v>
      </c>
      <c r="I843" s="15">
        <f t="shared" si="52"/>
        <v>6032</v>
      </c>
      <c r="J843" s="15">
        <f t="shared" si="52"/>
        <v>228</v>
      </c>
      <c r="K843" s="15">
        <f t="shared" si="53"/>
        <v>5481</v>
      </c>
      <c r="L843" s="3" t="str">
        <f t="shared" si="54"/>
        <v>Sunday</v>
      </c>
      <c r="M843" s="4" t="str">
        <f t="shared" si="55"/>
        <v>Normal Day</v>
      </c>
      <c r="N843" s="4" t="str">
        <f>TEXT(CleanedData[[#This Row],[DAY]], "mmm yyyy")</f>
        <v>Jul 2024</v>
      </c>
    </row>
    <row r="844" spans="1:14" x14ac:dyDescent="0.3">
      <c r="A844" s="5">
        <v>45481</v>
      </c>
      <c r="B844" s="12">
        <v>1047</v>
      </c>
      <c r="C844" s="12">
        <v>22.5</v>
      </c>
      <c r="D844" s="2" t="s">
        <v>6</v>
      </c>
      <c r="E844" s="2" t="s">
        <v>8</v>
      </c>
      <c r="F844" s="1">
        <v>267</v>
      </c>
      <c r="G844" s="13">
        <v>924.5120823973989</v>
      </c>
      <c r="H844" s="14" t="b">
        <v>0</v>
      </c>
      <c r="I844" s="15">
        <f t="shared" si="52"/>
        <v>1047</v>
      </c>
      <c r="J844" s="15">
        <f t="shared" si="52"/>
        <v>23</v>
      </c>
      <c r="K844" s="15">
        <f t="shared" si="53"/>
        <v>925</v>
      </c>
      <c r="L844" s="3" t="str">
        <f t="shared" si="54"/>
        <v>Monday</v>
      </c>
      <c r="M844" s="4" t="str">
        <f t="shared" si="55"/>
        <v>Normal Day</v>
      </c>
      <c r="N844" s="4" t="str">
        <f>TEXT(CleanedData[[#This Row],[DAY]], "mmm yyyy")</f>
        <v>Jul 2024</v>
      </c>
    </row>
    <row r="845" spans="1:14" x14ac:dyDescent="0.3">
      <c r="A845" s="5">
        <v>45481</v>
      </c>
      <c r="B845" s="12">
        <v>1522.5</v>
      </c>
      <c r="C845" s="12">
        <v>22.5</v>
      </c>
      <c r="D845" s="2" t="s">
        <v>6</v>
      </c>
      <c r="E845" s="2" t="s">
        <v>7</v>
      </c>
      <c r="F845" s="1">
        <v>721</v>
      </c>
      <c r="G845" s="13">
        <v>1448.0205485110275</v>
      </c>
      <c r="H845" s="14" t="b">
        <v>0</v>
      </c>
      <c r="I845" s="15">
        <f t="shared" si="52"/>
        <v>1523</v>
      </c>
      <c r="J845" s="15">
        <f t="shared" si="52"/>
        <v>23</v>
      </c>
      <c r="K845" s="15">
        <f t="shared" si="53"/>
        <v>1448</v>
      </c>
      <c r="L845" s="3" t="str">
        <f t="shared" si="54"/>
        <v>Monday</v>
      </c>
      <c r="M845" s="4" t="str">
        <f t="shared" si="55"/>
        <v>Normal Day</v>
      </c>
      <c r="N845" s="4" t="str">
        <f>TEXT(CleanedData[[#This Row],[DAY]], "mmm yyyy")</f>
        <v>Jul 2024</v>
      </c>
    </row>
    <row r="846" spans="1:14" x14ac:dyDescent="0.3">
      <c r="A846" s="5">
        <v>45481</v>
      </c>
      <c r="B846" s="12">
        <v>2409</v>
      </c>
      <c r="C846" s="12">
        <v>28.5</v>
      </c>
      <c r="D846" s="2" t="s">
        <v>9</v>
      </c>
      <c r="E846" s="2" t="s">
        <v>8</v>
      </c>
      <c r="F846" s="1">
        <v>73</v>
      </c>
      <c r="G846" s="13">
        <v>1983.6690048478486</v>
      </c>
      <c r="H846" s="14" t="b">
        <v>0</v>
      </c>
      <c r="I846" s="15">
        <f t="shared" si="52"/>
        <v>2409</v>
      </c>
      <c r="J846" s="15">
        <f t="shared" si="52"/>
        <v>29</v>
      </c>
      <c r="K846" s="15">
        <f t="shared" si="53"/>
        <v>1984</v>
      </c>
      <c r="L846" s="3" t="str">
        <f t="shared" si="54"/>
        <v>Monday</v>
      </c>
      <c r="M846" s="4" t="str">
        <f t="shared" si="55"/>
        <v>Normal Day</v>
      </c>
      <c r="N846" s="4" t="str">
        <f>TEXT(CleanedData[[#This Row],[DAY]], "mmm yyyy")</f>
        <v>Jul 2024</v>
      </c>
    </row>
    <row r="847" spans="1:14" x14ac:dyDescent="0.3">
      <c r="A847" s="5">
        <v>45481</v>
      </c>
      <c r="B847" s="12">
        <v>5826</v>
      </c>
      <c r="C847" s="12">
        <v>190.5</v>
      </c>
      <c r="D847" s="2" t="s">
        <v>10</v>
      </c>
      <c r="E847" s="2" t="s">
        <v>7</v>
      </c>
      <c r="F847" s="1">
        <v>3275</v>
      </c>
      <c r="G847" s="13">
        <v>5589.2524523933325</v>
      </c>
      <c r="H847" s="14" t="b">
        <v>0</v>
      </c>
      <c r="I847" s="15">
        <f t="shared" si="52"/>
        <v>5826</v>
      </c>
      <c r="J847" s="15">
        <f t="shared" si="52"/>
        <v>191</v>
      </c>
      <c r="K847" s="15">
        <f t="shared" si="53"/>
        <v>5589</v>
      </c>
      <c r="L847" s="3" t="str">
        <f t="shared" si="54"/>
        <v>Monday</v>
      </c>
      <c r="M847" s="4" t="str">
        <f t="shared" si="55"/>
        <v>Normal Day</v>
      </c>
      <c r="N847" s="4" t="str">
        <f>TEXT(CleanedData[[#This Row],[DAY]], "mmm yyyy")</f>
        <v>Jul 2024</v>
      </c>
    </row>
    <row r="848" spans="1:14" x14ac:dyDescent="0.3">
      <c r="A848" s="5">
        <v>45482</v>
      </c>
      <c r="B848" s="12">
        <v>948</v>
      </c>
      <c r="C848" s="12">
        <v>64.5</v>
      </c>
      <c r="D848" s="2" t="s">
        <v>6</v>
      </c>
      <c r="E848" s="2" t="s">
        <v>8</v>
      </c>
      <c r="F848" s="1">
        <v>418</v>
      </c>
      <c r="G848" s="13">
        <v>853.73114530883822</v>
      </c>
      <c r="H848" s="14" t="b">
        <v>0</v>
      </c>
      <c r="I848" s="15">
        <f t="shared" si="52"/>
        <v>948</v>
      </c>
      <c r="J848" s="15">
        <f t="shared" si="52"/>
        <v>65</v>
      </c>
      <c r="K848" s="15">
        <f t="shared" si="53"/>
        <v>854</v>
      </c>
      <c r="L848" s="3" t="str">
        <f t="shared" si="54"/>
        <v>Tuesday</v>
      </c>
      <c r="M848" s="4" t="str">
        <f t="shared" si="55"/>
        <v>Normal Day</v>
      </c>
      <c r="N848" s="4" t="str">
        <f>TEXT(CleanedData[[#This Row],[DAY]], "mmm yyyy")</f>
        <v>Jul 2024</v>
      </c>
    </row>
    <row r="849" spans="1:14" x14ac:dyDescent="0.3">
      <c r="A849" s="5">
        <v>45482</v>
      </c>
      <c r="B849" s="12">
        <v>1171.5</v>
      </c>
      <c r="C849" s="12">
        <v>64.5</v>
      </c>
      <c r="D849" s="2" t="s">
        <v>6</v>
      </c>
      <c r="E849" s="2" t="s">
        <v>7</v>
      </c>
      <c r="F849" s="1">
        <v>630</v>
      </c>
      <c r="G849" s="13">
        <v>1138.7624003139838</v>
      </c>
      <c r="H849" s="14" t="b">
        <v>0</v>
      </c>
      <c r="I849" s="15">
        <f t="shared" si="52"/>
        <v>1172</v>
      </c>
      <c r="J849" s="15">
        <f t="shared" si="52"/>
        <v>65</v>
      </c>
      <c r="K849" s="15">
        <f t="shared" si="53"/>
        <v>1139</v>
      </c>
      <c r="L849" s="3" t="str">
        <f t="shared" si="54"/>
        <v>Tuesday</v>
      </c>
      <c r="M849" s="4" t="str">
        <f t="shared" si="55"/>
        <v>Normal Day</v>
      </c>
      <c r="N849" s="4" t="str">
        <f>TEXT(CleanedData[[#This Row],[DAY]], "mmm yyyy")</f>
        <v>Jul 2024</v>
      </c>
    </row>
    <row r="850" spans="1:14" x14ac:dyDescent="0.3">
      <c r="A850" s="5">
        <v>45482</v>
      </c>
      <c r="B850" s="12">
        <v>2040</v>
      </c>
      <c r="C850" s="12">
        <v>42</v>
      </c>
      <c r="D850" s="2" t="s">
        <v>9</v>
      </c>
      <c r="E850" s="2" t="s">
        <v>8</v>
      </c>
      <c r="F850" s="1">
        <v>193</v>
      </c>
      <c r="G850" s="13">
        <v>1667.0599931937452</v>
      </c>
      <c r="H850" s="14" t="b">
        <v>1</v>
      </c>
      <c r="I850" s="15">
        <f t="shared" si="52"/>
        <v>2040</v>
      </c>
      <c r="J850" s="15">
        <f t="shared" si="52"/>
        <v>42</v>
      </c>
      <c r="K850" s="15">
        <f t="shared" si="53"/>
        <v>1667</v>
      </c>
      <c r="L850" s="3" t="str">
        <f t="shared" si="54"/>
        <v>Tuesday</v>
      </c>
      <c r="M850" s="4" t="str">
        <f t="shared" si="55"/>
        <v>Outage Day</v>
      </c>
      <c r="N850" s="4" t="str">
        <f>TEXT(CleanedData[[#This Row],[DAY]], "mmm yyyy")</f>
        <v>Jul 2024</v>
      </c>
    </row>
    <row r="851" spans="1:14" x14ac:dyDescent="0.3">
      <c r="A851" s="5">
        <v>45482</v>
      </c>
      <c r="B851" s="12">
        <v>4837.5</v>
      </c>
      <c r="C851" s="12">
        <v>96</v>
      </c>
      <c r="D851" s="2" t="s">
        <v>10</v>
      </c>
      <c r="E851" s="2" t="s">
        <v>7</v>
      </c>
      <c r="F851" s="1">
        <v>2314</v>
      </c>
      <c r="G851" s="13">
        <v>4605.2270018208383</v>
      </c>
      <c r="H851" s="14" t="b">
        <v>0</v>
      </c>
      <c r="I851" s="15">
        <f t="shared" si="52"/>
        <v>4838</v>
      </c>
      <c r="J851" s="15">
        <f t="shared" si="52"/>
        <v>96</v>
      </c>
      <c r="K851" s="15">
        <f t="shared" si="53"/>
        <v>4605</v>
      </c>
      <c r="L851" s="3" t="str">
        <f t="shared" si="54"/>
        <v>Tuesday</v>
      </c>
      <c r="M851" s="4" t="str">
        <f t="shared" si="55"/>
        <v>Normal Day</v>
      </c>
      <c r="N851" s="4" t="str">
        <f>TEXT(CleanedData[[#This Row],[DAY]], "mmm yyyy")</f>
        <v>Jul 2024</v>
      </c>
    </row>
    <row r="852" spans="1:14" x14ac:dyDescent="0.3">
      <c r="A852" s="5">
        <v>45483</v>
      </c>
      <c r="B852" s="12">
        <v>1804.5</v>
      </c>
      <c r="C852" s="12">
        <v>42</v>
      </c>
      <c r="D852" s="2" t="s">
        <v>6</v>
      </c>
      <c r="E852" s="2" t="s">
        <v>8</v>
      </c>
      <c r="F852" s="1">
        <v>1111</v>
      </c>
      <c r="G852" s="13">
        <v>1501.477051324048</v>
      </c>
      <c r="H852" s="14" t="b">
        <v>0</v>
      </c>
      <c r="I852" s="15">
        <f t="shared" si="52"/>
        <v>1805</v>
      </c>
      <c r="J852" s="15">
        <f t="shared" si="52"/>
        <v>42</v>
      </c>
      <c r="K852" s="15">
        <f t="shared" si="53"/>
        <v>1501</v>
      </c>
      <c r="L852" s="3" t="str">
        <f t="shared" si="54"/>
        <v>Wednesday</v>
      </c>
      <c r="M852" s="4" t="str">
        <f t="shared" si="55"/>
        <v>Normal Day</v>
      </c>
      <c r="N852" s="4" t="str">
        <f>TEXT(CleanedData[[#This Row],[DAY]], "mmm yyyy")</f>
        <v>Jul 2024</v>
      </c>
    </row>
    <row r="853" spans="1:14" x14ac:dyDescent="0.3">
      <c r="A853" s="5">
        <v>45483</v>
      </c>
      <c r="B853" s="12">
        <v>1864.5</v>
      </c>
      <c r="C853" s="12">
        <v>88.5</v>
      </c>
      <c r="D853" s="2" t="s">
        <v>9</v>
      </c>
      <c r="E853" s="2" t="s">
        <v>8</v>
      </c>
      <c r="F853" s="1">
        <v>72</v>
      </c>
      <c r="G853" s="13">
        <v>1713.4129626301292</v>
      </c>
      <c r="H853" s="14" t="b">
        <v>0</v>
      </c>
      <c r="I853" s="15">
        <f t="shared" si="52"/>
        <v>1865</v>
      </c>
      <c r="J853" s="15">
        <f t="shared" si="52"/>
        <v>89</v>
      </c>
      <c r="K853" s="15">
        <f t="shared" si="53"/>
        <v>1713</v>
      </c>
      <c r="L853" s="3" t="str">
        <f t="shared" si="54"/>
        <v>Wednesday</v>
      </c>
      <c r="M853" s="4" t="str">
        <f t="shared" si="55"/>
        <v>Normal Day</v>
      </c>
      <c r="N853" s="4" t="str">
        <f>TEXT(CleanedData[[#This Row],[DAY]], "mmm yyyy")</f>
        <v>Jul 2024</v>
      </c>
    </row>
    <row r="854" spans="1:14" x14ac:dyDescent="0.3">
      <c r="A854" s="5">
        <v>45483</v>
      </c>
      <c r="B854" s="12">
        <v>1884</v>
      </c>
      <c r="C854" s="12">
        <v>42</v>
      </c>
      <c r="D854" s="2" t="s">
        <v>6</v>
      </c>
      <c r="E854" s="2" t="s">
        <v>7</v>
      </c>
      <c r="F854" s="1">
        <v>49</v>
      </c>
      <c r="G854" s="13">
        <v>1724.1381993881714</v>
      </c>
      <c r="H854" s="14" t="b">
        <v>0</v>
      </c>
      <c r="I854" s="15">
        <f t="shared" si="52"/>
        <v>1884</v>
      </c>
      <c r="J854" s="15">
        <f t="shared" si="52"/>
        <v>42</v>
      </c>
      <c r="K854" s="15">
        <f t="shared" si="53"/>
        <v>1724</v>
      </c>
      <c r="L854" s="3" t="str">
        <f t="shared" si="54"/>
        <v>Wednesday</v>
      </c>
      <c r="M854" s="4" t="str">
        <f t="shared" si="55"/>
        <v>Normal Day</v>
      </c>
      <c r="N854" s="4" t="str">
        <f>TEXT(CleanedData[[#This Row],[DAY]], "mmm yyyy")</f>
        <v>Jul 2024</v>
      </c>
    </row>
    <row r="855" spans="1:14" x14ac:dyDescent="0.3">
      <c r="A855" s="5">
        <v>45483</v>
      </c>
      <c r="B855" s="12">
        <v>4878</v>
      </c>
      <c r="C855" s="12">
        <v>22.5</v>
      </c>
      <c r="D855" s="2" t="s">
        <v>10</v>
      </c>
      <c r="E855" s="2" t="s">
        <v>7</v>
      </c>
      <c r="F855" s="1">
        <v>2577</v>
      </c>
      <c r="G855" s="13">
        <v>4522.0620769537345</v>
      </c>
      <c r="H855" s="14" t="b">
        <v>0</v>
      </c>
      <c r="I855" s="15">
        <f t="shared" si="52"/>
        <v>4878</v>
      </c>
      <c r="J855" s="15">
        <f t="shared" si="52"/>
        <v>23</v>
      </c>
      <c r="K855" s="15">
        <f t="shared" si="53"/>
        <v>4522</v>
      </c>
      <c r="L855" s="3" t="str">
        <f t="shared" si="54"/>
        <v>Wednesday</v>
      </c>
      <c r="M855" s="4" t="str">
        <f t="shared" si="55"/>
        <v>Normal Day</v>
      </c>
      <c r="N855" s="4" t="str">
        <f>TEXT(CleanedData[[#This Row],[DAY]], "mmm yyyy")</f>
        <v>Jul 2024</v>
      </c>
    </row>
    <row r="856" spans="1:14" x14ac:dyDescent="0.3">
      <c r="A856" s="5">
        <v>45484</v>
      </c>
      <c r="B856" s="12">
        <v>666</v>
      </c>
      <c r="C856" s="12">
        <v>63</v>
      </c>
      <c r="D856" s="2" t="s">
        <v>6</v>
      </c>
      <c r="E856" s="2" t="s">
        <v>8</v>
      </c>
      <c r="F856" s="1">
        <v>436</v>
      </c>
      <c r="G856" s="13">
        <v>631.63259554553156</v>
      </c>
      <c r="H856" s="14" t="b">
        <v>0</v>
      </c>
      <c r="I856" s="15">
        <f t="shared" si="52"/>
        <v>666</v>
      </c>
      <c r="J856" s="15">
        <f t="shared" si="52"/>
        <v>63</v>
      </c>
      <c r="K856" s="15">
        <f t="shared" si="53"/>
        <v>632</v>
      </c>
      <c r="L856" s="3" t="str">
        <f t="shared" si="54"/>
        <v>Thursday</v>
      </c>
      <c r="M856" s="4" t="str">
        <f t="shared" si="55"/>
        <v>Normal Day</v>
      </c>
      <c r="N856" s="4" t="str">
        <f>TEXT(CleanedData[[#This Row],[DAY]], "mmm yyyy")</f>
        <v>Jul 2024</v>
      </c>
    </row>
    <row r="857" spans="1:14" x14ac:dyDescent="0.3">
      <c r="A857" s="5">
        <v>45484</v>
      </c>
      <c r="B857" s="12">
        <v>1090.5</v>
      </c>
      <c r="C857" s="12">
        <v>63</v>
      </c>
      <c r="D857" s="2" t="s">
        <v>6</v>
      </c>
      <c r="E857" s="2" t="s">
        <v>7</v>
      </c>
      <c r="F857" s="1">
        <v>489</v>
      </c>
      <c r="G857" s="13">
        <v>1022.5420570703453</v>
      </c>
      <c r="H857" s="14" t="b">
        <v>0</v>
      </c>
      <c r="I857" s="15">
        <f t="shared" si="52"/>
        <v>1091</v>
      </c>
      <c r="J857" s="15">
        <f t="shared" si="52"/>
        <v>63</v>
      </c>
      <c r="K857" s="15">
        <f t="shared" si="53"/>
        <v>1023</v>
      </c>
      <c r="L857" s="3" t="str">
        <f t="shared" si="54"/>
        <v>Thursday</v>
      </c>
      <c r="M857" s="4" t="str">
        <f t="shared" si="55"/>
        <v>Normal Day</v>
      </c>
      <c r="N857" s="4" t="str">
        <f>TEXT(CleanedData[[#This Row],[DAY]], "mmm yyyy")</f>
        <v>Jul 2024</v>
      </c>
    </row>
    <row r="858" spans="1:14" x14ac:dyDescent="0.3">
      <c r="A858" s="5">
        <v>45484</v>
      </c>
      <c r="B858" s="12">
        <v>2518.5</v>
      </c>
      <c r="C858" s="12">
        <v>7.5</v>
      </c>
      <c r="D858" s="2" t="s">
        <v>9</v>
      </c>
      <c r="E858" s="2" t="s">
        <v>8</v>
      </c>
      <c r="F858" s="1">
        <v>141</v>
      </c>
      <c r="G858" s="13">
        <v>2181.3322253819665</v>
      </c>
      <c r="H858" s="14" t="b">
        <v>0</v>
      </c>
      <c r="I858" s="15">
        <f t="shared" si="52"/>
        <v>2519</v>
      </c>
      <c r="J858" s="15">
        <f t="shared" si="52"/>
        <v>8</v>
      </c>
      <c r="K858" s="15">
        <f t="shared" si="53"/>
        <v>2181</v>
      </c>
      <c r="L858" s="3" t="str">
        <f t="shared" si="54"/>
        <v>Thursday</v>
      </c>
      <c r="M858" s="4" t="str">
        <f t="shared" si="55"/>
        <v>Normal Day</v>
      </c>
      <c r="N858" s="4" t="str">
        <f>TEXT(CleanedData[[#This Row],[DAY]], "mmm yyyy")</f>
        <v>Jul 2024</v>
      </c>
    </row>
    <row r="859" spans="1:14" x14ac:dyDescent="0.3">
      <c r="A859" s="5">
        <v>45484</v>
      </c>
      <c r="B859" s="12">
        <v>5517</v>
      </c>
      <c r="C859" s="12">
        <v>126</v>
      </c>
      <c r="D859" s="2" t="s">
        <v>10</v>
      </c>
      <c r="E859" s="2" t="s">
        <v>7</v>
      </c>
      <c r="F859" s="1">
        <v>2767</v>
      </c>
      <c r="G859" s="13">
        <v>4935.379591822054</v>
      </c>
      <c r="H859" s="14" t="b">
        <v>0</v>
      </c>
      <c r="I859" s="15">
        <f t="shared" si="52"/>
        <v>5517</v>
      </c>
      <c r="J859" s="15">
        <f t="shared" si="52"/>
        <v>126</v>
      </c>
      <c r="K859" s="15">
        <f t="shared" si="53"/>
        <v>4935</v>
      </c>
      <c r="L859" s="3" t="str">
        <f t="shared" si="54"/>
        <v>Thursday</v>
      </c>
      <c r="M859" s="4" t="str">
        <f t="shared" si="55"/>
        <v>Normal Day</v>
      </c>
      <c r="N859" s="4" t="str">
        <f>TEXT(CleanedData[[#This Row],[DAY]], "mmm yyyy")</f>
        <v>Jul 2024</v>
      </c>
    </row>
    <row r="860" spans="1:14" x14ac:dyDescent="0.3">
      <c r="A860" s="5">
        <v>45485</v>
      </c>
      <c r="B860" s="12">
        <v>1342.5</v>
      </c>
      <c r="C860" s="12">
        <v>88.5</v>
      </c>
      <c r="D860" s="2" t="s">
        <v>6</v>
      </c>
      <c r="E860" s="2" t="s">
        <v>8</v>
      </c>
      <c r="F860" s="1">
        <v>644</v>
      </c>
      <c r="G860" s="13">
        <v>1235.8136505068887</v>
      </c>
      <c r="H860" s="14" t="b">
        <v>0</v>
      </c>
      <c r="I860" s="15">
        <f t="shared" si="52"/>
        <v>1343</v>
      </c>
      <c r="J860" s="15">
        <f t="shared" si="52"/>
        <v>89</v>
      </c>
      <c r="K860" s="15">
        <f t="shared" si="53"/>
        <v>1236</v>
      </c>
      <c r="L860" s="3" t="str">
        <f t="shared" si="54"/>
        <v>Friday</v>
      </c>
      <c r="M860" s="4" t="str">
        <f t="shared" si="55"/>
        <v>Normal Day</v>
      </c>
      <c r="N860" s="4" t="str">
        <f>TEXT(CleanedData[[#This Row],[DAY]], "mmm yyyy")</f>
        <v>Jul 2024</v>
      </c>
    </row>
    <row r="861" spans="1:14" x14ac:dyDescent="0.3">
      <c r="A861" s="5">
        <v>45485</v>
      </c>
      <c r="B861" s="12">
        <v>1459.5</v>
      </c>
      <c r="C861" s="12">
        <v>88.5</v>
      </c>
      <c r="D861" s="2" t="s">
        <v>6</v>
      </c>
      <c r="E861" s="2" t="s">
        <v>7</v>
      </c>
      <c r="F861" s="1">
        <v>301</v>
      </c>
      <c r="G861" s="13">
        <v>1414.2236605228627</v>
      </c>
      <c r="H861" s="14" t="b">
        <v>0</v>
      </c>
      <c r="I861" s="15">
        <f t="shared" si="52"/>
        <v>1460</v>
      </c>
      <c r="J861" s="15">
        <f t="shared" si="52"/>
        <v>89</v>
      </c>
      <c r="K861" s="15">
        <f t="shared" si="53"/>
        <v>1414</v>
      </c>
      <c r="L861" s="3" t="str">
        <f t="shared" si="54"/>
        <v>Friday</v>
      </c>
      <c r="M861" s="4" t="str">
        <f t="shared" si="55"/>
        <v>Normal Day</v>
      </c>
      <c r="N861" s="4" t="str">
        <f>TEXT(CleanedData[[#This Row],[DAY]], "mmm yyyy")</f>
        <v>Jul 2024</v>
      </c>
    </row>
    <row r="862" spans="1:14" x14ac:dyDescent="0.3">
      <c r="A862" s="5">
        <v>45485</v>
      </c>
      <c r="B862" s="12">
        <v>1933.5</v>
      </c>
      <c r="C862" s="12">
        <v>3</v>
      </c>
      <c r="D862" s="2" t="s">
        <v>9</v>
      </c>
      <c r="E862" s="2" t="s">
        <v>8</v>
      </c>
      <c r="F862" s="1">
        <v>1065</v>
      </c>
      <c r="G862" s="13">
        <v>1610.9487852683656</v>
      </c>
      <c r="H862" s="14" t="b">
        <v>0</v>
      </c>
      <c r="I862" s="15">
        <f t="shared" si="52"/>
        <v>1934</v>
      </c>
      <c r="J862" s="15">
        <f t="shared" si="52"/>
        <v>3</v>
      </c>
      <c r="K862" s="15">
        <f t="shared" si="53"/>
        <v>1611</v>
      </c>
      <c r="L862" s="3" t="str">
        <f t="shared" si="54"/>
        <v>Friday</v>
      </c>
      <c r="M862" s="4" t="str">
        <f t="shared" si="55"/>
        <v>Normal Day</v>
      </c>
      <c r="N862" s="4" t="str">
        <f>TEXT(CleanedData[[#This Row],[DAY]], "mmm yyyy")</f>
        <v>Jul 2024</v>
      </c>
    </row>
    <row r="863" spans="1:14" x14ac:dyDescent="0.3">
      <c r="A863" s="5">
        <v>45485</v>
      </c>
      <c r="B863" s="12">
        <v>6276</v>
      </c>
      <c r="C863" s="12">
        <v>358.5</v>
      </c>
      <c r="D863" s="2" t="s">
        <v>10</v>
      </c>
      <c r="E863" s="2" t="s">
        <v>7</v>
      </c>
      <c r="F863" s="1">
        <v>3918</v>
      </c>
      <c r="G863" s="13">
        <v>5923.5249796548633</v>
      </c>
      <c r="H863" s="14" t="b">
        <v>0</v>
      </c>
      <c r="I863" s="15">
        <f t="shared" si="52"/>
        <v>6276</v>
      </c>
      <c r="J863" s="15">
        <f t="shared" si="52"/>
        <v>359</v>
      </c>
      <c r="K863" s="15">
        <f t="shared" si="53"/>
        <v>5924</v>
      </c>
      <c r="L863" s="3" t="str">
        <f t="shared" si="54"/>
        <v>Friday</v>
      </c>
      <c r="M863" s="4" t="str">
        <f t="shared" si="55"/>
        <v>Normal Day</v>
      </c>
      <c r="N863" s="4" t="str">
        <f>TEXT(CleanedData[[#This Row],[DAY]], "mmm yyyy")</f>
        <v>Jul 2024</v>
      </c>
    </row>
    <row r="864" spans="1:14" x14ac:dyDescent="0.3">
      <c r="A864" s="5">
        <v>45486</v>
      </c>
      <c r="B864" s="12">
        <v>1284</v>
      </c>
      <c r="C864" s="12">
        <v>69</v>
      </c>
      <c r="D864" s="2" t="s">
        <v>6</v>
      </c>
      <c r="E864" s="2" t="s">
        <v>8</v>
      </c>
      <c r="F864" s="1">
        <v>134</v>
      </c>
      <c r="G864" s="13">
        <v>1135.0446752372034</v>
      </c>
      <c r="H864" s="14" t="b">
        <v>0</v>
      </c>
      <c r="I864" s="15">
        <f t="shared" si="52"/>
        <v>1284</v>
      </c>
      <c r="J864" s="15">
        <f t="shared" si="52"/>
        <v>69</v>
      </c>
      <c r="K864" s="15">
        <f t="shared" si="53"/>
        <v>1135</v>
      </c>
      <c r="L864" s="3" t="str">
        <f t="shared" si="54"/>
        <v>Saturday</v>
      </c>
      <c r="M864" s="4" t="str">
        <f t="shared" si="55"/>
        <v>Normal Day</v>
      </c>
      <c r="N864" s="4" t="str">
        <f>TEXT(CleanedData[[#This Row],[DAY]], "mmm yyyy")</f>
        <v>Jul 2024</v>
      </c>
    </row>
    <row r="865" spans="1:14" x14ac:dyDescent="0.3">
      <c r="A865" s="5">
        <v>45486</v>
      </c>
      <c r="B865" s="12">
        <v>2179.5</v>
      </c>
      <c r="C865" s="12">
        <v>69</v>
      </c>
      <c r="D865" s="2" t="s">
        <v>6</v>
      </c>
      <c r="E865" s="2" t="s">
        <v>7</v>
      </c>
      <c r="F865" s="1">
        <v>1345</v>
      </c>
      <c r="G865" s="13">
        <v>1959.3687252268123</v>
      </c>
      <c r="H865" s="14" t="b">
        <v>1</v>
      </c>
      <c r="I865" s="15">
        <f t="shared" si="52"/>
        <v>2180</v>
      </c>
      <c r="J865" s="15">
        <f t="shared" si="52"/>
        <v>69</v>
      </c>
      <c r="K865" s="15">
        <f t="shared" si="53"/>
        <v>1959</v>
      </c>
      <c r="L865" s="3" t="str">
        <f t="shared" si="54"/>
        <v>Saturday</v>
      </c>
      <c r="M865" s="4" t="str">
        <f t="shared" si="55"/>
        <v>Outage Day</v>
      </c>
      <c r="N865" s="4" t="str">
        <f>TEXT(CleanedData[[#This Row],[DAY]], "mmm yyyy")</f>
        <v>Jul 2024</v>
      </c>
    </row>
    <row r="866" spans="1:14" x14ac:dyDescent="0.3">
      <c r="A866" s="5">
        <v>45486</v>
      </c>
      <c r="B866" s="12">
        <v>5115</v>
      </c>
      <c r="C866" s="12">
        <v>171</v>
      </c>
      <c r="D866" s="2" t="s">
        <v>9</v>
      </c>
      <c r="E866" s="2" t="s">
        <v>8</v>
      </c>
      <c r="F866" s="1">
        <v>2176</v>
      </c>
      <c r="G866" s="13">
        <v>4700.6630944860572</v>
      </c>
      <c r="H866" s="14" t="b">
        <v>0</v>
      </c>
      <c r="I866" s="15">
        <f t="shared" si="52"/>
        <v>5115</v>
      </c>
      <c r="J866" s="15">
        <f t="shared" si="52"/>
        <v>171</v>
      </c>
      <c r="K866" s="15">
        <f t="shared" si="53"/>
        <v>4701</v>
      </c>
      <c r="L866" s="3" t="str">
        <f t="shared" si="54"/>
        <v>Saturday</v>
      </c>
      <c r="M866" s="4" t="str">
        <f t="shared" si="55"/>
        <v>Normal Day</v>
      </c>
      <c r="N866" s="4" t="str">
        <f>TEXT(CleanedData[[#This Row],[DAY]], "mmm yyyy")</f>
        <v>Jul 2024</v>
      </c>
    </row>
    <row r="867" spans="1:14" x14ac:dyDescent="0.3">
      <c r="A867" s="5">
        <v>45486</v>
      </c>
      <c r="B867" s="12">
        <v>7659</v>
      </c>
      <c r="C867" s="12">
        <v>351</v>
      </c>
      <c r="D867" s="2" t="s">
        <v>10</v>
      </c>
      <c r="E867" s="2" t="s">
        <v>7</v>
      </c>
      <c r="F867" s="1">
        <v>5006</v>
      </c>
      <c r="G867" s="13">
        <v>7480.5760614382734</v>
      </c>
      <c r="H867" s="14" t="b">
        <v>0</v>
      </c>
      <c r="I867" s="15">
        <f t="shared" si="52"/>
        <v>7659</v>
      </c>
      <c r="J867" s="15">
        <f t="shared" si="52"/>
        <v>351</v>
      </c>
      <c r="K867" s="15">
        <f t="shared" si="53"/>
        <v>7481</v>
      </c>
      <c r="L867" s="3" t="str">
        <f t="shared" si="54"/>
        <v>Saturday</v>
      </c>
      <c r="M867" s="4" t="str">
        <f t="shared" si="55"/>
        <v>Normal Day</v>
      </c>
      <c r="N867" s="4" t="str">
        <f>TEXT(CleanedData[[#This Row],[DAY]], "mmm yyyy")</f>
        <v>Jul 2024</v>
      </c>
    </row>
    <row r="868" spans="1:14" x14ac:dyDescent="0.3">
      <c r="A868" s="5">
        <v>45487</v>
      </c>
      <c r="B868" s="12">
        <v>1519.5</v>
      </c>
      <c r="C868" s="12">
        <v>70.5</v>
      </c>
      <c r="D868" s="2" t="s">
        <v>6</v>
      </c>
      <c r="E868" s="2" t="s">
        <v>8</v>
      </c>
      <c r="F868" s="1">
        <v>832</v>
      </c>
      <c r="G868" s="13">
        <v>1297.9063820551403</v>
      </c>
      <c r="H868" s="14" t="b">
        <v>0</v>
      </c>
      <c r="I868" s="15">
        <f t="shared" si="52"/>
        <v>1520</v>
      </c>
      <c r="J868" s="15">
        <f t="shared" si="52"/>
        <v>71</v>
      </c>
      <c r="K868" s="15">
        <f t="shared" si="53"/>
        <v>1298</v>
      </c>
      <c r="L868" s="3" t="str">
        <f t="shared" si="54"/>
        <v>Sunday</v>
      </c>
      <c r="M868" s="4" t="str">
        <f t="shared" si="55"/>
        <v>Normal Day</v>
      </c>
      <c r="N868" s="4" t="str">
        <f>TEXT(CleanedData[[#This Row],[DAY]], "mmm yyyy")</f>
        <v>Jul 2024</v>
      </c>
    </row>
    <row r="869" spans="1:14" x14ac:dyDescent="0.3">
      <c r="A869" s="5">
        <v>45487</v>
      </c>
      <c r="B869" s="12">
        <v>1573.5</v>
      </c>
      <c r="C869" s="12">
        <v>70.5</v>
      </c>
      <c r="D869" s="2" t="s">
        <v>6</v>
      </c>
      <c r="E869" s="2" t="s">
        <v>7</v>
      </c>
      <c r="F869" s="1">
        <v>899</v>
      </c>
      <c r="G869" s="13">
        <v>1460.0576882011114</v>
      </c>
      <c r="H869" s="14" t="b">
        <v>0</v>
      </c>
      <c r="I869" s="15">
        <f t="shared" si="52"/>
        <v>1574</v>
      </c>
      <c r="J869" s="15">
        <f t="shared" si="52"/>
        <v>71</v>
      </c>
      <c r="K869" s="15">
        <f t="shared" si="53"/>
        <v>1460</v>
      </c>
      <c r="L869" s="3" t="str">
        <f t="shared" si="54"/>
        <v>Sunday</v>
      </c>
      <c r="M869" s="4" t="str">
        <f t="shared" si="55"/>
        <v>Normal Day</v>
      </c>
      <c r="N869" s="4" t="str">
        <f>TEXT(CleanedData[[#This Row],[DAY]], "mmm yyyy")</f>
        <v>Jul 2024</v>
      </c>
    </row>
    <row r="870" spans="1:14" x14ac:dyDescent="0.3">
      <c r="A870" s="5">
        <v>45487</v>
      </c>
      <c r="B870" s="12">
        <v>4078.5</v>
      </c>
      <c r="C870" s="12">
        <v>195</v>
      </c>
      <c r="D870" s="2" t="s">
        <v>9</v>
      </c>
      <c r="E870" s="2" t="s">
        <v>8</v>
      </c>
      <c r="F870" s="1">
        <v>2655</v>
      </c>
      <c r="G870" s="13">
        <v>3502.3845127541263</v>
      </c>
      <c r="H870" s="14" t="b">
        <v>0</v>
      </c>
      <c r="I870" s="15">
        <f t="shared" si="52"/>
        <v>4079</v>
      </c>
      <c r="J870" s="15">
        <f t="shared" si="52"/>
        <v>195</v>
      </c>
      <c r="K870" s="15">
        <f t="shared" si="53"/>
        <v>3502</v>
      </c>
      <c r="L870" s="3" t="str">
        <f t="shared" si="54"/>
        <v>Sunday</v>
      </c>
      <c r="M870" s="4" t="str">
        <f t="shared" si="55"/>
        <v>Normal Day</v>
      </c>
      <c r="N870" s="4" t="str">
        <f>TEXT(CleanedData[[#This Row],[DAY]], "mmm yyyy")</f>
        <v>Jul 2024</v>
      </c>
    </row>
    <row r="871" spans="1:14" x14ac:dyDescent="0.3">
      <c r="A871" s="5">
        <v>45487</v>
      </c>
      <c r="B871" s="12">
        <v>8277</v>
      </c>
      <c r="C871" s="12">
        <v>228</v>
      </c>
      <c r="D871" s="2" t="s">
        <v>10</v>
      </c>
      <c r="E871" s="2" t="s">
        <v>7</v>
      </c>
      <c r="F871" s="1">
        <v>5360</v>
      </c>
      <c r="G871" s="13">
        <v>7405.9304695644405</v>
      </c>
      <c r="H871" s="14" t="b">
        <v>0</v>
      </c>
      <c r="I871" s="15">
        <f t="shared" si="52"/>
        <v>8277</v>
      </c>
      <c r="J871" s="15">
        <f t="shared" si="52"/>
        <v>228</v>
      </c>
      <c r="K871" s="15">
        <f t="shared" si="53"/>
        <v>7406</v>
      </c>
      <c r="L871" s="3" t="str">
        <f t="shared" si="54"/>
        <v>Sunday</v>
      </c>
      <c r="M871" s="4" t="str">
        <f t="shared" si="55"/>
        <v>Normal Day</v>
      </c>
      <c r="N871" s="4" t="str">
        <f>TEXT(CleanedData[[#This Row],[DAY]], "mmm yyyy")</f>
        <v>Jul 2024</v>
      </c>
    </row>
    <row r="872" spans="1:14" x14ac:dyDescent="0.3">
      <c r="A872" s="5">
        <v>45488</v>
      </c>
      <c r="B872" s="12">
        <v>1132.5</v>
      </c>
      <c r="C872" s="12">
        <v>81</v>
      </c>
      <c r="D872" s="2" t="s">
        <v>6</v>
      </c>
      <c r="E872" s="2" t="s">
        <v>8</v>
      </c>
      <c r="F872" s="1">
        <v>627</v>
      </c>
      <c r="G872" s="13">
        <v>1011.2938470977965</v>
      </c>
      <c r="H872" s="14" t="b">
        <v>0</v>
      </c>
      <c r="I872" s="15">
        <f t="shared" si="52"/>
        <v>1133</v>
      </c>
      <c r="J872" s="15">
        <f t="shared" si="52"/>
        <v>81</v>
      </c>
      <c r="K872" s="15">
        <f t="shared" si="53"/>
        <v>1011</v>
      </c>
      <c r="L872" s="3" t="str">
        <f t="shared" si="54"/>
        <v>Monday</v>
      </c>
      <c r="M872" s="4" t="str">
        <f t="shared" si="55"/>
        <v>Normal Day</v>
      </c>
      <c r="N872" s="4" t="str">
        <f>TEXT(CleanedData[[#This Row],[DAY]], "mmm yyyy")</f>
        <v>Jul 2024</v>
      </c>
    </row>
    <row r="873" spans="1:14" x14ac:dyDescent="0.3">
      <c r="A873" s="5">
        <v>45488</v>
      </c>
      <c r="B873" s="12">
        <v>2007</v>
      </c>
      <c r="C873" s="12">
        <v>81</v>
      </c>
      <c r="D873" s="2" t="s">
        <v>6</v>
      </c>
      <c r="E873" s="2" t="s">
        <v>7</v>
      </c>
      <c r="F873" s="1">
        <v>1076</v>
      </c>
      <c r="G873" s="13">
        <v>1879.3296782966067</v>
      </c>
      <c r="H873" s="14" t="b">
        <v>0</v>
      </c>
      <c r="I873" s="15">
        <f t="shared" si="52"/>
        <v>2007</v>
      </c>
      <c r="J873" s="15">
        <f t="shared" si="52"/>
        <v>81</v>
      </c>
      <c r="K873" s="15">
        <f t="shared" si="53"/>
        <v>1879</v>
      </c>
      <c r="L873" s="3" t="str">
        <f t="shared" si="54"/>
        <v>Monday</v>
      </c>
      <c r="M873" s="4" t="str">
        <f t="shared" si="55"/>
        <v>Normal Day</v>
      </c>
      <c r="N873" s="4" t="str">
        <f>TEXT(CleanedData[[#This Row],[DAY]], "mmm yyyy")</f>
        <v>Jul 2024</v>
      </c>
    </row>
    <row r="874" spans="1:14" x14ac:dyDescent="0.3">
      <c r="A874" s="5">
        <v>45488</v>
      </c>
      <c r="B874" s="12">
        <v>2944.5</v>
      </c>
      <c r="C874" s="12">
        <v>106.5</v>
      </c>
      <c r="D874" s="2" t="s">
        <v>9</v>
      </c>
      <c r="E874" s="2" t="s">
        <v>8</v>
      </c>
      <c r="F874" s="1">
        <v>1543</v>
      </c>
      <c r="G874" s="13">
        <v>2615.895040188695</v>
      </c>
      <c r="H874" s="14" t="b">
        <v>0</v>
      </c>
      <c r="I874" s="15">
        <f t="shared" si="52"/>
        <v>2945</v>
      </c>
      <c r="J874" s="15">
        <f t="shared" si="52"/>
        <v>107</v>
      </c>
      <c r="K874" s="15">
        <f t="shared" si="53"/>
        <v>2616</v>
      </c>
      <c r="L874" s="3" t="str">
        <f t="shared" si="54"/>
        <v>Monday</v>
      </c>
      <c r="M874" s="4" t="str">
        <f t="shared" si="55"/>
        <v>Normal Day</v>
      </c>
      <c r="N874" s="4" t="str">
        <f>TEXT(CleanedData[[#This Row],[DAY]], "mmm yyyy")</f>
        <v>Jul 2024</v>
      </c>
    </row>
    <row r="875" spans="1:14" x14ac:dyDescent="0.3">
      <c r="A875" s="5">
        <v>45488</v>
      </c>
      <c r="B875" s="12">
        <v>7159.5</v>
      </c>
      <c r="C875" s="12">
        <v>303</v>
      </c>
      <c r="D875" s="2" t="s">
        <v>10</v>
      </c>
      <c r="E875" s="2" t="s">
        <v>7</v>
      </c>
      <c r="F875" s="1">
        <v>4162</v>
      </c>
      <c r="G875" s="13">
        <v>6629.5987006230007</v>
      </c>
      <c r="H875" s="14" t="b">
        <v>0</v>
      </c>
      <c r="I875" s="15">
        <f t="shared" si="52"/>
        <v>7160</v>
      </c>
      <c r="J875" s="15">
        <f t="shared" si="52"/>
        <v>303</v>
      </c>
      <c r="K875" s="15">
        <f t="shared" si="53"/>
        <v>6630</v>
      </c>
      <c r="L875" s="3" t="str">
        <f t="shared" si="54"/>
        <v>Monday</v>
      </c>
      <c r="M875" s="4" t="str">
        <f t="shared" si="55"/>
        <v>Normal Day</v>
      </c>
      <c r="N875" s="4" t="str">
        <f>TEXT(CleanedData[[#This Row],[DAY]], "mmm yyyy")</f>
        <v>Jul 2024</v>
      </c>
    </row>
    <row r="876" spans="1:14" x14ac:dyDescent="0.3">
      <c r="A876" s="5">
        <v>45489</v>
      </c>
      <c r="B876" s="12">
        <v>1591.5</v>
      </c>
      <c r="C876" s="12">
        <v>69</v>
      </c>
      <c r="D876" s="2" t="s">
        <v>6</v>
      </c>
      <c r="E876" s="2" t="s">
        <v>8</v>
      </c>
      <c r="F876" s="1">
        <v>955</v>
      </c>
      <c r="G876" s="13">
        <v>1471.7193214513156</v>
      </c>
      <c r="H876" s="14" t="b">
        <v>0</v>
      </c>
      <c r="I876" s="15">
        <f t="shared" si="52"/>
        <v>1592</v>
      </c>
      <c r="J876" s="15">
        <f t="shared" si="52"/>
        <v>69</v>
      </c>
      <c r="K876" s="15">
        <f t="shared" si="53"/>
        <v>1472</v>
      </c>
      <c r="L876" s="3" t="str">
        <f t="shared" si="54"/>
        <v>Tuesday</v>
      </c>
      <c r="M876" s="4" t="str">
        <f t="shared" si="55"/>
        <v>Normal Day</v>
      </c>
      <c r="N876" s="4" t="str">
        <f>TEXT(CleanedData[[#This Row],[DAY]], "mmm yyyy")</f>
        <v>Jul 2024</v>
      </c>
    </row>
    <row r="877" spans="1:14" x14ac:dyDescent="0.3">
      <c r="A877" s="5">
        <v>45489</v>
      </c>
      <c r="B877" s="12">
        <v>1669.5</v>
      </c>
      <c r="C877" s="12">
        <v>69</v>
      </c>
      <c r="D877" s="2" t="s">
        <v>6</v>
      </c>
      <c r="E877" s="2" t="s">
        <v>7</v>
      </c>
      <c r="F877" s="1">
        <v>354</v>
      </c>
      <c r="G877" s="13">
        <v>1599.156065485995</v>
      </c>
      <c r="H877" s="14" t="b">
        <v>0</v>
      </c>
      <c r="I877" s="15">
        <f t="shared" si="52"/>
        <v>1670</v>
      </c>
      <c r="J877" s="15">
        <f t="shared" si="52"/>
        <v>69</v>
      </c>
      <c r="K877" s="15">
        <f t="shared" si="53"/>
        <v>1599</v>
      </c>
      <c r="L877" s="3" t="str">
        <f t="shared" si="54"/>
        <v>Tuesday</v>
      </c>
      <c r="M877" s="4" t="str">
        <f t="shared" si="55"/>
        <v>Normal Day</v>
      </c>
      <c r="N877" s="4" t="str">
        <f>TEXT(CleanedData[[#This Row],[DAY]], "mmm yyyy")</f>
        <v>Jul 2024</v>
      </c>
    </row>
    <row r="878" spans="1:14" x14ac:dyDescent="0.3">
      <c r="A878" s="5">
        <v>45489</v>
      </c>
      <c r="B878" s="12">
        <v>2943</v>
      </c>
      <c r="C878" s="12">
        <v>1.5</v>
      </c>
      <c r="D878" s="2" t="s">
        <v>9</v>
      </c>
      <c r="E878" s="2" t="s">
        <v>8</v>
      </c>
      <c r="F878" s="1">
        <v>1531</v>
      </c>
      <c r="G878" s="13">
        <v>2610.3711457000527</v>
      </c>
      <c r="H878" s="14" t="b">
        <v>0</v>
      </c>
      <c r="I878" s="15">
        <f t="shared" si="52"/>
        <v>2943</v>
      </c>
      <c r="J878" s="15">
        <f t="shared" si="52"/>
        <v>2</v>
      </c>
      <c r="K878" s="15">
        <f t="shared" si="53"/>
        <v>2610</v>
      </c>
      <c r="L878" s="3" t="str">
        <f t="shared" si="54"/>
        <v>Tuesday</v>
      </c>
      <c r="M878" s="4" t="str">
        <f t="shared" si="55"/>
        <v>Normal Day</v>
      </c>
      <c r="N878" s="4" t="str">
        <f>TEXT(CleanedData[[#This Row],[DAY]], "mmm yyyy")</f>
        <v>Jul 2024</v>
      </c>
    </row>
    <row r="879" spans="1:14" x14ac:dyDescent="0.3">
      <c r="A879" s="5">
        <v>45489</v>
      </c>
      <c r="B879" s="12">
        <v>6811.5</v>
      </c>
      <c r="C879" s="12">
        <v>397.5</v>
      </c>
      <c r="D879" s="2" t="s">
        <v>10</v>
      </c>
      <c r="E879" s="2" t="s">
        <v>7</v>
      </c>
      <c r="F879" s="1">
        <v>4044</v>
      </c>
      <c r="G879" s="13">
        <v>6384.534970210857</v>
      </c>
      <c r="H879" s="14" t="b">
        <v>0</v>
      </c>
      <c r="I879" s="15">
        <f t="shared" si="52"/>
        <v>6812</v>
      </c>
      <c r="J879" s="15">
        <f t="shared" si="52"/>
        <v>398</v>
      </c>
      <c r="K879" s="15">
        <f t="shared" si="53"/>
        <v>6385</v>
      </c>
      <c r="L879" s="3" t="str">
        <f t="shared" si="54"/>
        <v>Tuesday</v>
      </c>
      <c r="M879" s="4" t="str">
        <f t="shared" si="55"/>
        <v>Normal Day</v>
      </c>
      <c r="N879" s="4" t="str">
        <f>TEXT(CleanedData[[#This Row],[DAY]], "mmm yyyy")</f>
        <v>Jul 2024</v>
      </c>
    </row>
    <row r="880" spans="1:14" x14ac:dyDescent="0.3">
      <c r="A880" s="5">
        <v>45490</v>
      </c>
      <c r="B880" s="12">
        <v>1404</v>
      </c>
      <c r="C880" s="12">
        <v>90</v>
      </c>
      <c r="D880" s="2" t="s">
        <v>6</v>
      </c>
      <c r="E880" s="2" t="s">
        <v>8</v>
      </c>
      <c r="F880" s="1">
        <v>752</v>
      </c>
      <c r="G880" s="13">
        <v>1208.1566971122079</v>
      </c>
      <c r="H880" s="14" t="b">
        <v>1</v>
      </c>
      <c r="I880" s="15">
        <f t="shared" si="52"/>
        <v>1404</v>
      </c>
      <c r="J880" s="15">
        <f t="shared" si="52"/>
        <v>90</v>
      </c>
      <c r="K880" s="15">
        <f t="shared" si="53"/>
        <v>1208</v>
      </c>
      <c r="L880" s="3" t="str">
        <f t="shared" si="54"/>
        <v>Wednesday</v>
      </c>
      <c r="M880" s="4" t="str">
        <f t="shared" si="55"/>
        <v>Outage Day</v>
      </c>
      <c r="N880" s="4" t="str">
        <f>TEXT(CleanedData[[#This Row],[DAY]], "mmm yyyy")</f>
        <v>Jul 2024</v>
      </c>
    </row>
    <row r="881" spans="1:14" x14ac:dyDescent="0.3">
      <c r="A881" s="5">
        <v>45490</v>
      </c>
      <c r="B881" s="12">
        <v>1863</v>
      </c>
      <c r="C881" s="12">
        <v>90</v>
      </c>
      <c r="D881" s="2" t="s">
        <v>6</v>
      </c>
      <c r="E881" s="2" t="s">
        <v>7</v>
      </c>
      <c r="F881" s="1">
        <v>1144</v>
      </c>
      <c r="G881" s="13">
        <v>1722.5870269172751</v>
      </c>
      <c r="H881" s="14" t="b">
        <v>1</v>
      </c>
      <c r="I881" s="15">
        <f t="shared" si="52"/>
        <v>1863</v>
      </c>
      <c r="J881" s="15">
        <f t="shared" si="52"/>
        <v>90</v>
      </c>
      <c r="K881" s="15">
        <f t="shared" si="53"/>
        <v>1723</v>
      </c>
      <c r="L881" s="3" t="str">
        <f t="shared" si="54"/>
        <v>Wednesday</v>
      </c>
      <c r="M881" s="4" t="str">
        <f t="shared" si="55"/>
        <v>Outage Day</v>
      </c>
      <c r="N881" s="4" t="str">
        <f>TEXT(CleanedData[[#This Row],[DAY]], "mmm yyyy")</f>
        <v>Jul 2024</v>
      </c>
    </row>
    <row r="882" spans="1:14" x14ac:dyDescent="0.3">
      <c r="A882" s="5">
        <v>45490</v>
      </c>
      <c r="B882" s="12">
        <v>2616</v>
      </c>
      <c r="C882" s="12">
        <v>43.5</v>
      </c>
      <c r="D882" s="2" t="s">
        <v>9</v>
      </c>
      <c r="E882" s="2" t="s">
        <v>8</v>
      </c>
      <c r="F882" s="1">
        <v>1206</v>
      </c>
      <c r="G882" s="13">
        <v>2319.5607930808192</v>
      </c>
      <c r="H882" s="14" t="b">
        <v>1</v>
      </c>
      <c r="I882" s="15">
        <f t="shared" si="52"/>
        <v>2616</v>
      </c>
      <c r="J882" s="15">
        <f t="shared" si="52"/>
        <v>44</v>
      </c>
      <c r="K882" s="15">
        <f t="shared" si="53"/>
        <v>2320</v>
      </c>
      <c r="L882" s="3" t="str">
        <f t="shared" si="54"/>
        <v>Wednesday</v>
      </c>
      <c r="M882" s="4" t="str">
        <f t="shared" si="55"/>
        <v>Outage Day</v>
      </c>
      <c r="N882" s="4" t="str">
        <f>TEXT(CleanedData[[#This Row],[DAY]], "mmm yyyy")</f>
        <v>Jul 2024</v>
      </c>
    </row>
    <row r="883" spans="1:14" x14ac:dyDescent="0.3">
      <c r="A883" s="5">
        <v>45490</v>
      </c>
      <c r="B883" s="12">
        <v>5248.5</v>
      </c>
      <c r="C883" s="12">
        <v>39</v>
      </c>
      <c r="D883" s="2" t="s">
        <v>10</v>
      </c>
      <c r="E883" s="2" t="s">
        <v>7</v>
      </c>
      <c r="F883" s="1">
        <v>340</v>
      </c>
      <c r="G883" s="13">
        <v>4928.937612278638</v>
      </c>
      <c r="H883" s="14" t="b">
        <v>1</v>
      </c>
      <c r="I883" s="15">
        <f t="shared" si="52"/>
        <v>5249</v>
      </c>
      <c r="J883" s="15">
        <f t="shared" si="52"/>
        <v>39</v>
      </c>
      <c r="K883" s="15">
        <f t="shared" si="53"/>
        <v>4929</v>
      </c>
      <c r="L883" s="3" t="str">
        <f t="shared" si="54"/>
        <v>Wednesday</v>
      </c>
      <c r="M883" s="4" t="str">
        <f t="shared" si="55"/>
        <v>Outage Day</v>
      </c>
      <c r="N883" s="4" t="str">
        <f>TEXT(CleanedData[[#This Row],[DAY]], "mmm yyyy")</f>
        <v>Jul 2024</v>
      </c>
    </row>
    <row r="884" spans="1:14" x14ac:dyDescent="0.3">
      <c r="A884" s="5">
        <v>45491</v>
      </c>
      <c r="B884" s="12">
        <v>808.5</v>
      </c>
      <c r="C884" s="12">
        <v>18</v>
      </c>
      <c r="D884" s="2" t="s">
        <v>6</v>
      </c>
      <c r="E884" s="2" t="s">
        <v>8</v>
      </c>
      <c r="F884" s="1">
        <v>500</v>
      </c>
      <c r="G884" s="13">
        <v>723.91046738187674</v>
      </c>
      <c r="H884" s="14" t="b">
        <v>0</v>
      </c>
      <c r="I884" s="15">
        <f t="shared" si="52"/>
        <v>809</v>
      </c>
      <c r="J884" s="15">
        <f t="shared" si="52"/>
        <v>18</v>
      </c>
      <c r="K884" s="15">
        <f t="shared" si="53"/>
        <v>724</v>
      </c>
      <c r="L884" s="3" t="str">
        <f t="shared" si="54"/>
        <v>Thursday</v>
      </c>
      <c r="M884" s="4" t="str">
        <f t="shared" si="55"/>
        <v>Normal Day</v>
      </c>
      <c r="N884" s="4" t="str">
        <f>TEXT(CleanedData[[#This Row],[DAY]], "mmm yyyy")</f>
        <v>Jul 2024</v>
      </c>
    </row>
    <row r="885" spans="1:14" x14ac:dyDescent="0.3">
      <c r="A885" s="5">
        <v>45491</v>
      </c>
      <c r="B885" s="12">
        <v>1140</v>
      </c>
      <c r="C885" s="12">
        <v>18</v>
      </c>
      <c r="D885" s="2" t="s">
        <v>6</v>
      </c>
      <c r="E885" s="2" t="s">
        <v>7</v>
      </c>
      <c r="F885" s="1">
        <v>552</v>
      </c>
      <c r="G885" s="13">
        <v>1066.6365668327544</v>
      </c>
      <c r="H885" s="14" t="b">
        <v>0</v>
      </c>
      <c r="I885" s="15">
        <f t="shared" si="52"/>
        <v>1140</v>
      </c>
      <c r="J885" s="15">
        <f t="shared" si="52"/>
        <v>18</v>
      </c>
      <c r="K885" s="15">
        <f t="shared" si="53"/>
        <v>1067</v>
      </c>
      <c r="L885" s="3" t="str">
        <f t="shared" si="54"/>
        <v>Thursday</v>
      </c>
      <c r="M885" s="4" t="str">
        <f t="shared" si="55"/>
        <v>Normal Day</v>
      </c>
      <c r="N885" s="4" t="str">
        <f>TEXT(CleanedData[[#This Row],[DAY]], "mmm yyyy")</f>
        <v>Jul 2024</v>
      </c>
    </row>
    <row r="886" spans="1:14" x14ac:dyDescent="0.3">
      <c r="A886" s="5">
        <v>45491</v>
      </c>
      <c r="B886" s="12">
        <v>2520</v>
      </c>
      <c r="C886" s="12">
        <v>81</v>
      </c>
      <c r="D886" s="2" t="s">
        <v>9</v>
      </c>
      <c r="E886" s="2" t="s">
        <v>8</v>
      </c>
      <c r="F886" s="1">
        <v>63</v>
      </c>
      <c r="G886" s="13">
        <v>2132.3731228235538</v>
      </c>
      <c r="H886" s="14" t="b">
        <v>0</v>
      </c>
      <c r="I886" s="15">
        <f t="shared" si="52"/>
        <v>2520</v>
      </c>
      <c r="J886" s="15">
        <f t="shared" si="52"/>
        <v>81</v>
      </c>
      <c r="K886" s="15">
        <f t="shared" si="53"/>
        <v>2132</v>
      </c>
      <c r="L886" s="3" t="str">
        <f t="shared" si="54"/>
        <v>Thursday</v>
      </c>
      <c r="M886" s="4" t="str">
        <f t="shared" si="55"/>
        <v>Normal Day</v>
      </c>
      <c r="N886" s="4" t="str">
        <f>TEXT(CleanedData[[#This Row],[DAY]], "mmm yyyy")</f>
        <v>Jul 2024</v>
      </c>
    </row>
    <row r="887" spans="1:14" x14ac:dyDescent="0.3">
      <c r="A887" s="5">
        <v>45491</v>
      </c>
      <c r="B887" s="12">
        <v>7354.5</v>
      </c>
      <c r="C887" s="12">
        <v>94.5</v>
      </c>
      <c r="D887" s="2" t="s">
        <v>10</v>
      </c>
      <c r="E887" s="2" t="s">
        <v>7</v>
      </c>
      <c r="F887" s="1">
        <v>4062</v>
      </c>
      <c r="G887" s="13">
        <v>6889.168933972649</v>
      </c>
      <c r="H887" s="14" t="b">
        <v>0</v>
      </c>
      <c r="I887" s="15">
        <f t="shared" si="52"/>
        <v>7355</v>
      </c>
      <c r="J887" s="15">
        <f t="shared" si="52"/>
        <v>95</v>
      </c>
      <c r="K887" s="15">
        <f t="shared" si="53"/>
        <v>6889</v>
      </c>
      <c r="L887" s="3" t="str">
        <f t="shared" si="54"/>
        <v>Thursday</v>
      </c>
      <c r="M887" s="4" t="str">
        <f t="shared" si="55"/>
        <v>Normal Day</v>
      </c>
      <c r="N887" s="4" t="str">
        <f>TEXT(CleanedData[[#This Row],[DAY]], "mmm yyyy")</f>
        <v>Jul 2024</v>
      </c>
    </row>
    <row r="888" spans="1:14" x14ac:dyDescent="0.3">
      <c r="A888" s="5">
        <v>45492</v>
      </c>
      <c r="B888" s="12">
        <v>1089</v>
      </c>
      <c r="C888" s="12">
        <v>99</v>
      </c>
      <c r="D888" s="2" t="s">
        <v>6</v>
      </c>
      <c r="E888" s="2" t="s">
        <v>8</v>
      </c>
      <c r="F888" s="1">
        <v>476</v>
      </c>
      <c r="G888" s="13">
        <v>1050.024841118679</v>
      </c>
      <c r="H888" s="14" t="b">
        <v>0</v>
      </c>
      <c r="I888" s="15">
        <f t="shared" si="52"/>
        <v>1089</v>
      </c>
      <c r="J888" s="15">
        <f t="shared" si="52"/>
        <v>99</v>
      </c>
      <c r="K888" s="15">
        <f t="shared" si="53"/>
        <v>1050</v>
      </c>
      <c r="L888" s="3" t="str">
        <f t="shared" si="54"/>
        <v>Friday</v>
      </c>
      <c r="M888" s="4" t="str">
        <f t="shared" si="55"/>
        <v>Normal Day</v>
      </c>
      <c r="N888" s="4" t="str">
        <f>TEXT(CleanedData[[#This Row],[DAY]], "mmm yyyy")</f>
        <v>Jul 2024</v>
      </c>
    </row>
    <row r="889" spans="1:14" x14ac:dyDescent="0.3">
      <c r="A889" s="5">
        <v>45492</v>
      </c>
      <c r="B889" s="12">
        <v>1807.5</v>
      </c>
      <c r="C889" s="12">
        <v>99</v>
      </c>
      <c r="D889" s="2" t="s">
        <v>6</v>
      </c>
      <c r="E889" s="2" t="s">
        <v>7</v>
      </c>
      <c r="F889" s="1">
        <v>335</v>
      </c>
      <c r="G889" s="13">
        <v>1721.8263919260737</v>
      </c>
      <c r="H889" s="14" t="b">
        <v>0</v>
      </c>
      <c r="I889" s="15">
        <f t="shared" si="52"/>
        <v>1808</v>
      </c>
      <c r="J889" s="15">
        <f t="shared" si="52"/>
        <v>99</v>
      </c>
      <c r="K889" s="15">
        <f t="shared" si="53"/>
        <v>1722</v>
      </c>
      <c r="L889" s="3" t="str">
        <f t="shared" si="54"/>
        <v>Friday</v>
      </c>
      <c r="M889" s="4" t="str">
        <f t="shared" si="55"/>
        <v>Normal Day</v>
      </c>
      <c r="N889" s="4" t="str">
        <f>TEXT(CleanedData[[#This Row],[DAY]], "mmm yyyy")</f>
        <v>Jul 2024</v>
      </c>
    </row>
    <row r="890" spans="1:14" x14ac:dyDescent="0.3">
      <c r="A890" s="5">
        <v>45492</v>
      </c>
      <c r="B890" s="12">
        <v>2878.5</v>
      </c>
      <c r="C890" s="12">
        <v>1.5</v>
      </c>
      <c r="D890" s="2" t="s">
        <v>9</v>
      </c>
      <c r="E890" s="2" t="s">
        <v>8</v>
      </c>
      <c r="F890" s="1">
        <v>1234</v>
      </c>
      <c r="G890" s="13">
        <v>2368.1854210233223</v>
      </c>
      <c r="H890" s="14" t="b">
        <v>0</v>
      </c>
      <c r="I890" s="15">
        <f t="shared" si="52"/>
        <v>2879</v>
      </c>
      <c r="J890" s="15">
        <f t="shared" si="52"/>
        <v>2</v>
      </c>
      <c r="K890" s="15">
        <f t="shared" si="53"/>
        <v>2368</v>
      </c>
      <c r="L890" s="3" t="str">
        <f t="shared" si="54"/>
        <v>Friday</v>
      </c>
      <c r="M890" s="4" t="str">
        <f t="shared" si="55"/>
        <v>Normal Day</v>
      </c>
      <c r="N890" s="4" t="str">
        <f>TEXT(CleanedData[[#This Row],[DAY]], "mmm yyyy")</f>
        <v>Jul 2024</v>
      </c>
    </row>
    <row r="891" spans="1:14" x14ac:dyDescent="0.3">
      <c r="A891" s="5">
        <v>45492</v>
      </c>
      <c r="B891" s="12">
        <v>7542</v>
      </c>
      <c r="C891" s="12">
        <v>189</v>
      </c>
      <c r="D891" s="2" t="s">
        <v>10</v>
      </c>
      <c r="E891" s="2" t="s">
        <v>7</v>
      </c>
      <c r="F891" s="1">
        <v>4567</v>
      </c>
      <c r="G891" s="13">
        <v>6735.4996009314673</v>
      </c>
      <c r="H891" s="14" t="b">
        <v>1</v>
      </c>
      <c r="I891" s="15">
        <f t="shared" si="52"/>
        <v>7542</v>
      </c>
      <c r="J891" s="15">
        <f t="shared" si="52"/>
        <v>189</v>
      </c>
      <c r="K891" s="15">
        <f t="shared" si="53"/>
        <v>6735</v>
      </c>
      <c r="L891" s="3" t="str">
        <f t="shared" si="54"/>
        <v>Friday</v>
      </c>
      <c r="M891" s="4" t="str">
        <f t="shared" si="55"/>
        <v>Outage Day</v>
      </c>
      <c r="N891" s="4" t="str">
        <f>TEXT(CleanedData[[#This Row],[DAY]], "mmm yyyy")</f>
        <v>Jul 2024</v>
      </c>
    </row>
    <row r="892" spans="1:14" x14ac:dyDescent="0.3">
      <c r="A892" s="5">
        <v>45493</v>
      </c>
      <c r="B892" s="12">
        <v>738</v>
      </c>
      <c r="C892" s="12">
        <v>57</v>
      </c>
      <c r="D892" s="2" t="s">
        <v>6</v>
      </c>
      <c r="E892" s="2" t="s">
        <v>8</v>
      </c>
      <c r="F892" s="1">
        <v>411</v>
      </c>
      <c r="G892" s="13">
        <v>670.66508059052489</v>
      </c>
      <c r="H892" s="14" t="b">
        <v>0</v>
      </c>
      <c r="I892" s="15">
        <f t="shared" si="52"/>
        <v>738</v>
      </c>
      <c r="J892" s="15">
        <f t="shared" si="52"/>
        <v>57</v>
      </c>
      <c r="K892" s="15">
        <f t="shared" si="53"/>
        <v>671</v>
      </c>
      <c r="L892" s="3" t="str">
        <f t="shared" si="54"/>
        <v>Saturday</v>
      </c>
      <c r="M892" s="4" t="str">
        <f t="shared" si="55"/>
        <v>Normal Day</v>
      </c>
      <c r="N892" s="4" t="str">
        <f>TEXT(CleanedData[[#This Row],[DAY]], "mmm yyyy")</f>
        <v>Jul 2024</v>
      </c>
    </row>
    <row r="893" spans="1:14" x14ac:dyDescent="0.3">
      <c r="A893" s="5">
        <v>45493</v>
      </c>
      <c r="B893" s="12">
        <v>946.5</v>
      </c>
      <c r="C893" s="12">
        <v>57</v>
      </c>
      <c r="D893" s="2" t="s">
        <v>6</v>
      </c>
      <c r="E893" s="2" t="s">
        <v>7</v>
      </c>
      <c r="F893" s="1">
        <v>541</v>
      </c>
      <c r="G893" s="13">
        <v>939.3168251260106</v>
      </c>
      <c r="H893" s="14" t="b">
        <v>0</v>
      </c>
      <c r="I893" s="15">
        <f t="shared" si="52"/>
        <v>947</v>
      </c>
      <c r="J893" s="15">
        <f t="shared" si="52"/>
        <v>57</v>
      </c>
      <c r="K893" s="15">
        <f t="shared" si="53"/>
        <v>939</v>
      </c>
      <c r="L893" s="3" t="str">
        <f t="shared" si="54"/>
        <v>Saturday</v>
      </c>
      <c r="M893" s="4" t="str">
        <f t="shared" si="55"/>
        <v>Normal Day</v>
      </c>
      <c r="N893" s="4" t="str">
        <f>TEXT(CleanedData[[#This Row],[DAY]], "mmm yyyy")</f>
        <v>Jul 2024</v>
      </c>
    </row>
    <row r="894" spans="1:14" x14ac:dyDescent="0.3">
      <c r="A894" s="5">
        <v>45493</v>
      </c>
      <c r="B894" s="12">
        <v>4249.5</v>
      </c>
      <c r="C894" s="12">
        <v>9</v>
      </c>
      <c r="D894" s="2" t="s">
        <v>9</v>
      </c>
      <c r="E894" s="2" t="s">
        <v>8</v>
      </c>
      <c r="F894" s="1">
        <v>1661</v>
      </c>
      <c r="G894" s="13">
        <v>3738.1311619124858</v>
      </c>
      <c r="H894" s="14" t="b">
        <v>0</v>
      </c>
      <c r="I894" s="15">
        <f t="shared" si="52"/>
        <v>4250</v>
      </c>
      <c r="J894" s="15">
        <f t="shared" si="52"/>
        <v>9</v>
      </c>
      <c r="K894" s="15">
        <f t="shared" si="53"/>
        <v>3738</v>
      </c>
      <c r="L894" s="3" t="str">
        <f t="shared" si="54"/>
        <v>Saturday</v>
      </c>
      <c r="M894" s="4" t="str">
        <f t="shared" si="55"/>
        <v>Normal Day</v>
      </c>
      <c r="N894" s="4" t="str">
        <f>TEXT(CleanedData[[#This Row],[DAY]], "mmm yyyy")</f>
        <v>Jul 2024</v>
      </c>
    </row>
    <row r="895" spans="1:14" x14ac:dyDescent="0.3">
      <c r="A895" s="5">
        <v>45493</v>
      </c>
      <c r="B895" s="12">
        <v>8026.5</v>
      </c>
      <c r="C895" s="12">
        <v>430.5</v>
      </c>
      <c r="D895" s="2" t="s">
        <v>10</v>
      </c>
      <c r="E895" s="2" t="s">
        <v>7</v>
      </c>
      <c r="F895" s="1">
        <v>385</v>
      </c>
      <c r="G895" s="13">
        <v>7905.0447876688686</v>
      </c>
      <c r="H895" s="14" t="b">
        <v>0</v>
      </c>
      <c r="I895" s="15">
        <f t="shared" si="52"/>
        <v>8027</v>
      </c>
      <c r="J895" s="15">
        <f t="shared" si="52"/>
        <v>431</v>
      </c>
      <c r="K895" s="15">
        <f t="shared" si="53"/>
        <v>7905</v>
      </c>
      <c r="L895" s="3" t="str">
        <f t="shared" si="54"/>
        <v>Saturday</v>
      </c>
      <c r="M895" s="4" t="str">
        <f t="shared" si="55"/>
        <v>Normal Day</v>
      </c>
      <c r="N895" s="4" t="str">
        <f>TEXT(CleanedData[[#This Row],[DAY]], "mmm yyyy")</f>
        <v>Jul 2024</v>
      </c>
    </row>
    <row r="896" spans="1:14" x14ac:dyDescent="0.3">
      <c r="A896" s="5">
        <v>45494</v>
      </c>
      <c r="B896" s="12">
        <v>1237.5</v>
      </c>
      <c r="C896" s="12">
        <v>66</v>
      </c>
      <c r="D896" s="2" t="s">
        <v>6</v>
      </c>
      <c r="E896" s="2" t="s">
        <v>8</v>
      </c>
      <c r="F896" s="1">
        <v>385</v>
      </c>
      <c r="G896" s="13">
        <v>1138.667080730271</v>
      </c>
      <c r="H896" s="14" t="b">
        <v>0</v>
      </c>
      <c r="I896" s="15">
        <f t="shared" si="52"/>
        <v>1238</v>
      </c>
      <c r="J896" s="15">
        <f t="shared" si="52"/>
        <v>66</v>
      </c>
      <c r="K896" s="15">
        <f t="shared" si="53"/>
        <v>1139</v>
      </c>
      <c r="L896" s="3" t="str">
        <f t="shared" si="54"/>
        <v>Sunday</v>
      </c>
      <c r="M896" s="4" t="str">
        <f t="shared" si="55"/>
        <v>Normal Day</v>
      </c>
      <c r="N896" s="4" t="str">
        <f>TEXT(CleanedData[[#This Row],[DAY]], "mmm yyyy")</f>
        <v>Jul 2024</v>
      </c>
    </row>
    <row r="897" spans="1:14" x14ac:dyDescent="0.3">
      <c r="A897" s="5">
        <v>45494</v>
      </c>
      <c r="B897" s="12">
        <v>1399.5</v>
      </c>
      <c r="C897" s="12">
        <v>66</v>
      </c>
      <c r="D897" s="2" t="s">
        <v>6</v>
      </c>
      <c r="E897" s="2" t="s">
        <v>7</v>
      </c>
      <c r="F897" s="1">
        <v>798</v>
      </c>
      <c r="G897" s="13">
        <v>1319.7712329216165</v>
      </c>
      <c r="H897" s="14" t="b">
        <v>0</v>
      </c>
      <c r="I897" s="15">
        <f t="shared" si="52"/>
        <v>1400</v>
      </c>
      <c r="J897" s="15">
        <f t="shared" si="52"/>
        <v>66</v>
      </c>
      <c r="K897" s="15">
        <f t="shared" si="53"/>
        <v>1320</v>
      </c>
      <c r="L897" s="3" t="str">
        <f t="shared" si="54"/>
        <v>Sunday</v>
      </c>
      <c r="M897" s="4" t="str">
        <f t="shared" si="55"/>
        <v>Normal Day</v>
      </c>
      <c r="N897" s="4" t="str">
        <f>TEXT(CleanedData[[#This Row],[DAY]], "mmm yyyy")</f>
        <v>Jul 2024</v>
      </c>
    </row>
    <row r="898" spans="1:14" x14ac:dyDescent="0.3">
      <c r="A898" s="5">
        <v>45494</v>
      </c>
      <c r="B898" s="12">
        <v>2967</v>
      </c>
      <c r="C898" s="12">
        <v>78</v>
      </c>
      <c r="D898" s="2" t="s">
        <v>9</v>
      </c>
      <c r="E898" s="2" t="s">
        <v>8</v>
      </c>
      <c r="F898" s="1">
        <v>1403</v>
      </c>
      <c r="G898" s="13">
        <v>2481.3001927429505</v>
      </c>
      <c r="H898" s="14" t="b">
        <v>0</v>
      </c>
      <c r="I898" s="15">
        <f t="shared" ref="I898:J961" si="56">ROUND(B898, 0)</f>
        <v>2967</v>
      </c>
      <c r="J898" s="15">
        <f t="shared" si="56"/>
        <v>78</v>
      </c>
      <c r="K898" s="15">
        <f t="shared" ref="K898:K961" si="57">ROUND(G898, 0)</f>
        <v>2481</v>
      </c>
      <c r="L898" s="3" t="str">
        <f t="shared" si="54"/>
        <v>Sunday</v>
      </c>
      <c r="M898" s="4" t="str">
        <f t="shared" si="55"/>
        <v>Normal Day</v>
      </c>
      <c r="N898" s="4" t="str">
        <f>TEXT(CleanedData[[#This Row],[DAY]], "mmm yyyy")</f>
        <v>Jul 2024</v>
      </c>
    </row>
    <row r="899" spans="1:14" x14ac:dyDescent="0.3">
      <c r="A899" s="5">
        <v>45494</v>
      </c>
      <c r="B899" s="12">
        <v>7011</v>
      </c>
      <c r="C899" s="12">
        <v>387</v>
      </c>
      <c r="D899" s="2" t="s">
        <v>10</v>
      </c>
      <c r="E899" s="2" t="s">
        <v>7</v>
      </c>
      <c r="F899" s="1">
        <v>1913</v>
      </c>
      <c r="G899" s="13">
        <v>6897.8740096376632</v>
      </c>
      <c r="H899" s="14" t="b">
        <v>0</v>
      </c>
      <c r="I899" s="15">
        <f t="shared" si="56"/>
        <v>7011</v>
      </c>
      <c r="J899" s="15">
        <f t="shared" si="56"/>
        <v>387</v>
      </c>
      <c r="K899" s="15">
        <f t="shared" si="57"/>
        <v>6898</v>
      </c>
      <c r="L899" s="3" t="str">
        <f t="shared" ref="L899:L962" si="58">TEXT(A899,"dddd")</f>
        <v>Sunday</v>
      </c>
      <c r="M899" s="4" t="str">
        <f t="shared" ref="M899:M962" si="59">IF(H899=TRUE, "Outage Day", "Normal Day")</f>
        <v>Normal Day</v>
      </c>
      <c r="N899" s="4" t="str">
        <f>TEXT(CleanedData[[#This Row],[DAY]], "mmm yyyy")</f>
        <v>Jul 2024</v>
      </c>
    </row>
    <row r="900" spans="1:14" x14ac:dyDescent="0.3">
      <c r="A900" s="5">
        <v>45495</v>
      </c>
      <c r="B900" s="12">
        <v>871.5</v>
      </c>
      <c r="C900" s="12">
        <v>106.5</v>
      </c>
      <c r="D900" s="2" t="s">
        <v>6</v>
      </c>
      <c r="E900" s="2" t="s">
        <v>8</v>
      </c>
      <c r="F900" s="1">
        <v>501</v>
      </c>
      <c r="G900" s="13">
        <v>807.07622137241367</v>
      </c>
      <c r="H900" s="14" t="b">
        <v>0</v>
      </c>
      <c r="I900" s="15">
        <f t="shared" si="56"/>
        <v>872</v>
      </c>
      <c r="J900" s="15">
        <f t="shared" si="56"/>
        <v>107</v>
      </c>
      <c r="K900" s="15">
        <f t="shared" si="57"/>
        <v>807</v>
      </c>
      <c r="L900" s="3" t="str">
        <f t="shared" si="58"/>
        <v>Monday</v>
      </c>
      <c r="M900" s="4" t="str">
        <f t="shared" si="59"/>
        <v>Normal Day</v>
      </c>
      <c r="N900" s="4" t="str">
        <f>TEXT(CleanedData[[#This Row],[DAY]], "mmm yyyy")</f>
        <v>Jul 2024</v>
      </c>
    </row>
    <row r="901" spans="1:14" x14ac:dyDescent="0.3">
      <c r="A901" s="5">
        <v>45495</v>
      </c>
      <c r="B901" s="12">
        <v>1531.5</v>
      </c>
      <c r="C901" s="12">
        <v>106.5</v>
      </c>
      <c r="D901" s="2" t="s">
        <v>6</v>
      </c>
      <c r="E901" s="2" t="s">
        <v>7</v>
      </c>
      <c r="F901" s="1">
        <v>879</v>
      </c>
      <c r="G901" s="13">
        <v>1473.0231509686848</v>
      </c>
      <c r="H901" s="14" t="b">
        <v>0</v>
      </c>
      <c r="I901" s="15">
        <f t="shared" si="56"/>
        <v>1532</v>
      </c>
      <c r="J901" s="15">
        <f t="shared" si="56"/>
        <v>107</v>
      </c>
      <c r="K901" s="15">
        <f t="shared" si="57"/>
        <v>1473</v>
      </c>
      <c r="L901" s="3" t="str">
        <f t="shared" si="58"/>
        <v>Monday</v>
      </c>
      <c r="M901" s="4" t="str">
        <f t="shared" si="59"/>
        <v>Normal Day</v>
      </c>
      <c r="N901" s="4" t="str">
        <f>TEXT(CleanedData[[#This Row],[DAY]], "mmm yyyy")</f>
        <v>Jul 2024</v>
      </c>
    </row>
    <row r="902" spans="1:14" x14ac:dyDescent="0.3">
      <c r="A902" s="5">
        <v>45495</v>
      </c>
      <c r="B902" s="12">
        <v>1969.5</v>
      </c>
      <c r="C902" s="12">
        <v>67.5</v>
      </c>
      <c r="D902" s="2" t="s">
        <v>9</v>
      </c>
      <c r="E902" s="2" t="s">
        <v>8</v>
      </c>
      <c r="F902" s="1">
        <v>21</v>
      </c>
      <c r="G902" s="13">
        <v>1648.0516929586383</v>
      </c>
      <c r="H902" s="14" t="b">
        <v>0</v>
      </c>
      <c r="I902" s="15">
        <f t="shared" si="56"/>
        <v>1970</v>
      </c>
      <c r="J902" s="15">
        <f t="shared" si="56"/>
        <v>68</v>
      </c>
      <c r="K902" s="15">
        <f t="shared" si="57"/>
        <v>1648</v>
      </c>
      <c r="L902" s="3" t="str">
        <f t="shared" si="58"/>
        <v>Monday</v>
      </c>
      <c r="M902" s="4" t="str">
        <f t="shared" si="59"/>
        <v>Normal Day</v>
      </c>
      <c r="N902" s="4" t="str">
        <f>TEXT(CleanedData[[#This Row],[DAY]], "mmm yyyy")</f>
        <v>Jul 2024</v>
      </c>
    </row>
    <row r="903" spans="1:14" x14ac:dyDescent="0.3">
      <c r="A903" s="5">
        <v>45495</v>
      </c>
      <c r="B903" s="12">
        <v>6735</v>
      </c>
      <c r="C903" s="12">
        <v>9</v>
      </c>
      <c r="D903" s="2" t="s">
        <v>10</v>
      </c>
      <c r="E903" s="2" t="s">
        <v>7</v>
      </c>
      <c r="F903" s="1">
        <v>1801</v>
      </c>
      <c r="G903" s="13">
        <v>6325.5083342683984</v>
      </c>
      <c r="H903" s="14" t="b">
        <v>0</v>
      </c>
      <c r="I903" s="15">
        <f t="shared" si="56"/>
        <v>6735</v>
      </c>
      <c r="J903" s="15">
        <f t="shared" si="56"/>
        <v>9</v>
      </c>
      <c r="K903" s="15">
        <f t="shared" si="57"/>
        <v>6326</v>
      </c>
      <c r="L903" s="3" t="str">
        <f t="shared" si="58"/>
        <v>Monday</v>
      </c>
      <c r="M903" s="4" t="str">
        <f t="shared" si="59"/>
        <v>Normal Day</v>
      </c>
      <c r="N903" s="4" t="str">
        <f>TEXT(CleanedData[[#This Row],[DAY]], "mmm yyyy")</f>
        <v>Jul 2024</v>
      </c>
    </row>
    <row r="904" spans="1:14" x14ac:dyDescent="0.3">
      <c r="A904" s="5">
        <v>45496</v>
      </c>
      <c r="B904" s="12">
        <v>697.5</v>
      </c>
      <c r="C904" s="12">
        <v>22.5</v>
      </c>
      <c r="D904" s="2" t="s">
        <v>6</v>
      </c>
      <c r="E904" s="2" t="s">
        <v>8</v>
      </c>
      <c r="F904" s="1">
        <v>405</v>
      </c>
      <c r="G904" s="13">
        <v>580.69843391170946</v>
      </c>
      <c r="H904" s="14" t="b">
        <v>0</v>
      </c>
      <c r="I904" s="15">
        <f t="shared" si="56"/>
        <v>698</v>
      </c>
      <c r="J904" s="15">
        <f t="shared" si="56"/>
        <v>23</v>
      </c>
      <c r="K904" s="15">
        <f t="shared" si="57"/>
        <v>581</v>
      </c>
      <c r="L904" s="3" t="str">
        <f t="shared" si="58"/>
        <v>Tuesday</v>
      </c>
      <c r="M904" s="4" t="str">
        <f t="shared" si="59"/>
        <v>Normal Day</v>
      </c>
      <c r="N904" s="4" t="str">
        <f>TEXT(CleanedData[[#This Row],[DAY]], "mmm yyyy")</f>
        <v>Jul 2024</v>
      </c>
    </row>
    <row r="905" spans="1:14" x14ac:dyDescent="0.3">
      <c r="A905" s="5">
        <v>45496</v>
      </c>
      <c r="B905" s="12">
        <v>1513.5</v>
      </c>
      <c r="C905" s="12">
        <v>22.5</v>
      </c>
      <c r="D905" s="2" t="s">
        <v>6</v>
      </c>
      <c r="E905" s="2" t="s">
        <v>7</v>
      </c>
      <c r="F905" s="1">
        <v>323</v>
      </c>
      <c r="G905" s="13">
        <v>1421.8187418726466</v>
      </c>
      <c r="H905" s="14" t="b">
        <v>0</v>
      </c>
      <c r="I905" s="15">
        <f t="shared" si="56"/>
        <v>1514</v>
      </c>
      <c r="J905" s="15">
        <f t="shared" si="56"/>
        <v>23</v>
      </c>
      <c r="K905" s="15">
        <f t="shared" si="57"/>
        <v>1422</v>
      </c>
      <c r="L905" s="3" t="str">
        <f t="shared" si="58"/>
        <v>Tuesday</v>
      </c>
      <c r="M905" s="4" t="str">
        <f t="shared" si="59"/>
        <v>Normal Day</v>
      </c>
      <c r="N905" s="4" t="str">
        <f>TEXT(CleanedData[[#This Row],[DAY]], "mmm yyyy")</f>
        <v>Jul 2024</v>
      </c>
    </row>
    <row r="906" spans="1:14" x14ac:dyDescent="0.3">
      <c r="A906" s="5">
        <v>45496</v>
      </c>
      <c r="B906" s="12">
        <v>3424.5</v>
      </c>
      <c r="C906" s="12">
        <v>45</v>
      </c>
      <c r="D906" s="2" t="s">
        <v>9</v>
      </c>
      <c r="E906" s="2" t="s">
        <v>8</v>
      </c>
      <c r="F906" s="1">
        <v>638</v>
      </c>
      <c r="G906" s="13">
        <v>3050.1266568395777</v>
      </c>
      <c r="H906" s="14" t="b">
        <v>0</v>
      </c>
      <c r="I906" s="15">
        <f t="shared" si="56"/>
        <v>3425</v>
      </c>
      <c r="J906" s="15">
        <f t="shared" si="56"/>
        <v>45</v>
      </c>
      <c r="K906" s="15">
        <f t="shared" si="57"/>
        <v>3050</v>
      </c>
      <c r="L906" s="3" t="str">
        <f t="shared" si="58"/>
        <v>Tuesday</v>
      </c>
      <c r="M906" s="4" t="str">
        <f t="shared" si="59"/>
        <v>Normal Day</v>
      </c>
      <c r="N906" s="4" t="str">
        <f>TEXT(CleanedData[[#This Row],[DAY]], "mmm yyyy")</f>
        <v>Jul 2024</v>
      </c>
    </row>
    <row r="907" spans="1:14" x14ac:dyDescent="0.3">
      <c r="A907" s="5">
        <v>45496</v>
      </c>
      <c r="B907" s="12">
        <v>6139.5</v>
      </c>
      <c r="C907" s="12">
        <v>336</v>
      </c>
      <c r="D907" s="2" t="s">
        <v>10</v>
      </c>
      <c r="E907" s="2" t="s">
        <v>7</v>
      </c>
      <c r="F907" s="1">
        <v>2631</v>
      </c>
      <c r="G907" s="13">
        <v>5840.260412042132</v>
      </c>
      <c r="H907" s="14" t="b">
        <v>0</v>
      </c>
      <c r="I907" s="15">
        <f t="shared" si="56"/>
        <v>6140</v>
      </c>
      <c r="J907" s="15">
        <f t="shared" si="56"/>
        <v>336</v>
      </c>
      <c r="K907" s="15">
        <f t="shared" si="57"/>
        <v>5840</v>
      </c>
      <c r="L907" s="3" t="str">
        <f t="shared" si="58"/>
        <v>Tuesday</v>
      </c>
      <c r="M907" s="4" t="str">
        <f t="shared" si="59"/>
        <v>Normal Day</v>
      </c>
      <c r="N907" s="4" t="str">
        <f>TEXT(CleanedData[[#This Row],[DAY]], "mmm yyyy")</f>
        <v>Jul 2024</v>
      </c>
    </row>
    <row r="908" spans="1:14" x14ac:dyDescent="0.3">
      <c r="A908" s="5">
        <v>45497</v>
      </c>
      <c r="B908" s="12">
        <v>738</v>
      </c>
      <c r="C908" s="12">
        <v>9</v>
      </c>
      <c r="D908" s="2" t="s">
        <v>6</v>
      </c>
      <c r="E908" s="2" t="s">
        <v>8</v>
      </c>
      <c r="F908" s="1">
        <v>32</v>
      </c>
      <c r="G908" s="13">
        <v>601.43149575242978</v>
      </c>
      <c r="H908" s="14" t="b">
        <v>0</v>
      </c>
      <c r="I908" s="15">
        <f t="shared" si="56"/>
        <v>738</v>
      </c>
      <c r="J908" s="15">
        <f t="shared" si="56"/>
        <v>9</v>
      </c>
      <c r="K908" s="15">
        <f t="shared" si="57"/>
        <v>601</v>
      </c>
      <c r="L908" s="3" t="str">
        <f t="shared" si="58"/>
        <v>Wednesday</v>
      </c>
      <c r="M908" s="4" t="str">
        <f t="shared" si="59"/>
        <v>Normal Day</v>
      </c>
      <c r="N908" s="4" t="str">
        <f>TEXT(CleanedData[[#This Row],[DAY]], "mmm yyyy")</f>
        <v>Jul 2024</v>
      </c>
    </row>
    <row r="909" spans="1:14" x14ac:dyDescent="0.3">
      <c r="A909" s="5">
        <v>45497</v>
      </c>
      <c r="B909" s="12">
        <v>958.5</v>
      </c>
      <c r="C909" s="12">
        <v>9</v>
      </c>
      <c r="D909" s="2" t="s">
        <v>6</v>
      </c>
      <c r="E909" s="2" t="s">
        <v>7</v>
      </c>
      <c r="F909" s="1">
        <v>318</v>
      </c>
      <c r="G909" s="13">
        <v>851.66902727101387</v>
      </c>
      <c r="H909" s="14" t="b">
        <v>0</v>
      </c>
      <c r="I909" s="15">
        <f t="shared" si="56"/>
        <v>959</v>
      </c>
      <c r="J909" s="15">
        <f t="shared" si="56"/>
        <v>9</v>
      </c>
      <c r="K909" s="15">
        <f t="shared" si="57"/>
        <v>852</v>
      </c>
      <c r="L909" s="3" t="str">
        <f t="shared" si="58"/>
        <v>Wednesday</v>
      </c>
      <c r="M909" s="4" t="str">
        <f t="shared" si="59"/>
        <v>Normal Day</v>
      </c>
      <c r="N909" s="4" t="str">
        <f>TEXT(CleanedData[[#This Row],[DAY]], "mmm yyyy")</f>
        <v>Jul 2024</v>
      </c>
    </row>
    <row r="910" spans="1:14" x14ac:dyDescent="0.3">
      <c r="A910" s="5">
        <v>45497</v>
      </c>
      <c r="B910" s="12">
        <v>2505</v>
      </c>
      <c r="C910" s="12">
        <v>58.5</v>
      </c>
      <c r="D910" s="2" t="s">
        <v>9</v>
      </c>
      <c r="E910" s="2" t="s">
        <v>8</v>
      </c>
      <c r="F910" s="1">
        <v>829</v>
      </c>
      <c r="G910" s="13">
        <v>2115.130583533014</v>
      </c>
      <c r="H910" s="14" t="b">
        <v>0</v>
      </c>
      <c r="I910" s="15">
        <f t="shared" si="56"/>
        <v>2505</v>
      </c>
      <c r="J910" s="15">
        <f t="shared" si="56"/>
        <v>59</v>
      </c>
      <c r="K910" s="15">
        <f t="shared" si="57"/>
        <v>2115</v>
      </c>
      <c r="L910" s="3" t="str">
        <f t="shared" si="58"/>
        <v>Wednesday</v>
      </c>
      <c r="M910" s="4" t="str">
        <f t="shared" si="59"/>
        <v>Normal Day</v>
      </c>
      <c r="N910" s="4" t="str">
        <f>TEXT(CleanedData[[#This Row],[DAY]], "mmm yyyy")</f>
        <v>Jul 2024</v>
      </c>
    </row>
    <row r="911" spans="1:14" x14ac:dyDescent="0.3">
      <c r="A911" s="5">
        <v>45497</v>
      </c>
      <c r="B911" s="12">
        <v>6690</v>
      </c>
      <c r="C911" s="12">
        <v>99</v>
      </c>
      <c r="D911" s="2" t="s">
        <v>10</v>
      </c>
      <c r="E911" s="2" t="s">
        <v>7</v>
      </c>
      <c r="F911" s="1">
        <v>1175</v>
      </c>
      <c r="G911" s="13">
        <v>6251.7965110014156</v>
      </c>
      <c r="H911" s="14" t="b">
        <v>0</v>
      </c>
      <c r="I911" s="15">
        <f t="shared" si="56"/>
        <v>6690</v>
      </c>
      <c r="J911" s="15">
        <f t="shared" si="56"/>
        <v>99</v>
      </c>
      <c r="K911" s="15">
        <f t="shared" si="57"/>
        <v>6252</v>
      </c>
      <c r="L911" s="3" t="str">
        <f t="shared" si="58"/>
        <v>Wednesday</v>
      </c>
      <c r="M911" s="4" t="str">
        <f t="shared" si="59"/>
        <v>Normal Day</v>
      </c>
      <c r="N911" s="4" t="str">
        <f>TEXT(CleanedData[[#This Row],[DAY]], "mmm yyyy")</f>
        <v>Jul 2024</v>
      </c>
    </row>
    <row r="912" spans="1:14" x14ac:dyDescent="0.3">
      <c r="A912" s="5">
        <v>45498</v>
      </c>
      <c r="B912" s="12">
        <v>1.5</v>
      </c>
      <c r="C912" s="12">
        <v>0</v>
      </c>
      <c r="D912" s="2" t="s">
        <v>10</v>
      </c>
      <c r="E912" s="2" t="s">
        <v>8</v>
      </c>
      <c r="F912" s="1">
        <v>1</v>
      </c>
      <c r="G912" s="13">
        <v>1.2287920658313045</v>
      </c>
      <c r="H912" s="14" t="b">
        <v>0</v>
      </c>
      <c r="I912" s="15">
        <f t="shared" si="56"/>
        <v>2</v>
      </c>
      <c r="J912" s="15">
        <f t="shared" si="56"/>
        <v>0</v>
      </c>
      <c r="K912" s="15">
        <f t="shared" si="57"/>
        <v>1</v>
      </c>
      <c r="L912" s="3" t="str">
        <f t="shared" si="58"/>
        <v>Thursday</v>
      </c>
      <c r="M912" s="4" t="str">
        <f t="shared" si="59"/>
        <v>Normal Day</v>
      </c>
      <c r="N912" s="4" t="str">
        <f>TEXT(CleanedData[[#This Row],[DAY]], "mmm yyyy")</f>
        <v>Jul 2024</v>
      </c>
    </row>
    <row r="913" spans="1:14" x14ac:dyDescent="0.3">
      <c r="A913" s="5">
        <v>45498</v>
      </c>
      <c r="B913" s="12">
        <v>882</v>
      </c>
      <c r="C913" s="12">
        <v>58.5</v>
      </c>
      <c r="D913" s="2" t="s">
        <v>6</v>
      </c>
      <c r="E913" s="2" t="s">
        <v>8</v>
      </c>
      <c r="F913" s="1">
        <v>123</v>
      </c>
      <c r="G913" s="13">
        <v>760.01572695800553</v>
      </c>
      <c r="H913" s="14" t="b">
        <v>1</v>
      </c>
      <c r="I913" s="15">
        <f t="shared" si="56"/>
        <v>882</v>
      </c>
      <c r="J913" s="15">
        <f t="shared" si="56"/>
        <v>59</v>
      </c>
      <c r="K913" s="15">
        <f t="shared" si="57"/>
        <v>760</v>
      </c>
      <c r="L913" s="3" t="str">
        <f t="shared" si="58"/>
        <v>Thursday</v>
      </c>
      <c r="M913" s="4" t="str">
        <f t="shared" si="59"/>
        <v>Outage Day</v>
      </c>
      <c r="N913" s="4" t="str">
        <f>TEXT(CleanedData[[#This Row],[DAY]], "mmm yyyy")</f>
        <v>Jul 2024</v>
      </c>
    </row>
    <row r="914" spans="1:14" x14ac:dyDescent="0.3">
      <c r="A914" s="5">
        <v>45498</v>
      </c>
      <c r="B914" s="12">
        <v>1480.5</v>
      </c>
      <c r="C914" s="12">
        <v>58.5</v>
      </c>
      <c r="D914" s="2" t="s">
        <v>6</v>
      </c>
      <c r="E914" s="2" t="s">
        <v>7</v>
      </c>
      <c r="F914" s="1">
        <v>385</v>
      </c>
      <c r="G914" s="13">
        <v>1373.3576109041301</v>
      </c>
      <c r="H914" s="14" t="b">
        <v>0</v>
      </c>
      <c r="I914" s="15">
        <f t="shared" si="56"/>
        <v>1481</v>
      </c>
      <c r="J914" s="15">
        <f t="shared" si="56"/>
        <v>59</v>
      </c>
      <c r="K914" s="15">
        <f t="shared" si="57"/>
        <v>1373</v>
      </c>
      <c r="L914" s="3" t="str">
        <f t="shared" si="58"/>
        <v>Thursday</v>
      </c>
      <c r="M914" s="4" t="str">
        <f t="shared" si="59"/>
        <v>Normal Day</v>
      </c>
      <c r="N914" s="4" t="str">
        <f>TEXT(CleanedData[[#This Row],[DAY]], "mmm yyyy")</f>
        <v>Jul 2024</v>
      </c>
    </row>
    <row r="915" spans="1:14" x14ac:dyDescent="0.3">
      <c r="A915" s="5">
        <v>45498</v>
      </c>
      <c r="B915" s="12">
        <v>2902.5</v>
      </c>
      <c r="C915" s="12">
        <v>70.5</v>
      </c>
      <c r="D915" s="2" t="s">
        <v>9</v>
      </c>
      <c r="E915" s="2" t="s">
        <v>8</v>
      </c>
      <c r="F915" s="1">
        <v>621</v>
      </c>
      <c r="G915" s="13">
        <v>2445.6604911852933</v>
      </c>
      <c r="H915" s="14" t="b">
        <v>0</v>
      </c>
      <c r="I915" s="15">
        <f t="shared" si="56"/>
        <v>2903</v>
      </c>
      <c r="J915" s="15">
        <f t="shared" si="56"/>
        <v>71</v>
      </c>
      <c r="K915" s="15">
        <f t="shared" si="57"/>
        <v>2446</v>
      </c>
      <c r="L915" s="3" t="str">
        <f t="shared" si="58"/>
        <v>Thursday</v>
      </c>
      <c r="M915" s="4" t="str">
        <f t="shared" si="59"/>
        <v>Normal Day</v>
      </c>
      <c r="N915" s="4" t="str">
        <f>TEXT(CleanedData[[#This Row],[DAY]], "mmm yyyy")</f>
        <v>Jul 2024</v>
      </c>
    </row>
    <row r="916" spans="1:14" x14ac:dyDescent="0.3">
      <c r="A916" s="5">
        <v>45498</v>
      </c>
      <c r="B916" s="12">
        <v>6783</v>
      </c>
      <c r="C916" s="12">
        <v>90</v>
      </c>
      <c r="D916" s="2" t="s">
        <v>10</v>
      </c>
      <c r="E916" s="2" t="s">
        <v>7</v>
      </c>
      <c r="F916" s="1">
        <v>424</v>
      </c>
      <c r="G916" s="13">
        <v>6159.0007455992172</v>
      </c>
      <c r="H916" s="14" t="b">
        <v>0</v>
      </c>
      <c r="I916" s="15">
        <f t="shared" si="56"/>
        <v>6783</v>
      </c>
      <c r="J916" s="15">
        <f t="shared" si="56"/>
        <v>90</v>
      </c>
      <c r="K916" s="15">
        <f t="shared" si="57"/>
        <v>6159</v>
      </c>
      <c r="L916" s="3" t="str">
        <f t="shared" si="58"/>
        <v>Thursday</v>
      </c>
      <c r="M916" s="4" t="str">
        <f t="shared" si="59"/>
        <v>Normal Day</v>
      </c>
      <c r="N916" s="4" t="str">
        <f>TEXT(CleanedData[[#This Row],[DAY]], "mmm yyyy")</f>
        <v>Jul 2024</v>
      </c>
    </row>
    <row r="917" spans="1:14" x14ac:dyDescent="0.3">
      <c r="A917" s="5">
        <v>45499</v>
      </c>
      <c r="B917" s="12">
        <v>529.5</v>
      </c>
      <c r="C917" s="12">
        <v>66</v>
      </c>
      <c r="D917" s="2" t="s">
        <v>6</v>
      </c>
      <c r="E917" s="2" t="s">
        <v>8</v>
      </c>
      <c r="F917" s="1">
        <v>51</v>
      </c>
      <c r="G917" s="13">
        <v>508.50418245172648</v>
      </c>
      <c r="H917" s="14" t="b">
        <v>0</v>
      </c>
      <c r="I917" s="15">
        <f t="shared" si="56"/>
        <v>530</v>
      </c>
      <c r="J917" s="15">
        <f t="shared" si="56"/>
        <v>66</v>
      </c>
      <c r="K917" s="15">
        <f t="shared" si="57"/>
        <v>509</v>
      </c>
      <c r="L917" s="3" t="str">
        <f t="shared" si="58"/>
        <v>Friday</v>
      </c>
      <c r="M917" s="4" t="str">
        <f t="shared" si="59"/>
        <v>Normal Day</v>
      </c>
      <c r="N917" s="4" t="str">
        <f>TEXT(CleanedData[[#This Row],[DAY]], "mmm yyyy")</f>
        <v>Jul 2024</v>
      </c>
    </row>
    <row r="918" spans="1:14" x14ac:dyDescent="0.3">
      <c r="A918" s="5">
        <v>45499</v>
      </c>
      <c r="B918" s="12">
        <v>1282.5</v>
      </c>
      <c r="C918" s="12">
        <v>66</v>
      </c>
      <c r="D918" s="2" t="s">
        <v>6</v>
      </c>
      <c r="E918" s="2" t="s">
        <v>7</v>
      </c>
      <c r="F918" s="1">
        <v>669</v>
      </c>
      <c r="G918" s="13">
        <v>1250.3320186858755</v>
      </c>
      <c r="H918" s="14" t="b">
        <v>0</v>
      </c>
      <c r="I918" s="15">
        <f t="shared" si="56"/>
        <v>1283</v>
      </c>
      <c r="J918" s="15">
        <f t="shared" si="56"/>
        <v>66</v>
      </c>
      <c r="K918" s="15">
        <f t="shared" si="57"/>
        <v>1250</v>
      </c>
      <c r="L918" s="3" t="str">
        <f t="shared" si="58"/>
        <v>Friday</v>
      </c>
      <c r="M918" s="4" t="str">
        <f t="shared" si="59"/>
        <v>Normal Day</v>
      </c>
      <c r="N918" s="4" t="str">
        <f>TEXT(CleanedData[[#This Row],[DAY]], "mmm yyyy")</f>
        <v>Jul 2024</v>
      </c>
    </row>
    <row r="919" spans="1:14" x14ac:dyDescent="0.3">
      <c r="A919" s="5">
        <v>45499</v>
      </c>
      <c r="B919" s="12">
        <v>3711</v>
      </c>
      <c r="C919" s="12">
        <v>15</v>
      </c>
      <c r="D919" s="2" t="s">
        <v>9</v>
      </c>
      <c r="E919" s="2" t="s">
        <v>8</v>
      </c>
      <c r="F919" s="1">
        <v>1144</v>
      </c>
      <c r="G919" s="13">
        <v>3100.5934705832537</v>
      </c>
      <c r="H919" s="14" t="b">
        <v>0</v>
      </c>
      <c r="I919" s="15">
        <f t="shared" si="56"/>
        <v>3711</v>
      </c>
      <c r="J919" s="15">
        <f t="shared" si="56"/>
        <v>15</v>
      </c>
      <c r="K919" s="15">
        <f t="shared" si="57"/>
        <v>3101</v>
      </c>
      <c r="L919" s="3" t="str">
        <f t="shared" si="58"/>
        <v>Friday</v>
      </c>
      <c r="M919" s="4" t="str">
        <f t="shared" si="59"/>
        <v>Normal Day</v>
      </c>
      <c r="N919" s="4" t="str">
        <f>TEXT(CleanedData[[#This Row],[DAY]], "mmm yyyy")</f>
        <v>Jul 2024</v>
      </c>
    </row>
    <row r="920" spans="1:14" x14ac:dyDescent="0.3">
      <c r="A920" s="5">
        <v>45499</v>
      </c>
      <c r="B920" s="12">
        <v>6508.5</v>
      </c>
      <c r="C920" s="12">
        <v>403.5</v>
      </c>
      <c r="D920" s="2" t="s">
        <v>10</v>
      </c>
      <c r="E920" s="2" t="s">
        <v>7</v>
      </c>
      <c r="F920" s="1">
        <v>4196</v>
      </c>
      <c r="G920" s="13">
        <v>6485.7419991530332</v>
      </c>
      <c r="H920" s="14" t="b">
        <v>0</v>
      </c>
      <c r="I920" s="15">
        <f t="shared" si="56"/>
        <v>6509</v>
      </c>
      <c r="J920" s="15">
        <f t="shared" si="56"/>
        <v>404</v>
      </c>
      <c r="K920" s="15">
        <f t="shared" si="57"/>
        <v>6486</v>
      </c>
      <c r="L920" s="3" t="str">
        <f t="shared" si="58"/>
        <v>Friday</v>
      </c>
      <c r="M920" s="4" t="str">
        <f t="shared" si="59"/>
        <v>Normal Day</v>
      </c>
      <c r="N920" s="4" t="str">
        <f>TEXT(CleanedData[[#This Row],[DAY]], "mmm yyyy")</f>
        <v>Jul 2024</v>
      </c>
    </row>
    <row r="921" spans="1:14" x14ac:dyDescent="0.3">
      <c r="A921" s="5">
        <v>45500</v>
      </c>
      <c r="B921" s="12">
        <v>1.5</v>
      </c>
      <c r="C921" s="12">
        <v>0</v>
      </c>
      <c r="D921" s="2" t="s">
        <v>9</v>
      </c>
      <c r="E921" s="2" t="s">
        <v>7</v>
      </c>
      <c r="F921" s="1">
        <v>1</v>
      </c>
      <c r="G921" s="13">
        <v>1.3627601205891495</v>
      </c>
      <c r="H921" s="14" t="b">
        <v>0</v>
      </c>
      <c r="I921" s="15">
        <f t="shared" si="56"/>
        <v>2</v>
      </c>
      <c r="J921" s="15">
        <f t="shared" si="56"/>
        <v>0</v>
      </c>
      <c r="K921" s="15">
        <f t="shared" si="57"/>
        <v>1</v>
      </c>
      <c r="L921" s="3" t="str">
        <f t="shared" si="58"/>
        <v>Saturday</v>
      </c>
      <c r="M921" s="4" t="str">
        <f t="shared" si="59"/>
        <v>Normal Day</v>
      </c>
      <c r="N921" s="4" t="str">
        <f>TEXT(CleanedData[[#This Row],[DAY]], "mmm yyyy")</f>
        <v>Jul 2024</v>
      </c>
    </row>
    <row r="922" spans="1:14" x14ac:dyDescent="0.3">
      <c r="A922" s="5">
        <v>45500</v>
      </c>
      <c r="B922" s="12">
        <v>714</v>
      </c>
      <c r="C922" s="12">
        <v>4.5</v>
      </c>
      <c r="D922" s="2" t="s">
        <v>6</v>
      </c>
      <c r="E922" s="2" t="s">
        <v>8</v>
      </c>
      <c r="F922" s="1">
        <v>221</v>
      </c>
      <c r="G922" s="13">
        <v>622.40091127111793</v>
      </c>
      <c r="H922" s="14" t="b">
        <v>0</v>
      </c>
      <c r="I922" s="15">
        <f t="shared" si="56"/>
        <v>714</v>
      </c>
      <c r="J922" s="15">
        <f t="shared" si="56"/>
        <v>5</v>
      </c>
      <c r="K922" s="15">
        <f t="shared" si="57"/>
        <v>622</v>
      </c>
      <c r="L922" s="3" t="str">
        <f t="shared" si="58"/>
        <v>Saturday</v>
      </c>
      <c r="M922" s="4" t="str">
        <f t="shared" si="59"/>
        <v>Normal Day</v>
      </c>
      <c r="N922" s="4" t="str">
        <f>TEXT(CleanedData[[#This Row],[DAY]], "mmm yyyy")</f>
        <v>Jul 2024</v>
      </c>
    </row>
    <row r="923" spans="1:14" x14ac:dyDescent="0.3">
      <c r="A923" s="5">
        <v>45500</v>
      </c>
      <c r="B923" s="12">
        <v>1347</v>
      </c>
      <c r="C923" s="12">
        <v>4.5</v>
      </c>
      <c r="D923" s="2" t="s">
        <v>6</v>
      </c>
      <c r="E923" s="2" t="s">
        <v>7</v>
      </c>
      <c r="F923" s="1">
        <v>703</v>
      </c>
      <c r="G923" s="13">
        <v>1236.4805913759021</v>
      </c>
      <c r="H923" s="14" t="b">
        <v>0</v>
      </c>
      <c r="I923" s="15">
        <f t="shared" si="56"/>
        <v>1347</v>
      </c>
      <c r="J923" s="15">
        <f t="shared" si="56"/>
        <v>5</v>
      </c>
      <c r="K923" s="15">
        <f t="shared" si="57"/>
        <v>1236</v>
      </c>
      <c r="L923" s="3" t="str">
        <f t="shared" si="58"/>
        <v>Saturday</v>
      </c>
      <c r="M923" s="4" t="str">
        <f t="shared" si="59"/>
        <v>Normal Day</v>
      </c>
      <c r="N923" s="4" t="str">
        <f>TEXT(CleanedData[[#This Row],[DAY]], "mmm yyyy")</f>
        <v>Jul 2024</v>
      </c>
    </row>
    <row r="924" spans="1:14" x14ac:dyDescent="0.3">
      <c r="A924" s="5">
        <v>45500</v>
      </c>
      <c r="B924" s="12">
        <v>4309.5</v>
      </c>
      <c r="C924" s="12">
        <v>202.5</v>
      </c>
      <c r="D924" s="2" t="s">
        <v>9</v>
      </c>
      <c r="E924" s="2" t="s">
        <v>8</v>
      </c>
      <c r="F924" s="1">
        <v>2092</v>
      </c>
      <c r="G924" s="13">
        <v>3649.3329036217829</v>
      </c>
      <c r="H924" s="14" t="b">
        <v>1</v>
      </c>
      <c r="I924" s="15">
        <f t="shared" si="56"/>
        <v>4310</v>
      </c>
      <c r="J924" s="15">
        <f t="shared" si="56"/>
        <v>203</v>
      </c>
      <c r="K924" s="15">
        <f t="shared" si="57"/>
        <v>3649</v>
      </c>
      <c r="L924" s="3" t="str">
        <f t="shared" si="58"/>
        <v>Saturday</v>
      </c>
      <c r="M924" s="4" t="str">
        <f t="shared" si="59"/>
        <v>Outage Day</v>
      </c>
      <c r="N924" s="4" t="str">
        <f>TEXT(CleanedData[[#This Row],[DAY]], "mmm yyyy")</f>
        <v>Jul 2024</v>
      </c>
    </row>
    <row r="925" spans="1:14" x14ac:dyDescent="0.3">
      <c r="A925" s="5">
        <v>45500</v>
      </c>
      <c r="B925" s="12">
        <v>6795</v>
      </c>
      <c r="C925" s="12">
        <v>55.5</v>
      </c>
      <c r="D925" s="2" t="s">
        <v>10</v>
      </c>
      <c r="E925" s="2" t="s">
        <v>7</v>
      </c>
      <c r="F925" s="1">
        <v>4468</v>
      </c>
      <c r="G925" s="13">
        <v>6040.9639484472827</v>
      </c>
      <c r="H925" s="14" t="b">
        <v>0</v>
      </c>
      <c r="I925" s="15">
        <f t="shared" si="56"/>
        <v>6795</v>
      </c>
      <c r="J925" s="15">
        <f t="shared" si="56"/>
        <v>56</v>
      </c>
      <c r="K925" s="15">
        <f t="shared" si="57"/>
        <v>6041</v>
      </c>
      <c r="L925" s="3" t="str">
        <f t="shared" si="58"/>
        <v>Saturday</v>
      </c>
      <c r="M925" s="4" t="str">
        <f t="shared" si="59"/>
        <v>Normal Day</v>
      </c>
      <c r="N925" s="4" t="str">
        <f>TEXT(CleanedData[[#This Row],[DAY]], "mmm yyyy")</f>
        <v>Jul 2024</v>
      </c>
    </row>
    <row r="926" spans="1:14" x14ac:dyDescent="0.3">
      <c r="A926" s="5">
        <v>45501</v>
      </c>
      <c r="B926" s="12">
        <v>1.5</v>
      </c>
      <c r="C926" s="12">
        <v>1.5</v>
      </c>
      <c r="D926" s="2" t="s">
        <v>10</v>
      </c>
      <c r="E926" s="2" t="s">
        <v>8</v>
      </c>
      <c r="F926" s="1">
        <v>1</v>
      </c>
      <c r="G926" s="13">
        <v>2.4087016584076499</v>
      </c>
      <c r="H926" s="14" t="b">
        <v>0</v>
      </c>
      <c r="I926" s="15">
        <f t="shared" si="56"/>
        <v>2</v>
      </c>
      <c r="J926" s="15">
        <f t="shared" si="56"/>
        <v>2</v>
      </c>
      <c r="K926" s="15">
        <f t="shared" si="57"/>
        <v>2</v>
      </c>
      <c r="L926" s="3" t="str">
        <f t="shared" si="58"/>
        <v>Sunday</v>
      </c>
      <c r="M926" s="4" t="str">
        <f t="shared" si="59"/>
        <v>Normal Day</v>
      </c>
      <c r="N926" s="4" t="str">
        <f>TEXT(CleanedData[[#This Row],[DAY]], "mmm yyyy")</f>
        <v>Jul 2024</v>
      </c>
    </row>
    <row r="927" spans="1:14" x14ac:dyDescent="0.3">
      <c r="A927" s="5">
        <v>45501</v>
      </c>
      <c r="B927" s="12">
        <v>906</v>
      </c>
      <c r="C927" s="12">
        <v>39</v>
      </c>
      <c r="D927" s="2" t="s">
        <v>6</v>
      </c>
      <c r="E927" s="2" t="s">
        <v>8</v>
      </c>
      <c r="F927" s="1">
        <v>327</v>
      </c>
      <c r="G927" s="13">
        <v>777.79962308605911</v>
      </c>
      <c r="H927" s="14" t="b">
        <v>0</v>
      </c>
      <c r="I927" s="15">
        <f t="shared" si="56"/>
        <v>906</v>
      </c>
      <c r="J927" s="15">
        <f t="shared" si="56"/>
        <v>39</v>
      </c>
      <c r="K927" s="15">
        <f t="shared" si="57"/>
        <v>778</v>
      </c>
      <c r="L927" s="3" t="str">
        <f t="shared" si="58"/>
        <v>Sunday</v>
      </c>
      <c r="M927" s="4" t="str">
        <f t="shared" si="59"/>
        <v>Normal Day</v>
      </c>
      <c r="N927" s="4" t="str">
        <f>TEXT(CleanedData[[#This Row],[DAY]], "mmm yyyy")</f>
        <v>Jul 2024</v>
      </c>
    </row>
    <row r="928" spans="1:14" x14ac:dyDescent="0.3">
      <c r="A928" s="5">
        <v>45501</v>
      </c>
      <c r="B928" s="12">
        <v>1342.5</v>
      </c>
      <c r="C928" s="12">
        <v>39</v>
      </c>
      <c r="D928" s="2" t="s">
        <v>6</v>
      </c>
      <c r="E928" s="2" t="s">
        <v>7</v>
      </c>
      <c r="F928" s="1">
        <v>108</v>
      </c>
      <c r="G928" s="13">
        <v>1266.0114108495175</v>
      </c>
      <c r="H928" s="14" t="b">
        <v>0</v>
      </c>
      <c r="I928" s="15">
        <f t="shared" si="56"/>
        <v>1343</v>
      </c>
      <c r="J928" s="15">
        <f t="shared" si="56"/>
        <v>39</v>
      </c>
      <c r="K928" s="15">
        <f t="shared" si="57"/>
        <v>1266</v>
      </c>
      <c r="L928" s="3" t="str">
        <f t="shared" si="58"/>
        <v>Sunday</v>
      </c>
      <c r="M928" s="4" t="str">
        <f t="shared" si="59"/>
        <v>Normal Day</v>
      </c>
      <c r="N928" s="4" t="str">
        <f>TEXT(CleanedData[[#This Row],[DAY]], "mmm yyyy")</f>
        <v>Jul 2024</v>
      </c>
    </row>
    <row r="929" spans="1:14" x14ac:dyDescent="0.3">
      <c r="A929" s="5">
        <v>45501</v>
      </c>
      <c r="B929" s="12">
        <v>3664.5</v>
      </c>
      <c r="C929" s="12">
        <v>132</v>
      </c>
      <c r="D929" s="2" t="s">
        <v>9</v>
      </c>
      <c r="E929" s="2" t="s">
        <v>8</v>
      </c>
      <c r="F929" s="1">
        <v>2254</v>
      </c>
      <c r="G929" s="13">
        <v>3180.1840646953569</v>
      </c>
      <c r="H929" s="14" t="b">
        <v>0</v>
      </c>
      <c r="I929" s="15">
        <f t="shared" si="56"/>
        <v>3665</v>
      </c>
      <c r="J929" s="15">
        <f t="shared" si="56"/>
        <v>132</v>
      </c>
      <c r="K929" s="15">
        <f t="shared" si="57"/>
        <v>3180</v>
      </c>
      <c r="L929" s="3" t="str">
        <f t="shared" si="58"/>
        <v>Sunday</v>
      </c>
      <c r="M929" s="4" t="str">
        <f t="shared" si="59"/>
        <v>Normal Day</v>
      </c>
      <c r="N929" s="4" t="str">
        <f>TEXT(CleanedData[[#This Row],[DAY]], "mmm yyyy")</f>
        <v>Jul 2024</v>
      </c>
    </row>
    <row r="930" spans="1:14" x14ac:dyDescent="0.3">
      <c r="A930" s="5">
        <v>45501</v>
      </c>
      <c r="B930" s="12">
        <v>9175.5</v>
      </c>
      <c r="C930" s="12">
        <v>628.5</v>
      </c>
      <c r="D930" s="2" t="s">
        <v>10</v>
      </c>
      <c r="E930" s="2" t="s">
        <v>7</v>
      </c>
      <c r="F930" s="1">
        <v>5630</v>
      </c>
      <c r="G930" s="13">
        <v>8889.9194966219238</v>
      </c>
      <c r="H930" s="14" t="b">
        <v>0</v>
      </c>
      <c r="I930" s="15">
        <f t="shared" si="56"/>
        <v>9176</v>
      </c>
      <c r="J930" s="15">
        <f t="shared" si="56"/>
        <v>629</v>
      </c>
      <c r="K930" s="15">
        <f t="shared" si="57"/>
        <v>8890</v>
      </c>
      <c r="L930" s="3" t="str">
        <f t="shared" si="58"/>
        <v>Sunday</v>
      </c>
      <c r="M930" s="4" t="str">
        <f t="shared" si="59"/>
        <v>Normal Day</v>
      </c>
      <c r="N930" s="4" t="str">
        <f>TEXT(CleanedData[[#This Row],[DAY]], "mmm yyyy")</f>
        <v>Jul 2024</v>
      </c>
    </row>
    <row r="931" spans="1:14" x14ac:dyDescent="0.3">
      <c r="A931" s="5">
        <v>45502</v>
      </c>
      <c r="B931" s="12">
        <v>1030.5</v>
      </c>
      <c r="C931" s="12">
        <v>91.5</v>
      </c>
      <c r="D931" s="2" t="s">
        <v>6</v>
      </c>
      <c r="E931" s="2" t="s">
        <v>8</v>
      </c>
      <c r="F931" s="1">
        <v>58</v>
      </c>
      <c r="G931" s="13">
        <v>918.78472837899255</v>
      </c>
      <c r="H931" s="14" t="b">
        <v>0</v>
      </c>
      <c r="I931" s="15">
        <f t="shared" si="56"/>
        <v>1031</v>
      </c>
      <c r="J931" s="15">
        <f t="shared" si="56"/>
        <v>92</v>
      </c>
      <c r="K931" s="15">
        <f t="shared" si="57"/>
        <v>919</v>
      </c>
      <c r="L931" s="3" t="str">
        <f t="shared" si="58"/>
        <v>Monday</v>
      </c>
      <c r="M931" s="4" t="str">
        <f t="shared" si="59"/>
        <v>Normal Day</v>
      </c>
      <c r="N931" s="4" t="str">
        <f>TEXT(CleanedData[[#This Row],[DAY]], "mmm yyyy")</f>
        <v>Jul 2024</v>
      </c>
    </row>
    <row r="932" spans="1:14" x14ac:dyDescent="0.3">
      <c r="A932" s="5">
        <v>45502</v>
      </c>
      <c r="B932" s="12">
        <v>1848</v>
      </c>
      <c r="C932" s="12">
        <v>91.5</v>
      </c>
      <c r="D932" s="2" t="s">
        <v>6</v>
      </c>
      <c r="E932" s="2" t="s">
        <v>7</v>
      </c>
      <c r="F932" s="1">
        <v>284</v>
      </c>
      <c r="G932" s="13">
        <v>1692.2290405888371</v>
      </c>
      <c r="H932" s="14" t="b">
        <v>0</v>
      </c>
      <c r="I932" s="15">
        <f t="shared" si="56"/>
        <v>1848</v>
      </c>
      <c r="J932" s="15">
        <f t="shared" si="56"/>
        <v>92</v>
      </c>
      <c r="K932" s="15">
        <f t="shared" si="57"/>
        <v>1692</v>
      </c>
      <c r="L932" s="3" t="str">
        <f t="shared" si="58"/>
        <v>Monday</v>
      </c>
      <c r="M932" s="4" t="str">
        <f t="shared" si="59"/>
        <v>Normal Day</v>
      </c>
      <c r="N932" s="4" t="str">
        <f>TEXT(CleanedData[[#This Row],[DAY]], "mmm yyyy")</f>
        <v>Jul 2024</v>
      </c>
    </row>
    <row r="933" spans="1:14" x14ac:dyDescent="0.3">
      <c r="A933" s="5">
        <v>45502</v>
      </c>
      <c r="B933" s="12">
        <v>3187.5</v>
      </c>
      <c r="C933" s="12">
        <v>84</v>
      </c>
      <c r="D933" s="2" t="s">
        <v>9</v>
      </c>
      <c r="E933" s="2" t="s">
        <v>8</v>
      </c>
      <c r="F933" s="1">
        <v>249</v>
      </c>
      <c r="G933" s="13">
        <v>2782.5494384719736</v>
      </c>
      <c r="H933" s="14" t="b">
        <v>0</v>
      </c>
      <c r="I933" s="15">
        <f t="shared" si="56"/>
        <v>3188</v>
      </c>
      <c r="J933" s="15">
        <f t="shared" si="56"/>
        <v>84</v>
      </c>
      <c r="K933" s="15">
        <f t="shared" si="57"/>
        <v>2783</v>
      </c>
      <c r="L933" s="3" t="str">
        <f t="shared" si="58"/>
        <v>Monday</v>
      </c>
      <c r="M933" s="4" t="str">
        <f t="shared" si="59"/>
        <v>Normal Day</v>
      </c>
      <c r="N933" s="4" t="str">
        <f>TEXT(CleanedData[[#This Row],[DAY]], "mmm yyyy")</f>
        <v>Jul 2024</v>
      </c>
    </row>
    <row r="934" spans="1:14" x14ac:dyDescent="0.3">
      <c r="A934" s="5">
        <v>45502</v>
      </c>
      <c r="B934" s="12">
        <v>8199</v>
      </c>
      <c r="C934" s="12">
        <v>477</v>
      </c>
      <c r="D934" s="2" t="s">
        <v>10</v>
      </c>
      <c r="E934" s="2" t="s">
        <v>7</v>
      </c>
      <c r="F934" s="1">
        <v>5306</v>
      </c>
      <c r="G934" s="13">
        <v>7805.4354824382617</v>
      </c>
      <c r="H934" s="14" t="b">
        <v>0</v>
      </c>
      <c r="I934" s="15">
        <f t="shared" si="56"/>
        <v>8199</v>
      </c>
      <c r="J934" s="15">
        <f t="shared" si="56"/>
        <v>477</v>
      </c>
      <c r="K934" s="15">
        <f t="shared" si="57"/>
        <v>7805</v>
      </c>
      <c r="L934" s="3" t="str">
        <f t="shared" si="58"/>
        <v>Monday</v>
      </c>
      <c r="M934" s="4" t="str">
        <f t="shared" si="59"/>
        <v>Normal Day</v>
      </c>
      <c r="N934" s="4" t="str">
        <f>TEXT(CleanedData[[#This Row],[DAY]], "mmm yyyy")</f>
        <v>Jul 2024</v>
      </c>
    </row>
    <row r="935" spans="1:14" x14ac:dyDescent="0.3">
      <c r="A935" s="5">
        <v>45503</v>
      </c>
      <c r="B935" s="12">
        <v>499.5</v>
      </c>
      <c r="C935" s="12">
        <v>46.5</v>
      </c>
      <c r="D935" s="2" t="s">
        <v>6</v>
      </c>
      <c r="E935" s="2" t="s">
        <v>8</v>
      </c>
      <c r="F935" s="1">
        <v>310</v>
      </c>
      <c r="G935" s="13">
        <v>456.73141537068642</v>
      </c>
      <c r="H935" s="14" t="b">
        <v>0</v>
      </c>
      <c r="I935" s="15">
        <f t="shared" si="56"/>
        <v>500</v>
      </c>
      <c r="J935" s="15">
        <f t="shared" si="56"/>
        <v>47</v>
      </c>
      <c r="K935" s="15">
        <f t="shared" si="57"/>
        <v>457</v>
      </c>
      <c r="L935" s="3" t="str">
        <f t="shared" si="58"/>
        <v>Tuesday</v>
      </c>
      <c r="M935" s="4" t="str">
        <f t="shared" si="59"/>
        <v>Normal Day</v>
      </c>
      <c r="N935" s="4" t="str">
        <f>TEXT(CleanedData[[#This Row],[DAY]], "mmm yyyy")</f>
        <v>Jul 2024</v>
      </c>
    </row>
    <row r="936" spans="1:14" x14ac:dyDescent="0.3">
      <c r="A936" s="5">
        <v>45503</v>
      </c>
      <c r="B936" s="12">
        <v>997.5</v>
      </c>
      <c r="C936" s="12">
        <v>46.5</v>
      </c>
      <c r="D936" s="2" t="s">
        <v>6</v>
      </c>
      <c r="E936" s="2" t="s">
        <v>7</v>
      </c>
      <c r="F936" s="1">
        <v>84</v>
      </c>
      <c r="G936" s="13">
        <v>957.45791805726856</v>
      </c>
      <c r="H936" s="14" t="b">
        <v>0</v>
      </c>
      <c r="I936" s="15">
        <f t="shared" si="56"/>
        <v>998</v>
      </c>
      <c r="J936" s="15">
        <f t="shared" si="56"/>
        <v>47</v>
      </c>
      <c r="K936" s="15">
        <f t="shared" si="57"/>
        <v>957</v>
      </c>
      <c r="L936" s="3" t="str">
        <f t="shared" si="58"/>
        <v>Tuesday</v>
      </c>
      <c r="M936" s="4" t="str">
        <f t="shared" si="59"/>
        <v>Normal Day</v>
      </c>
      <c r="N936" s="4" t="str">
        <f>TEXT(CleanedData[[#This Row],[DAY]], "mmm yyyy")</f>
        <v>Jul 2024</v>
      </c>
    </row>
    <row r="937" spans="1:14" x14ac:dyDescent="0.3">
      <c r="A937" s="5">
        <v>45503</v>
      </c>
      <c r="B937" s="12">
        <v>3952.5</v>
      </c>
      <c r="C937" s="12">
        <v>84</v>
      </c>
      <c r="D937" s="2" t="s">
        <v>9</v>
      </c>
      <c r="E937" s="2" t="s">
        <v>8</v>
      </c>
      <c r="F937" s="1">
        <v>608</v>
      </c>
      <c r="G937" s="13">
        <v>3303.9801864988622</v>
      </c>
      <c r="H937" s="14" t="b">
        <v>0</v>
      </c>
      <c r="I937" s="15">
        <f t="shared" si="56"/>
        <v>3953</v>
      </c>
      <c r="J937" s="15">
        <f t="shared" si="56"/>
        <v>84</v>
      </c>
      <c r="K937" s="15">
        <f t="shared" si="57"/>
        <v>3304</v>
      </c>
      <c r="L937" s="3" t="str">
        <f t="shared" si="58"/>
        <v>Tuesday</v>
      </c>
      <c r="M937" s="4" t="str">
        <f t="shared" si="59"/>
        <v>Normal Day</v>
      </c>
      <c r="N937" s="4" t="str">
        <f>TEXT(CleanedData[[#This Row],[DAY]], "mmm yyyy")</f>
        <v>Jul 2024</v>
      </c>
    </row>
    <row r="938" spans="1:14" x14ac:dyDescent="0.3">
      <c r="A938" s="5">
        <v>45503</v>
      </c>
      <c r="B938" s="12">
        <v>7527</v>
      </c>
      <c r="C938" s="12">
        <v>244.5</v>
      </c>
      <c r="D938" s="2" t="s">
        <v>10</v>
      </c>
      <c r="E938" s="2" t="s">
        <v>7</v>
      </c>
      <c r="F938" s="1">
        <v>4358</v>
      </c>
      <c r="G938" s="13">
        <v>7097.1144361316028</v>
      </c>
      <c r="H938" s="14" t="b">
        <v>0</v>
      </c>
      <c r="I938" s="15">
        <f t="shared" si="56"/>
        <v>7527</v>
      </c>
      <c r="J938" s="15">
        <f t="shared" si="56"/>
        <v>245</v>
      </c>
      <c r="K938" s="15">
        <f t="shared" si="57"/>
        <v>7097</v>
      </c>
      <c r="L938" s="3" t="str">
        <f t="shared" si="58"/>
        <v>Tuesday</v>
      </c>
      <c r="M938" s="4" t="str">
        <f t="shared" si="59"/>
        <v>Normal Day</v>
      </c>
      <c r="N938" s="4" t="str">
        <f>TEXT(CleanedData[[#This Row],[DAY]], "mmm yyyy")</f>
        <v>Jul 2024</v>
      </c>
    </row>
    <row r="939" spans="1:14" x14ac:dyDescent="0.3">
      <c r="A939" s="5">
        <v>45504</v>
      </c>
      <c r="B939" s="12">
        <v>1003.5</v>
      </c>
      <c r="C939" s="12">
        <v>45</v>
      </c>
      <c r="D939" s="2" t="s">
        <v>6</v>
      </c>
      <c r="E939" s="2" t="s">
        <v>8</v>
      </c>
      <c r="F939" s="1">
        <v>163</v>
      </c>
      <c r="G939" s="13">
        <v>859.92766436942611</v>
      </c>
      <c r="H939" s="14" t="b">
        <v>0</v>
      </c>
      <c r="I939" s="15">
        <f t="shared" si="56"/>
        <v>1004</v>
      </c>
      <c r="J939" s="15">
        <f t="shared" si="56"/>
        <v>45</v>
      </c>
      <c r="K939" s="15">
        <f t="shared" si="57"/>
        <v>860</v>
      </c>
      <c r="L939" s="3" t="str">
        <f t="shared" si="58"/>
        <v>Wednesday</v>
      </c>
      <c r="M939" s="4" t="str">
        <f t="shared" si="59"/>
        <v>Normal Day</v>
      </c>
      <c r="N939" s="4" t="str">
        <f>TEXT(CleanedData[[#This Row],[DAY]], "mmm yyyy")</f>
        <v>Jul 2024</v>
      </c>
    </row>
    <row r="940" spans="1:14" x14ac:dyDescent="0.3">
      <c r="A940" s="5">
        <v>45504</v>
      </c>
      <c r="B940" s="12">
        <v>1423.5</v>
      </c>
      <c r="C940" s="12">
        <v>45</v>
      </c>
      <c r="D940" s="2" t="s">
        <v>6</v>
      </c>
      <c r="E940" s="2" t="s">
        <v>7</v>
      </c>
      <c r="F940" s="1">
        <v>636</v>
      </c>
      <c r="G940" s="13">
        <v>1333.8323436994026</v>
      </c>
      <c r="H940" s="14" t="b">
        <v>0</v>
      </c>
      <c r="I940" s="15">
        <f t="shared" si="56"/>
        <v>1424</v>
      </c>
      <c r="J940" s="15">
        <f t="shared" si="56"/>
        <v>45</v>
      </c>
      <c r="K940" s="15">
        <f t="shared" si="57"/>
        <v>1334</v>
      </c>
      <c r="L940" s="3" t="str">
        <f t="shared" si="58"/>
        <v>Wednesday</v>
      </c>
      <c r="M940" s="4" t="str">
        <f t="shared" si="59"/>
        <v>Normal Day</v>
      </c>
      <c r="N940" s="4" t="str">
        <f>TEXT(CleanedData[[#This Row],[DAY]], "mmm yyyy")</f>
        <v>Jul 2024</v>
      </c>
    </row>
    <row r="941" spans="1:14" x14ac:dyDescent="0.3">
      <c r="A941" s="5">
        <v>45504</v>
      </c>
      <c r="B941" s="12">
        <v>2796</v>
      </c>
      <c r="C941" s="12">
        <v>21</v>
      </c>
      <c r="D941" s="2" t="s">
        <v>9</v>
      </c>
      <c r="E941" s="2" t="s">
        <v>8</v>
      </c>
      <c r="F941" s="1">
        <v>938</v>
      </c>
      <c r="G941" s="13">
        <v>2426.5263057555021</v>
      </c>
      <c r="H941" s="14" t="b">
        <v>0</v>
      </c>
      <c r="I941" s="15">
        <f t="shared" si="56"/>
        <v>2796</v>
      </c>
      <c r="J941" s="15">
        <f t="shared" si="56"/>
        <v>21</v>
      </c>
      <c r="K941" s="15">
        <f t="shared" si="57"/>
        <v>2427</v>
      </c>
      <c r="L941" s="3" t="str">
        <f t="shared" si="58"/>
        <v>Wednesday</v>
      </c>
      <c r="M941" s="4" t="str">
        <f t="shared" si="59"/>
        <v>Normal Day</v>
      </c>
      <c r="N941" s="4" t="str">
        <f>TEXT(CleanedData[[#This Row],[DAY]], "mmm yyyy")</f>
        <v>Jul 2024</v>
      </c>
    </row>
    <row r="942" spans="1:14" x14ac:dyDescent="0.3">
      <c r="A942" s="5">
        <v>45504</v>
      </c>
      <c r="B942" s="12">
        <v>7231.5</v>
      </c>
      <c r="C942" s="12">
        <v>100.5</v>
      </c>
      <c r="D942" s="2" t="s">
        <v>10</v>
      </c>
      <c r="E942" s="2" t="s">
        <v>7</v>
      </c>
      <c r="F942" s="1">
        <v>4321</v>
      </c>
      <c r="G942" s="13">
        <v>6535.5870942577758</v>
      </c>
      <c r="H942" s="14" t="b">
        <v>0</v>
      </c>
      <c r="I942" s="15">
        <f t="shared" si="56"/>
        <v>7232</v>
      </c>
      <c r="J942" s="15">
        <f t="shared" si="56"/>
        <v>101</v>
      </c>
      <c r="K942" s="15">
        <f t="shared" si="57"/>
        <v>6536</v>
      </c>
      <c r="L942" s="3" t="str">
        <f t="shared" si="58"/>
        <v>Wednesday</v>
      </c>
      <c r="M942" s="4" t="str">
        <f t="shared" si="59"/>
        <v>Normal Day</v>
      </c>
      <c r="N942" s="4" t="str">
        <f>TEXT(CleanedData[[#This Row],[DAY]], "mmm yyyy")</f>
        <v>Jul 2024</v>
      </c>
    </row>
    <row r="943" spans="1:14" x14ac:dyDescent="0.3">
      <c r="A943" s="5">
        <v>45505</v>
      </c>
      <c r="B943" s="12">
        <v>1221</v>
      </c>
      <c r="C943" s="12">
        <v>73.5</v>
      </c>
      <c r="D943" s="2" t="s">
        <v>6</v>
      </c>
      <c r="E943" s="2" t="s">
        <v>8</v>
      </c>
      <c r="F943" s="1">
        <v>674</v>
      </c>
      <c r="G943" s="13">
        <v>1056.1378406460033</v>
      </c>
      <c r="H943" s="14" t="b">
        <v>0</v>
      </c>
      <c r="I943" s="15">
        <f t="shared" si="56"/>
        <v>1221</v>
      </c>
      <c r="J943" s="15">
        <f t="shared" si="56"/>
        <v>74</v>
      </c>
      <c r="K943" s="15">
        <f t="shared" si="57"/>
        <v>1056</v>
      </c>
      <c r="L943" s="3" t="str">
        <f t="shared" si="58"/>
        <v>Thursday</v>
      </c>
      <c r="M943" s="4" t="str">
        <f t="shared" si="59"/>
        <v>Normal Day</v>
      </c>
      <c r="N943" s="4" t="str">
        <f>TEXT(CleanedData[[#This Row],[DAY]], "mmm yyyy")</f>
        <v>Aug 2024</v>
      </c>
    </row>
    <row r="944" spans="1:14" x14ac:dyDescent="0.3">
      <c r="A944" s="5">
        <v>45505</v>
      </c>
      <c r="B944" s="12">
        <v>1453.5</v>
      </c>
      <c r="C944" s="12">
        <v>73.5</v>
      </c>
      <c r="D944" s="2" t="s">
        <v>6</v>
      </c>
      <c r="E944" s="2" t="s">
        <v>7</v>
      </c>
      <c r="F944" s="1">
        <v>734</v>
      </c>
      <c r="G944" s="13">
        <v>1332.3381135660179</v>
      </c>
      <c r="H944" s="14" t="b">
        <v>0</v>
      </c>
      <c r="I944" s="15">
        <f t="shared" si="56"/>
        <v>1454</v>
      </c>
      <c r="J944" s="15">
        <f t="shared" si="56"/>
        <v>74</v>
      </c>
      <c r="K944" s="15">
        <f t="shared" si="57"/>
        <v>1332</v>
      </c>
      <c r="L944" s="3" t="str">
        <f t="shared" si="58"/>
        <v>Thursday</v>
      </c>
      <c r="M944" s="4" t="str">
        <f t="shared" si="59"/>
        <v>Normal Day</v>
      </c>
      <c r="N944" s="4" t="str">
        <f>TEXT(CleanedData[[#This Row],[DAY]], "mmm yyyy")</f>
        <v>Aug 2024</v>
      </c>
    </row>
    <row r="945" spans="1:14" x14ac:dyDescent="0.3">
      <c r="A945" s="5">
        <v>45505</v>
      </c>
      <c r="B945" s="12">
        <v>2823</v>
      </c>
      <c r="C945" s="12">
        <v>39</v>
      </c>
      <c r="D945" s="2" t="s">
        <v>9</v>
      </c>
      <c r="E945" s="2" t="s">
        <v>8</v>
      </c>
      <c r="F945" s="1">
        <v>775</v>
      </c>
      <c r="G945" s="13">
        <v>2340.985932505147</v>
      </c>
      <c r="H945" s="14" t="b">
        <v>0</v>
      </c>
      <c r="I945" s="15">
        <f t="shared" si="56"/>
        <v>2823</v>
      </c>
      <c r="J945" s="15">
        <f t="shared" si="56"/>
        <v>39</v>
      </c>
      <c r="K945" s="15">
        <f t="shared" si="57"/>
        <v>2341</v>
      </c>
      <c r="L945" s="3" t="str">
        <f t="shared" si="58"/>
        <v>Thursday</v>
      </c>
      <c r="M945" s="4" t="str">
        <f t="shared" si="59"/>
        <v>Normal Day</v>
      </c>
      <c r="N945" s="4" t="str">
        <f>TEXT(CleanedData[[#This Row],[DAY]], "mmm yyyy")</f>
        <v>Aug 2024</v>
      </c>
    </row>
    <row r="946" spans="1:14" x14ac:dyDescent="0.3">
      <c r="A946" s="5">
        <v>45505</v>
      </c>
      <c r="B946" s="12">
        <v>6370.5</v>
      </c>
      <c r="C946" s="12">
        <v>307.5</v>
      </c>
      <c r="D946" s="2" t="s">
        <v>10</v>
      </c>
      <c r="E946" s="2" t="s">
        <v>7</v>
      </c>
      <c r="F946" s="1">
        <v>4103</v>
      </c>
      <c r="G946" s="13">
        <v>6210.9054690045614</v>
      </c>
      <c r="H946" s="14" t="b">
        <v>0</v>
      </c>
      <c r="I946" s="15">
        <f t="shared" si="56"/>
        <v>6371</v>
      </c>
      <c r="J946" s="15">
        <f t="shared" si="56"/>
        <v>308</v>
      </c>
      <c r="K946" s="15">
        <f t="shared" si="57"/>
        <v>6211</v>
      </c>
      <c r="L946" s="3" t="str">
        <f t="shared" si="58"/>
        <v>Thursday</v>
      </c>
      <c r="M946" s="4" t="str">
        <f t="shared" si="59"/>
        <v>Normal Day</v>
      </c>
      <c r="N946" s="4" t="str">
        <f>TEXT(CleanedData[[#This Row],[DAY]], "mmm yyyy")</f>
        <v>Aug 2024</v>
      </c>
    </row>
    <row r="947" spans="1:14" x14ac:dyDescent="0.3">
      <c r="A947" s="5">
        <v>45506</v>
      </c>
      <c r="B947" s="12">
        <v>1.5</v>
      </c>
      <c r="C947" s="12">
        <v>1.5</v>
      </c>
      <c r="D947" s="2" t="s">
        <v>10</v>
      </c>
      <c r="E947" s="2" t="s">
        <v>8</v>
      </c>
      <c r="F947" s="1">
        <v>1</v>
      </c>
      <c r="G947" s="13">
        <v>2.6059794474164582</v>
      </c>
      <c r="H947" s="14" t="b">
        <v>0</v>
      </c>
      <c r="I947" s="15">
        <f t="shared" si="56"/>
        <v>2</v>
      </c>
      <c r="J947" s="15">
        <f t="shared" si="56"/>
        <v>2</v>
      </c>
      <c r="K947" s="15">
        <f t="shared" si="57"/>
        <v>3</v>
      </c>
      <c r="L947" s="3" t="str">
        <f t="shared" si="58"/>
        <v>Friday</v>
      </c>
      <c r="M947" s="4" t="str">
        <f t="shared" si="59"/>
        <v>Normal Day</v>
      </c>
      <c r="N947" s="4" t="str">
        <f>TEXT(CleanedData[[#This Row],[DAY]], "mmm yyyy")</f>
        <v>Aug 2024</v>
      </c>
    </row>
    <row r="948" spans="1:14" x14ac:dyDescent="0.3">
      <c r="A948" s="5">
        <v>45506</v>
      </c>
      <c r="B948" s="12">
        <v>1345.5</v>
      </c>
      <c r="C948" s="12">
        <v>141</v>
      </c>
      <c r="D948" s="2" t="s">
        <v>6</v>
      </c>
      <c r="E948" s="2" t="s">
        <v>8</v>
      </c>
      <c r="F948" s="1">
        <v>178</v>
      </c>
      <c r="G948" s="13">
        <v>1229.1959197550727</v>
      </c>
      <c r="H948" s="14" t="b">
        <v>0</v>
      </c>
      <c r="I948" s="15">
        <f t="shared" si="56"/>
        <v>1346</v>
      </c>
      <c r="J948" s="15">
        <f t="shared" si="56"/>
        <v>141</v>
      </c>
      <c r="K948" s="15">
        <f t="shared" si="57"/>
        <v>1229</v>
      </c>
      <c r="L948" s="3" t="str">
        <f t="shared" si="58"/>
        <v>Friday</v>
      </c>
      <c r="M948" s="4" t="str">
        <f t="shared" si="59"/>
        <v>Normal Day</v>
      </c>
      <c r="N948" s="4" t="str">
        <f>TEXT(CleanedData[[#This Row],[DAY]], "mmm yyyy")</f>
        <v>Aug 2024</v>
      </c>
    </row>
    <row r="949" spans="1:14" x14ac:dyDescent="0.3">
      <c r="A949" s="5">
        <v>45506</v>
      </c>
      <c r="B949" s="12">
        <v>2089.5</v>
      </c>
      <c r="C949" s="12">
        <v>141</v>
      </c>
      <c r="D949" s="2" t="s">
        <v>6</v>
      </c>
      <c r="E949" s="2" t="s">
        <v>7</v>
      </c>
      <c r="F949" s="1">
        <v>1246</v>
      </c>
      <c r="G949" s="13">
        <v>2093.3750843027065</v>
      </c>
      <c r="H949" s="14" t="b">
        <v>0</v>
      </c>
      <c r="I949" s="15">
        <f t="shared" si="56"/>
        <v>2090</v>
      </c>
      <c r="J949" s="15">
        <f t="shared" si="56"/>
        <v>141</v>
      </c>
      <c r="K949" s="15">
        <f t="shared" si="57"/>
        <v>2093</v>
      </c>
      <c r="L949" s="3" t="str">
        <f t="shared" si="58"/>
        <v>Friday</v>
      </c>
      <c r="M949" s="4" t="str">
        <f t="shared" si="59"/>
        <v>Normal Day</v>
      </c>
      <c r="N949" s="4" t="str">
        <f>TEXT(CleanedData[[#This Row],[DAY]], "mmm yyyy")</f>
        <v>Aug 2024</v>
      </c>
    </row>
    <row r="950" spans="1:14" x14ac:dyDescent="0.3">
      <c r="A950" s="5">
        <v>45506</v>
      </c>
      <c r="B950" s="12">
        <v>4173</v>
      </c>
      <c r="C950" s="12">
        <v>82.5</v>
      </c>
      <c r="D950" s="2" t="s">
        <v>9</v>
      </c>
      <c r="E950" s="2" t="s">
        <v>8</v>
      </c>
      <c r="F950" s="1">
        <v>404</v>
      </c>
      <c r="G950" s="13">
        <v>3671.8968347561572</v>
      </c>
      <c r="H950" s="14" t="b">
        <v>0</v>
      </c>
      <c r="I950" s="15">
        <f t="shared" si="56"/>
        <v>4173</v>
      </c>
      <c r="J950" s="15">
        <f t="shared" si="56"/>
        <v>83</v>
      </c>
      <c r="K950" s="15">
        <f t="shared" si="57"/>
        <v>3672</v>
      </c>
      <c r="L950" s="3" t="str">
        <f t="shared" si="58"/>
        <v>Friday</v>
      </c>
      <c r="M950" s="4" t="str">
        <f t="shared" si="59"/>
        <v>Normal Day</v>
      </c>
      <c r="N950" s="4" t="str">
        <f>TEXT(CleanedData[[#This Row],[DAY]], "mmm yyyy")</f>
        <v>Aug 2024</v>
      </c>
    </row>
    <row r="951" spans="1:14" x14ac:dyDescent="0.3">
      <c r="A951" s="5">
        <v>45506</v>
      </c>
      <c r="B951" s="12">
        <v>6138</v>
      </c>
      <c r="C951" s="12">
        <v>93</v>
      </c>
      <c r="D951" s="2" t="s">
        <v>10</v>
      </c>
      <c r="E951" s="2" t="s">
        <v>7</v>
      </c>
      <c r="F951" s="1">
        <v>2641</v>
      </c>
      <c r="G951" s="13">
        <v>5487.7100438751304</v>
      </c>
      <c r="H951" s="14" t="b">
        <v>0</v>
      </c>
      <c r="I951" s="15">
        <f t="shared" si="56"/>
        <v>6138</v>
      </c>
      <c r="J951" s="15">
        <f t="shared" si="56"/>
        <v>93</v>
      </c>
      <c r="K951" s="15">
        <f t="shared" si="57"/>
        <v>5488</v>
      </c>
      <c r="L951" s="3" t="str">
        <f t="shared" si="58"/>
        <v>Friday</v>
      </c>
      <c r="M951" s="4" t="str">
        <f t="shared" si="59"/>
        <v>Normal Day</v>
      </c>
      <c r="N951" s="4" t="str">
        <f>TEXT(CleanedData[[#This Row],[DAY]], "mmm yyyy")</f>
        <v>Aug 2024</v>
      </c>
    </row>
    <row r="952" spans="1:14" x14ac:dyDescent="0.3">
      <c r="A952" s="5">
        <v>45507</v>
      </c>
      <c r="B952" s="12">
        <v>1212</v>
      </c>
      <c r="C952" s="12">
        <v>60</v>
      </c>
      <c r="D952" s="2" t="s">
        <v>6</v>
      </c>
      <c r="E952" s="2" t="s">
        <v>8</v>
      </c>
      <c r="F952" s="1">
        <v>688</v>
      </c>
      <c r="G952" s="13">
        <v>1113.3473319672107</v>
      </c>
      <c r="H952" s="14" t="b">
        <v>0</v>
      </c>
      <c r="I952" s="15">
        <f t="shared" si="56"/>
        <v>1212</v>
      </c>
      <c r="J952" s="15">
        <f t="shared" si="56"/>
        <v>60</v>
      </c>
      <c r="K952" s="15">
        <f t="shared" si="57"/>
        <v>1113</v>
      </c>
      <c r="L952" s="3" t="str">
        <f t="shared" si="58"/>
        <v>Saturday</v>
      </c>
      <c r="M952" s="4" t="str">
        <f t="shared" si="59"/>
        <v>Normal Day</v>
      </c>
      <c r="N952" s="4" t="str">
        <f>TEXT(CleanedData[[#This Row],[DAY]], "mmm yyyy")</f>
        <v>Aug 2024</v>
      </c>
    </row>
    <row r="953" spans="1:14" x14ac:dyDescent="0.3">
      <c r="A953" s="5">
        <v>45507</v>
      </c>
      <c r="B953" s="12">
        <v>1602</v>
      </c>
      <c r="C953" s="12">
        <v>60</v>
      </c>
      <c r="D953" s="2" t="s">
        <v>6</v>
      </c>
      <c r="E953" s="2" t="s">
        <v>7</v>
      </c>
      <c r="F953" s="1">
        <v>935</v>
      </c>
      <c r="G953" s="13">
        <v>1453.6440995974876</v>
      </c>
      <c r="H953" s="14" t="b">
        <v>0</v>
      </c>
      <c r="I953" s="15">
        <f t="shared" si="56"/>
        <v>1602</v>
      </c>
      <c r="J953" s="15">
        <f t="shared" si="56"/>
        <v>60</v>
      </c>
      <c r="K953" s="15">
        <f t="shared" si="57"/>
        <v>1454</v>
      </c>
      <c r="L953" s="3" t="str">
        <f t="shared" si="58"/>
        <v>Saturday</v>
      </c>
      <c r="M953" s="4" t="str">
        <f t="shared" si="59"/>
        <v>Normal Day</v>
      </c>
      <c r="N953" s="4" t="str">
        <f>TEXT(CleanedData[[#This Row],[DAY]], "mmm yyyy")</f>
        <v>Aug 2024</v>
      </c>
    </row>
    <row r="954" spans="1:14" x14ac:dyDescent="0.3">
      <c r="A954" s="5">
        <v>45507</v>
      </c>
      <c r="B954" s="12">
        <v>4099.5</v>
      </c>
      <c r="C954" s="12">
        <v>31.5</v>
      </c>
      <c r="D954" s="2" t="s">
        <v>9</v>
      </c>
      <c r="E954" s="2" t="s">
        <v>8</v>
      </c>
      <c r="F954" s="1">
        <v>2703</v>
      </c>
      <c r="G954" s="13">
        <v>3563.604620157932</v>
      </c>
      <c r="H954" s="14" t="b">
        <v>0</v>
      </c>
      <c r="I954" s="15">
        <f t="shared" si="56"/>
        <v>4100</v>
      </c>
      <c r="J954" s="15">
        <f t="shared" si="56"/>
        <v>32</v>
      </c>
      <c r="K954" s="15">
        <f t="shared" si="57"/>
        <v>3564</v>
      </c>
      <c r="L954" s="3" t="str">
        <f t="shared" si="58"/>
        <v>Saturday</v>
      </c>
      <c r="M954" s="4" t="str">
        <f t="shared" si="59"/>
        <v>Normal Day</v>
      </c>
      <c r="N954" s="4" t="str">
        <f>TEXT(CleanedData[[#This Row],[DAY]], "mmm yyyy")</f>
        <v>Aug 2024</v>
      </c>
    </row>
    <row r="955" spans="1:14" x14ac:dyDescent="0.3">
      <c r="A955" s="5">
        <v>45507</v>
      </c>
      <c r="B955" s="12">
        <v>6231</v>
      </c>
      <c r="C955" s="12">
        <v>226.5</v>
      </c>
      <c r="D955" s="2" t="s">
        <v>10</v>
      </c>
      <c r="E955" s="2" t="s">
        <v>7</v>
      </c>
      <c r="F955" s="1">
        <v>1140</v>
      </c>
      <c r="G955" s="13">
        <v>5777.864787450224</v>
      </c>
      <c r="H955" s="14" t="b">
        <v>0</v>
      </c>
      <c r="I955" s="15">
        <f t="shared" si="56"/>
        <v>6231</v>
      </c>
      <c r="J955" s="15">
        <f t="shared" si="56"/>
        <v>227</v>
      </c>
      <c r="K955" s="15">
        <f t="shared" si="57"/>
        <v>5778</v>
      </c>
      <c r="L955" s="3" t="str">
        <f t="shared" si="58"/>
        <v>Saturday</v>
      </c>
      <c r="M955" s="4" t="str">
        <f t="shared" si="59"/>
        <v>Normal Day</v>
      </c>
      <c r="N955" s="4" t="str">
        <f>TEXT(CleanedData[[#This Row],[DAY]], "mmm yyyy")</f>
        <v>Aug 2024</v>
      </c>
    </row>
    <row r="956" spans="1:14" x14ac:dyDescent="0.3">
      <c r="A956" s="5">
        <v>45508</v>
      </c>
      <c r="B956" s="12">
        <v>681</v>
      </c>
      <c r="C956" s="12">
        <v>3</v>
      </c>
      <c r="D956" s="2" t="s">
        <v>6</v>
      </c>
      <c r="E956" s="2" t="s">
        <v>8</v>
      </c>
      <c r="F956" s="1">
        <v>273</v>
      </c>
      <c r="G956" s="13">
        <v>602.6660852296252</v>
      </c>
      <c r="H956" s="14" t="b">
        <v>0</v>
      </c>
      <c r="I956" s="15">
        <f t="shared" si="56"/>
        <v>681</v>
      </c>
      <c r="J956" s="15">
        <f t="shared" si="56"/>
        <v>3</v>
      </c>
      <c r="K956" s="15">
        <f t="shared" si="57"/>
        <v>603</v>
      </c>
      <c r="L956" s="3" t="str">
        <f t="shared" si="58"/>
        <v>Sunday</v>
      </c>
      <c r="M956" s="4" t="str">
        <f t="shared" si="59"/>
        <v>Normal Day</v>
      </c>
      <c r="N956" s="4" t="str">
        <f>TEXT(CleanedData[[#This Row],[DAY]], "mmm yyyy")</f>
        <v>Aug 2024</v>
      </c>
    </row>
    <row r="957" spans="1:14" x14ac:dyDescent="0.3">
      <c r="A957" s="5">
        <v>45508</v>
      </c>
      <c r="B957" s="12">
        <v>1408.5</v>
      </c>
      <c r="C957" s="12">
        <v>3</v>
      </c>
      <c r="D957" s="2" t="s">
        <v>6</v>
      </c>
      <c r="E957" s="2" t="s">
        <v>7</v>
      </c>
      <c r="F957" s="1">
        <v>830</v>
      </c>
      <c r="G957" s="13">
        <v>1310.5105739505545</v>
      </c>
      <c r="H957" s="14" t="b">
        <v>0</v>
      </c>
      <c r="I957" s="15">
        <f t="shared" si="56"/>
        <v>1409</v>
      </c>
      <c r="J957" s="15">
        <f t="shared" si="56"/>
        <v>3</v>
      </c>
      <c r="K957" s="15">
        <f t="shared" si="57"/>
        <v>1311</v>
      </c>
      <c r="L957" s="3" t="str">
        <f t="shared" si="58"/>
        <v>Sunday</v>
      </c>
      <c r="M957" s="4" t="str">
        <f t="shared" si="59"/>
        <v>Normal Day</v>
      </c>
      <c r="N957" s="4" t="str">
        <f>TEXT(CleanedData[[#This Row],[DAY]], "mmm yyyy")</f>
        <v>Aug 2024</v>
      </c>
    </row>
    <row r="958" spans="1:14" x14ac:dyDescent="0.3">
      <c r="A958" s="5">
        <v>45508</v>
      </c>
      <c r="B958" s="12">
        <v>4089</v>
      </c>
      <c r="C958" s="12">
        <v>70.5</v>
      </c>
      <c r="D958" s="2" t="s">
        <v>9</v>
      </c>
      <c r="E958" s="2" t="s">
        <v>8</v>
      </c>
      <c r="F958" s="1">
        <v>314</v>
      </c>
      <c r="G958" s="13">
        <v>3670.1246208514758</v>
      </c>
      <c r="H958" s="14" t="b">
        <v>0</v>
      </c>
      <c r="I958" s="15">
        <f t="shared" si="56"/>
        <v>4089</v>
      </c>
      <c r="J958" s="15">
        <f t="shared" si="56"/>
        <v>71</v>
      </c>
      <c r="K958" s="15">
        <f t="shared" si="57"/>
        <v>3670</v>
      </c>
      <c r="L958" s="3" t="str">
        <f t="shared" si="58"/>
        <v>Sunday</v>
      </c>
      <c r="M958" s="4" t="str">
        <f t="shared" si="59"/>
        <v>Normal Day</v>
      </c>
      <c r="N958" s="4" t="str">
        <f>TEXT(CleanedData[[#This Row],[DAY]], "mmm yyyy")</f>
        <v>Aug 2024</v>
      </c>
    </row>
    <row r="959" spans="1:14" x14ac:dyDescent="0.3">
      <c r="A959" s="5">
        <v>45508</v>
      </c>
      <c r="B959" s="12">
        <v>7992</v>
      </c>
      <c r="C959" s="12">
        <v>247.5</v>
      </c>
      <c r="D959" s="2" t="s">
        <v>10</v>
      </c>
      <c r="E959" s="2" t="s">
        <v>7</v>
      </c>
      <c r="F959" s="1">
        <v>642</v>
      </c>
      <c r="G959" s="13">
        <v>7246.1468851450991</v>
      </c>
      <c r="H959" s="14" t="b">
        <v>0</v>
      </c>
      <c r="I959" s="15">
        <f t="shared" si="56"/>
        <v>7992</v>
      </c>
      <c r="J959" s="15">
        <f t="shared" si="56"/>
        <v>248</v>
      </c>
      <c r="K959" s="15">
        <f t="shared" si="57"/>
        <v>7246</v>
      </c>
      <c r="L959" s="3" t="str">
        <f t="shared" si="58"/>
        <v>Sunday</v>
      </c>
      <c r="M959" s="4" t="str">
        <f t="shared" si="59"/>
        <v>Normal Day</v>
      </c>
      <c r="N959" s="4" t="str">
        <f>TEXT(CleanedData[[#This Row],[DAY]], "mmm yyyy")</f>
        <v>Aug 2024</v>
      </c>
    </row>
    <row r="960" spans="1:14" x14ac:dyDescent="0.3">
      <c r="A960" s="5">
        <v>45509</v>
      </c>
      <c r="B960" s="12">
        <v>1.5</v>
      </c>
      <c r="C960" s="12">
        <v>0</v>
      </c>
      <c r="D960" s="2" t="s">
        <v>10</v>
      </c>
      <c r="E960" s="2" t="s">
        <v>8</v>
      </c>
      <c r="F960" s="1">
        <v>1</v>
      </c>
      <c r="G960" s="13">
        <v>1.2440916669354691</v>
      </c>
      <c r="H960" s="14" t="b">
        <v>0</v>
      </c>
      <c r="I960" s="15">
        <f t="shared" si="56"/>
        <v>2</v>
      </c>
      <c r="J960" s="15">
        <f t="shared" si="56"/>
        <v>0</v>
      </c>
      <c r="K960" s="15">
        <f t="shared" si="57"/>
        <v>1</v>
      </c>
      <c r="L960" s="3" t="str">
        <f t="shared" si="58"/>
        <v>Monday</v>
      </c>
      <c r="M960" s="4" t="str">
        <f t="shared" si="59"/>
        <v>Normal Day</v>
      </c>
      <c r="N960" s="4" t="str">
        <f>TEXT(CleanedData[[#This Row],[DAY]], "mmm yyyy")</f>
        <v>Aug 2024</v>
      </c>
    </row>
    <row r="961" spans="1:14" x14ac:dyDescent="0.3">
      <c r="A961" s="5">
        <v>45509</v>
      </c>
      <c r="B961" s="12">
        <v>727.5</v>
      </c>
      <c r="C961" s="12">
        <v>60</v>
      </c>
      <c r="D961" s="2" t="s">
        <v>6</v>
      </c>
      <c r="E961" s="2" t="s">
        <v>8</v>
      </c>
      <c r="F961" s="1">
        <v>272</v>
      </c>
      <c r="G961" s="13">
        <v>655.73823701913261</v>
      </c>
      <c r="H961" s="14" t="b">
        <v>0</v>
      </c>
      <c r="I961" s="15">
        <f t="shared" si="56"/>
        <v>728</v>
      </c>
      <c r="J961" s="15">
        <f t="shared" si="56"/>
        <v>60</v>
      </c>
      <c r="K961" s="15">
        <f t="shared" si="57"/>
        <v>656</v>
      </c>
      <c r="L961" s="3" t="str">
        <f t="shared" si="58"/>
        <v>Monday</v>
      </c>
      <c r="M961" s="4" t="str">
        <f t="shared" si="59"/>
        <v>Normal Day</v>
      </c>
      <c r="N961" s="4" t="str">
        <f>TEXT(CleanedData[[#This Row],[DAY]], "mmm yyyy")</f>
        <v>Aug 2024</v>
      </c>
    </row>
    <row r="962" spans="1:14" x14ac:dyDescent="0.3">
      <c r="A962" s="5">
        <v>45509</v>
      </c>
      <c r="B962" s="12">
        <v>1435.5</v>
      </c>
      <c r="C962" s="12">
        <v>60</v>
      </c>
      <c r="D962" s="2" t="s">
        <v>6</v>
      </c>
      <c r="E962" s="2" t="s">
        <v>7</v>
      </c>
      <c r="F962" s="1">
        <v>148</v>
      </c>
      <c r="G962" s="13">
        <v>1404.0888791541884</v>
      </c>
      <c r="H962" s="14" t="b">
        <v>0</v>
      </c>
      <c r="I962" s="15">
        <f t="shared" ref="I962:J1025" si="60">ROUND(B962, 0)</f>
        <v>1436</v>
      </c>
      <c r="J962" s="15">
        <f t="shared" si="60"/>
        <v>60</v>
      </c>
      <c r="K962" s="15">
        <f t="shared" ref="K962:K1025" si="61">ROUND(G962, 0)</f>
        <v>1404</v>
      </c>
      <c r="L962" s="3" t="str">
        <f t="shared" si="58"/>
        <v>Monday</v>
      </c>
      <c r="M962" s="4" t="str">
        <f t="shared" si="59"/>
        <v>Normal Day</v>
      </c>
      <c r="N962" s="4" t="str">
        <f>TEXT(CleanedData[[#This Row],[DAY]], "mmm yyyy")</f>
        <v>Aug 2024</v>
      </c>
    </row>
    <row r="963" spans="1:14" x14ac:dyDescent="0.3">
      <c r="A963" s="5">
        <v>45509</v>
      </c>
      <c r="B963" s="12">
        <v>3717</v>
      </c>
      <c r="C963" s="12">
        <v>19.5</v>
      </c>
      <c r="D963" s="2" t="s">
        <v>9</v>
      </c>
      <c r="E963" s="2" t="s">
        <v>8</v>
      </c>
      <c r="F963" s="1">
        <v>1176</v>
      </c>
      <c r="G963" s="13">
        <v>3014.6637209841651</v>
      </c>
      <c r="H963" s="14" t="b">
        <v>1</v>
      </c>
      <c r="I963" s="15">
        <f t="shared" si="60"/>
        <v>3717</v>
      </c>
      <c r="J963" s="15">
        <f t="shared" si="60"/>
        <v>20</v>
      </c>
      <c r="K963" s="15">
        <f t="shared" si="61"/>
        <v>3015</v>
      </c>
      <c r="L963" s="3" t="str">
        <f t="shared" ref="L963:L1026" si="62">TEXT(A963,"dddd")</f>
        <v>Monday</v>
      </c>
      <c r="M963" s="4" t="str">
        <f t="shared" ref="M963:M1026" si="63">IF(H963=TRUE, "Outage Day", "Normal Day")</f>
        <v>Outage Day</v>
      </c>
      <c r="N963" s="4" t="str">
        <f>TEXT(CleanedData[[#This Row],[DAY]], "mmm yyyy")</f>
        <v>Aug 2024</v>
      </c>
    </row>
    <row r="964" spans="1:14" x14ac:dyDescent="0.3">
      <c r="A964" s="5">
        <v>45509</v>
      </c>
      <c r="B964" s="12">
        <v>8587.5</v>
      </c>
      <c r="C964" s="12">
        <v>187.5</v>
      </c>
      <c r="D964" s="2" t="s">
        <v>10</v>
      </c>
      <c r="E964" s="2" t="s">
        <v>7</v>
      </c>
      <c r="F964" s="1">
        <v>5670</v>
      </c>
      <c r="G964" s="13">
        <v>7718.2278819477797</v>
      </c>
      <c r="H964" s="14" t="b">
        <v>0</v>
      </c>
      <c r="I964" s="15">
        <f t="shared" si="60"/>
        <v>8588</v>
      </c>
      <c r="J964" s="15">
        <f t="shared" si="60"/>
        <v>188</v>
      </c>
      <c r="K964" s="15">
        <f t="shared" si="61"/>
        <v>7718</v>
      </c>
      <c r="L964" s="3" t="str">
        <f t="shared" si="62"/>
        <v>Monday</v>
      </c>
      <c r="M964" s="4" t="str">
        <f t="shared" si="63"/>
        <v>Normal Day</v>
      </c>
      <c r="N964" s="4" t="str">
        <f>TEXT(CleanedData[[#This Row],[DAY]], "mmm yyyy")</f>
        <v>Aug 2024</v>
      </c>
    </row>
    <row r="965" spans="1:14" x14ac:dyDescent="0.3">
      <c r="A965" s="5">
        <v>45510</v>
      </c>
      <c r="B965" s="12">
        <v>4.5</v>
      </c>
      <c r="C965" s="12">
        <v>0</v>
      </c>
      <c r="D965" s="2" t="s">
        <v>9</v>
      </c>
      <c r="E965" s="2" t="s">
        <v>7</v>
      </c>
      <c r="F965" s="1">
        <v>1</v>
      </c>
      <c r="G965" s="13">
        <v>4.1526673860351053</v>
      </c>
      <c r="H965" s="14" t="b">
        <v>0</v>
      </c>
      <c r="I965" s="15">
        <f t="shared" si="60"/>
        <v>5</v>
      </c>
      <c r="J965" s="15">
        <f t="shared" si="60"/>
        <v>0</v>
      </c>
      <c r="K965" s="15">
        <f t="shared" si="61"/>
        <v>4</v>
      </c>
      <c r="L965" s="3" t="str">
        <f t="shared" si="62"/>
        <v>Tuesday</v>
      </c>
      <c r="M965" s="4" t="str">
        <f t="shared" si="63"/>
        <v>Normal Day</v>
      </c>
      <c r="N965" s="4" t="str">
        <f>TEXT(CleanedData[[#This Row],[DAY]], "mmm yyyy")</f>
        <v>Aug 2024</v>
      </c>
    </row>
    <row r="966" spans="1:14" x14ac:dyDescent="0.3">
      <c r="A966" s="5">
        <v>45510</v>
      </c>
      <c r="B966" s="12">
        <v>931.5</v>
      </c>
      <c r="C966" s="12">
        <v>45</v>
      </c>
      <c r="D966" s="2" t="s">
        <v>6</v>
      </c>
      <c r="E966" s="2" t="s">
        <v>8</v>
      </c>
      <c r="F966" s="1">
        <v>614</v>
      </c>
      <c r="G966" s="13">
        <v>801.0982088537736</v>
      </c>
      <c r="H966" s="14" t="b">
        <v>0</v>
      </c>
      <c r="I966" s="15">
        <f t="shared" si="60"/>
        <v>932</v>
      </c>
      <c r="J966" s="15">
        <f t="shared" si="60"/>
        <v>45</v>
      </c>
      <c r="K966" s="15">
        <f t="shared" si="61"/>
        <v>801</v>
      </c>
      <c r="L966" s="3" t="str">
        <f t="shared" si="62"/>
        <v>Tuesday</v>
      </c>
      <c r="M966" s="4" t="str">
        <f t="shared" si="63"/>
        <v>Normal Day</v>
      </c>
      <c r="N966" s="4" t="str">
        <f>TEXT(CleanedData[[#This Row],[DAY]], "mmm yyyy")</f>
        <v>Aug 2024</v>
      </c>
    </row>
    <row r="967" spans="1:14" x14ac:dyDescent="0.3">
      <c r="A967" s="5">
        <v>45510</v>
      </c>
      <c r="B967" s="12">
        <v>1303.5</v>
      </c>
      <c r="C967" s="12">
        <v>45</v>
      </c>
      <c r="D967" s="2" t="s">
        <v>6</v>
      </c>
      <c r="E967" s="2" t="s">
        <v>7</v>
      </c>
      <c r="F967" s="1">
        <v>178</v>
      </c>
      <c r="G967" s="13">
        <v>1245.6032986354708</v>
      </c>
      <c r="H967" s="14" t="b">
        <v>0</v>
      </c>
      <c r="I967" s="15">
        <f t="shared" si="60"/>
        <v>1304</v>
      </c>
      <c r="J967" s="15">
        <f t="shared" si="60"/>
        <v>45</v>
      </c>
      <c r="K967" s="15">
        <f t="shared" si="61"/>
        <v>1246</v>
      </c>
      <c r="L967" s="3" t="str">
        <f t="shared" si="62"/>
        <v>Tuesday</v>
      </c>
      <c r="M967" s="4" t="str">
        <f t="shared" si="63"/>
        <v>Normal Day</v>
      </c>
      <c r="N967" s="4" t="str">
        <f>TEXT(CleanedData[[#This Row],[DAY]], "mmm yyyy")</f>
        <v>Aug 2024</v>
      </c>
    </row>
    <row r="968" spans="1:14" x14ac:dyDescent="0.3">
      <c r="A968" s="5">
        <v>45510</v>
      </c>
      <c r="B968" s="12">
        <v>1486.5</v>
      </c>
      <c r="C968" s="12">
        <v>10.5</v>
      </c>
      <c r="D968" s="2" t="s">
        <v>9</v>
      </c>
      <c r="E968" s="2" t="s">
        <v>8</v>
      </c>
      <c r="F968" s="1">
        <v>742</v>
      </c>
      <c r="G968" s="13">
        <v>1306.9526054270859</v>
      </c>
      <c r="H968" s="14" t="b">
        <v>0</v>
      </c>
      <c r="I968" s="15">
        <f t="shared" si="60"/>
        <v>1487</v>
      </c>
      <c r="J968" s="15">
        <f t="shared" si="60"/>
        <v>11</v>
      </c>
      <c r="K968" s="15">
        <f t="shared" si="61"/>
        <v>1307</v>
      </c>
      <c r="L968" s="3" t="str">
        <f t="shared" si="62"/>
        <v>Tuesday</v>
      </c>
      <c r="M968" s="4" t="str">
        <f t="shared" si="63"/>
        <v>Normal Day</v>
      </c>
      <c r="N968" s="4" t="str">
        <f>TEXT(CleanedData[[#This Row],[DAY]], "mmm yyyy")</f>
        <v>Aug 2024</v>
      </c>
    </row>
    <row r="969" spans="1:14" x14ac:dyDescent="0.3">
      <c r="A969" s="5">
        <v>45510</v>
      </c>
      <c r="B969" s="12">
        <v>7237.5</v>
      </c>
      <c r="C969" s="12">
        <v>360</v>
      </c>
      <c r="D969" s="2" t="s">
        <v>10</v>
      </c>
      <c r="E969" s="2" t="s">
        <v>7</v>
      </c>
      <c r="F969" s="1">
        <v>4587</v>
      </c>
      <c r="G969" s="13">
        <v>6996.6522701380909</v>
      </c>
      <c r="H969" s="14" t="b">
        <v>0</v>
      </c>
      <c r="I969" s="15">
        <f t="shared" si="60"/>
        <v>7238</v>
      </c>
      <c r="J969" s="15">
        <f t="shared" si="60"/>
        <v>360</v>
      </c>
      <c r="K969" s="15">
        <f t="shared" si="61"/>
        <v>6997</v>
      </c>
      <c r="L969" s="3" t="str">
        <f t="shared" si="62"/>
        <v>Tuesday</v>
      </c>
      <c r="M969" s="4" t="str">
        <f t="shared" si="63"/>
        <v>Normal Day</v>
      </c>
      <c r="N969" s="4" t="str">
        <f>TEXT(CleanedData[[#This Row],[DAY]], "mmm yyyy")</f>
        <v>Aug 2024</v>
      </c>
    </row>
    <row r="970" spans="1:14" x14ac:dyDescent="0.3">
      <c r="A970" s="5">
        <v>45511</v>
      </c>
      <c r="B970" s="12">
        <v>3</v>
      </c>
      <c r="C970" s="12">
        <v>0</v>
      </c>
      <c r="D970" s="2" t="s">
        <v>10</v>
      </c>
      <c r="E970" s="2" t="s">
        <v>8</v>
      </c>
      <c r="F970" s="1">
        <v>1</v>
      </c>
      <c r="G970" s="13">
        <v>2.5348772360084069</v>
      </c>
      <c r="H970" s="14" t="b">
        <v>0</v>
      </c>
      <c r="I970" s="15">
        <f t="shared" si="60"/>
        <v>3</v>
      </c>
      <c r="J970" s="15">
        <f t="shared" si="60"/>
        <v>0</v>
      </c>
      <c r="K970" s="15">
        <f t="shared" si="61"/>
        <v>3</v>
      </c>
      <c r="L970" s="3" t="str">
        <f t="shared" si="62"/>
        <v>Wednesday</v>
      </c>
      <c r="M970" s="4" t="str">
        <f t="shared" si="63"/>
        <v>Normal Day</v>
      </c>
      <c r="N970" s="4" t="str">
        <f>TEXT(CleanedData[[#This Row],[DAY]], "mmm yyyy")</f>
        <v>Aug 2024</v>
      </c>
    </row>
    <row r="971" spans="1:14" x14ac:dyDescent="0.3">
      <c r="A971" s="5">
        <v>45511</v>
      </c>
      <c r="B971" s="12">
        <v>834</v>
      </c>
      <c r="C971" s="12">
        <v>46.5</v>
      </c>
      <c r="D971" s="2" t="s">
        <v>6</v>
      </c>
      <c r="E971" s="2" t="s">
        <v>8</v>
      </c>
      <c r="F971" s="1">
        <v>457</v>
      </c>
      <c r="G971" s="13">
        <v>712.81332990175633</v>
      </c>
      <c r="H971" s="14" t="b">
        <v>0</v>
      </c>
      <c r="I971" s="15">
        <f t="shared" si="60"/>
        <v>834</v>
      </c>
      <c r="J971" s="15">
        <f t="shared" si="60"/>
        <v>47</v>
      </c>
      <c r="K971" s="15">
        <f t="shared" si="61"/>
        <v>713</v>
      </c>
      <c r="L971" s="3" t="str">
        <f t="shared" si="62"/>
        <v>Wednesday</v>
      </c>
      <c r="M971" s="4" t="str">
        <f t="shared" si="63"/>
        <v>Normal Day</v>
      </c>
      <c r="N971" s="4" t="str">
        <f>TEXT(CleanedData[[#This Row],[DAY]], "mmm yyyy")</f>
        <v>Aug 2024</v>
      </c>
    </row>
    <row r="972" spans="1:14" x14ac:dyDescent="0.3">
      <c r="A972" s="5">
        <v>45511</v>
      </c>
      <c r="B972" s="12">
        <v>1183.5</v>
      </c>
      <c r="C972" s="12">
        <v>46.5</v>
      </c>
      <c r="D972" s="2" t="s">
        <v>6</v>
      </c>
      <c r="E972" s="2" t="s">
        <v>7</v>
      </c>
      <c r="F972" s="1">
        <v>34</v>
      </c>
      <c r="G972" s="13">
        <v>1111.393138289724</v>
      </c>
      <c r="H972" s="14" t="b">
        <v>0</v>
      </c>
      <c r="I972" s="15">
        <f t="shared" si="60"/>
        <v>1184</v>
      </c>
      <c r="J972" s="15">
        <f t="shared" si="60"/>
        <v>47</v>
      </c>
      <c r="K972" s="15">
        <f t="shared" si="61"/>
        <v>1111</v>
      </c>
      <c r="L972" s="3" t="str">
        <f t="shared" si="62"/>
        <v>Wednesday</v>
      </c>
      <c r="M972" s="4" t="str">
        <f t="shared" si="63"/>
        <v>Normal Day</v>
      </c>
      <c r="N972" s="4" t="str">
        <f>TEXT(CleanedData[[#This Row],[DAY]], "mmm yyyy")</f>
        <v>Aug 2024</v>
      </c>
    </row>
    <row r="973" spans="1:14" x14ac:dyDescent="0.3">
      <c r="A973" s="5">
        <v>45511</v>
      </c>
      <c r="B973" s="12">
        <v>3466.5</v>
      </c>
      <c r="C973" s="12">
        <v>96</v>
      </c>
      <c r="D973" s="2" t="s">
        <v>9</v>
      </c>
      <c r="E973" s="2" t="s">
        <v>8</v>
      </c>
      <c r="F973" s="1">
        <v>112</v>
      </c>
      <c r="G973" s="13">
        <v>2856.5664521286731</v>
      </c>
      <c r="H973" s="14" t="b">
        <v>0</v>
      </c>
      <c r="I973" s="15">
        <f t="shared" si="60"/>
        <v>3467</v>
      </c>
      <c r="J973" s="15">
        <f t="shared" si="60"/>
        <v>96</v>
      </c>
      <c r="K973" s="15">
        <f t="shared" si="61"/>
        <v>2857</v>
      </c>
      <c r="L973" s="3" t="str">
        <f t="shared" si="62"/>
        <v>Wednesday</v>
      </c>
      <c r="M973" s="4" t="str">
        <f t="shared" si="63"/>
        <v>Normal Day</v>
      </c>
      <c r="N973" s="4" t="str">
        <f>TEXT(CleanedData[[#This Row],[DAY]], "mmm yyyy")</f>
        <v>Aug 2024</v>
      </c>
    </row>
    <row r="974" spans="1:14" x14ac:dyDescent="0.3">
      <c r="A974" s="5">
        <v>45511</v>
      </c>
      <c r="B974" s="12">
        <v>7584</v>
      </c>
      <c r="C974" s="12">
        <v>327</v>
      </c>
      <c r="D974" s="2" t="s">
        <v>10</v>
      </c>
      <c r="E974" s="2" t="s">
        <v>7</v>
      </c>
      <c r="F974" s="1">
        <v>2827</v>
      </c>
      <c r="G974" s="13">
        <v>7156.0859202765896</v>
      </c>
      <c r="H974" s="14" t="b">
        <v>0</v>
      </c>
      <c r="I974" s="15">
        <f t="shared" si="60"/>
        <v>7584</v>
      </c>
      <c r="J974" s="15">
        <f t="shared" si="60"/>
        <v>327</v>
      </c>
      <c r="K974" s="15">
        <f t="shared" si="61"/>
        <v>7156</v>
      </c>
      <c r="L974" s="3" t="str">
        <f t="shared" si="62"/>
        <v>Wednesday</v>
      </c>
      <c r="M974" s="4" t="str">
        <f t="shared" si="63"/>
        <v>Normal Day</v>
      </c>
      <c r="N974" s="4" t="str">
        <f>TEXT(CleanedData[[#This Row],[DAY]], "mmm yyyy")</f>
        <v>Aug 2024</v>
      </c>
    </row>
    <row r="975" spans="1:14" x14ac:dyDescent="0.3">
      <c r="A975" s="5">
        <v>45512</v>
      </c>
      <c r="B975" s="12">
        <v>604.5</v>
      </c>
      <c r="C975" s="12">
        <v>79.5</v>
      </c>
      <c r="D975" s="2" t="s">
        <v>6</v>
      </c>
      <c r="E975" s="2" t="s">
        <v>8</v>
      </c>
      <c r="F975" s="1">
        <v>53</v>
      </c>
      <c r="G975" s="13">
        <v>568.15735290148609</v>
      </c>
      <c r="H975" s="14" t="b">
        <v>0</v>
      </c>
      <c r="I975" s="15">
        <f t="shared" si="60"/>
        <v>605</v>
      </c>
      <c r="J975" s="15">
        <f t="shared" si="60"/>
        <v>80</v>
      </c>
      <c r="K975" s="15">
        <f t="shared" si="61"/>
        <v>568</v>
      </c>
      <c r="L975" s="3" t="str">
        <f t="shared" si="62"/>
        <v>Thursday</v>
      </c>
      <c r="M975" s="4" t="str">
        <f t="shared" si="63"/>
        <v>Normal Day</v>
      </c>
      <c r="N975" s="4" t="str">
        <f>TEXT(CleanedData[[#This Row],[DAY]], "mmm yyyy")</f>
        <v>Aug 2024</v>
      </c>
    </row>
    <row r="976" spans="1:14" x14ac:dyDescent="0.3">
      <c r="A976" s="5">
        <v>45512</v>
      </c>
      <c r="B976" s="12">
        <v>1299</v>
      </c>
      <c r="C976" s="12">
        <v>79.5</v>
      </c>
      <c r="D976" s="2" t="s">
        <v>6</v>
      </c>
      <c r="E976" s="2" t="s">
        <v>7</v>
      </c>
      <c r="F976" s="1">
        <v>159</v>
      </c>
      <c r="G976" s="13">
        <v>1265.130892187992</v>
      </c>
      <c r="H976" s="14" t="b">
        <v>0</v>
      </c>
      <c r="I976" s="15">
        <f t="shared" si="60"/>
        <v>1299</v>
      </c>
      <c r="J976" s="15">
        <f t="shared" si="60"/>
        <v>80</v>
      </c>
      <c r="K976" s="15">
        <f t="shared" si="61"/>
        <v>1265</v>
      </c>
      <c r="L976" s="3" t="str">
        <f t="shared" si="62"/>
        <v>Thursday</v>
      </c>
      <c r="M976" s="4" t="str">
        <f t="shared" si="63"/>
        <v>Normal Day</v>
      </c>
      <c r="N976" s="4" t="str">
        <f>TEXT(CleanedData[[#This Row],[DAY]], "mmm yyyy")</f>
        <v>Aug 2024</v>
      </c>
    </row>
    <row r="977" spans="1:14" x14ac:dyDescent="0.3">
      <c r="A977" s="5">
        <v>45512</v>
      </c>
      <c r="B977" s="12">
        <v>2617.5</v>
      </c>
      <c r="C977" s="12">
        <v>43.5</v>
      </c>
      <c r="D977" s="2" t="s">
        <v>9</v>
      </c>
      <c r="E977" s="2" t="s">
        <v>8</v>
      </c>
      <c r="F977" s="1">
        <v>1675</v>
      </c>
      <c r="G977" s="13">
        <v>2238.0373363713602</v>
      </c>
      <c r="H977" s="14" t="b">
        <v>0</v>
      </c>
      <c r="I977" s="15">
        <f t="shared" si="60"/>
        <v>2618</v>
      </c>
      <c r="J977" s="15">
        <f t="shared" si="60"/>
        <v>44</v>
      </c>
      <c r="K977" s="15">
        <f t="shared" si="61"/>
        <v>2238</v>
      </c>
      <c r="L977" s="3" t="str">
        <f t="shared" si="62"/>
        <v>Thursday</v>
      </c>
      <c r="M977" s="4" t="str">
        <f t="shared" si="63"/>
        <v>Normal Day</v>
      </c>
      <c r="N977" s="4" t="str">
        <f>TEXT(CleanedData[[#This Row],[DAY]], "mmm yyyy")</f>
        <v>Aug 2024</v>
      </c>
    </row>
    <row r="978" spans="1:14" x14ac:dyDescent="0.3">
      <c r="A978" s="5">
        <v>45512</v>
      </c>
      <c r="B978" s="12">
        <v>7512</v>
      </c>
      <c r="C978" s="12">
        <v>138</v>
      </c>
      <c r="D978" s="2" t="s">
        <v>10</v>
      </c>
      <c r="E978" s="2" t="s">
        <v>7</v>
      </c>
      <c r="F978" s="1">
        <v>1815</v>
      </c>
      <c r="G978" s="13">
        <v>7068.8297697330863</v>
      </c>
      <c r="H978" s="14" t="b">
        <v>0</v>
      </c>
      <c r="I978" s="15">
        <f t="shared" si="60"/>
        <v>7512</v>
      </c>
      <c r="J978" s="15">
        <f t="shared" si="60"/>
        <v>138</v>
      </c>
      <c r="K978" s="15">
        <f t="shared" si="61"/>
        <v>7069</v>
      </c>
      <c r="L978" s="3" t="str">
        <f t="shared" si="62"/>
        <v>Thursday</v>
      </c>
      <c r="M978" s="4" t="str">
        <f t="shared" si="63"/>
        <v>Normal Day</v>
      </c>
      <c r="N978" s="4" t="str">
        <f>TEXT(CleanedData[[#This Row],[DAY]], "mmm yyyy")</f>
        <v>Aug 2024</v>
      </c>
    </row>
    <row r="979" spans="1:14" x14ac:dyDescent="0.3">
      <c r="A979" s="5">
        <v>45513</v>
      </c>
      <c r="B979" s="12">
        <v>613.5</v>
      </c>
      <c r="C979" s="12">
        <v>28.5</v>
      </c>
      <c r="D979" s="2" t="s">
        <v>6</v>
      </c>
      <c r="E979" s="2" t="s">
        <v>8</v>
      </c>
      <c r="F979" s="1">
        <v>385</v>
      </c>
      <c r="G979" s="13">
        <v>553.25592699722949</v>
      </c>
      <c r="H979" s="14" t="b">
        <v>0</v>
      </c>
      <c r="I979" s="15">
        <f t="shared" si="60"/>
        <v>614</v>
      </c>
      <c r="J979" s="15">
        <f t="shared" si="60"/>
        <v>29</v>
      </c>
      <c r="K979" s="15">
        <f t="shared" si="61"/>
        <v>553</v>
      </c>
      <c r="L979" s="3" t="str">
        <f t="shared" si="62"/>
        <v>Friday</v>
      </c>
      <c r="M979" s="4" t="str">
        <f t="shared" si="63"/>
        <v>Normal Day</v>
      </c>
      <c r="N979" s="4" t="str">
        <f>TEXT(CleanedData[[#This Row],[DAY]], "mmm yyyy")</f>
        <v>Aug 2024</v>
      </c>
    </row>
    <row r="980" spans="1:14" x14ac:dyDescent="0.3">
      <c r="A980" s="5">
        <v>45513</v>
      </c>
      <c r="B980" s="12">
        <v>1062</v>
      </c>
      <c r="C980" s="12">
        <v>28.5</v>
      </c>
      <c r="D980" s="2" t="s">
        <v>6</v>
      </c>
      <c r="E980" s="2" t="s">
        <v>7</v>
      </c>
      <c r="F980" s="1">
        <v>452</v>
      </c>
      <c r="G980" s="13">
        <v>1021.664544500433</v>
      </c>
      <c r="H980" s="14" t="b">
        <v>0</v>
      </c>
      <c r="I980" s="15">
        <f t="shared" si="60"/>
        <v>1062</v>
      </c>
      <c r="J980" s="15">
        <f t="shared" si="60"/>
        <v>29</v>
      </c>
      <c r="K980" s="15">
        <f t="shared" si="61"/>
        <v>1022</v>
      </c>
      <c r="L980" s="3" t="str">
        <f t="shared" si="62"/>
        <v>Friday</v>
      </c>
      <c r="M980" s="4" t="str">
        <f t="shared" si="63"/>
        <v>Normal Day</v>
      </c>
      <c r="N980" s="4" t="str">
        <f>TEXT(CleanedData[[#This Row],[DAY]], "mmm yyyy")</f>
        <v>Aug 2024</v>
      </c>
    </row>
    <row r="981" spans="1:14" x14ac:dyDescent="0.3">
      <c r="A981" s="5">
        <v>45513</v>
      </c>
      <c r="B981" s="12">
        <v>3522</v>
      </c>
      <c r="C981" s="12">
        <v>13.5</v>
      </c>
      <c r="D981" s="2" t="s">
        <v>9</v>
      </c>
      <c r="E981" s="2" t="s">
        <v>8</v>
      </c>
      <c r="F981" s="1">
        <v>592</v>
      </c>
      <c r="G981" s="13">
        <v>2935.2860314182858</v>
      </c>
      <c r="H981" s="14" t="b">
        <v>0</v>
      </c>
      <c r="I981" s="15">
        <f t="shared" si="60"/>
        <v>3522</v>
      </c>
      <c r="J981" s="15">
        <f t="shared" si="60"/>
        <v>14</v>
      </c>
      <c r="K981" s="15">
        <f t="shared" si="61"/>
        <v>2935</v>
      </c>
      <c r="L981" s="3" t="str">
        <f t="shared" si="62"/>
        <v>Friday</v>
      </c>
      <c r="M981" s="4" t="str">
        <f t="shared" si="63"/>
        <v>Normal Day</v>
      </c>
      <c r="N981" s="4" t="str">
        <f>TEXT(CleanedData[[#This Row],[DAY]], "mmm yyyy")</f>
        <v>Aug 2024</v>
      </c>
    </row>
    <row r="982" spans="1:14" x14ac:dyDescent="0.3">
      <c r="A982" s="5">
        <v>45513</v>
      </c>
      <c r="B982" s="12">
        <v>8257.5</v>
      </c>
      <c r="C982" s="12">
        <v>312</v>
      </c>
      <c r="D982" s="2" t="s">
        <v>10</v>
      </c>
      <c r="E982" s="2" t="s">
        <v>7</v>
      </c>
      <c r="F982" s="1">
        <v>3861</v>
      </c>
      <c r="G982" s="13">
        <v>8009.7646187753844</v>
      </c>
      <c r="H982" s="14" t="b">
        <v>0</v>
      </c>
      <c r="I982" s="15">
        <f t="shared" si="60"/>
        <v>8258</v>
      </c>
      <c r="J982" s="15">
        <f t="shared" si="60"/>
        <v>312</v>
      </c>
      <c r="K982" s="15">
        <f t="shared" si="61"/>
        <v>8010</v>
      </c>
      <c r="L982" s="3" t="str">
        <f t="shared" si="62"/>
        <v>Friday</v>
      </c>
      <c r="M982" s="4" t="str">
        <f t="shared" si="63"/>
        <v>Normal Day</v>
      </c>
      <c r="N982" s="4" t="str">
        <f>TEXT(CleanedData[[#This Row],[DAY]], "mmm yyyy")</f>
        <v>Aug 2024</v>
      </c>
    </row>
    <row r="983" spans="1:14" x14ac:dyDescent="0.3">
      <c r="A983" s="5">
        <v>45514</v>
      </c>
      <c r="B983" s="12">
        <v>1206</v>
      </c>
      <c r="C983" s="12">
        <v>51</v>
      </c>
      <c r="D983" s="2" t="s">
        <v>6</v>
      </c>
      <c r="E983" s="2" t="s">
        <v>8</v>
      </c>
      <c r="F983" s="1">
        <v>799</v>
      </c>
      <c r="G983" s="13">
        <v>1078.5542746232297</v>
      </c>
      <c r="H983" s="14" t="b">
        <v>0</v>
      </c>
      <c r="I983" s="15">
        <f t="shared" si="60"/>
        <v>1206</v>
      </c>
      <c r="J983" s="15">
        <f t="shared" si="60"/>
        <v>51</v>
      </c>
      <c r="K983" s="15">
        <f t="shared" si="61"/>
        <v>1079</v>
      </c>
      <c r="L983" s="3" t="str">
        <f t="shared" si="62"/>
        <v>Saturday</v>
      </c>
      <c r="M983" s="4" t="str">
        <f t="shared" si="63"/>
        <v>Normal Day</v>
      </c>
      <c r="N983" s="4" t="str">
        <f>TEXT(CleanedData[[#This Row],[DAY]], "mmm yyyy")</f>
        <v>Aug 2024</v>
      </c>
    </row>
    <row r="984" spans="1:14" x14ac:dyDescent="0.3">
      <c r="A984" s="5">
        <v>45514</v>
      </c>
      <c r="B984" s="12">
        <v>1317</v>
      </c>
      <c r="C984" s="12">
        <v>51</v>
      </c>
      <c r="D984" s="2" t="s">
        <v>6</v>
      </c>
      <c r="E984" s="2" t="s">
        <v>7</v>
      </c>
      <c r="F984" s="1">
        <v>867</v>
      </c>
      <c r="G984" s="13">
        <v>1242.9687080513434</v>
      </c>
      <c r="H984" s="14" t="b">
        <v>0</v>
      </c>
      <c r="I984" s="15">
        <f t="shared" si="60"/>
        <v>1317</v>
      </c>
      <c r="J984" s="15">
        <f t="shared" si="60"/>
        <v>51</v>
      </c>
      <c r="K984" s="15">
        <f t="shared" si="61"/>
        <v>1243</v>
      </c>
      <c r="L984" s="3" t="str">
        <f t="shared" si="62"/>
        <v>Saturday</v>
      </c>
      <c r="M984" s="4" t="str">
        <f t="shared" si="63"/>
        <v>Normal Day</v>
      </c>
      <c r="N984" s="4" t="str">
        <f>TEXT(CleanedData[[#This Row],[DAY]], "mmm yyyy")</f>
        <v>Aug 2024</v>
      </c>
    </row>
    <row r="985" spans="1:14" x14ac:dyDescent="0.3">
      <c r="A985" s="5">
        <v>45514</v>
      </c>
      <c r="B985" s="12">
        <v>3024</v>
      </c>
      <c r="C985" s="12">
        <v>147</v>
      </c>
      <c r="D985" s="2" t="s">
        <v>9</v>
      </c>
      <c r="E985" s="2" t="s">
        <v>8</v>
      </c>
      <c r="F985" s="1">
        <v>1843</v>
      </c>
      <c r="G985" s="13">
        <v>2543.9234672378388</v>
      </c>
      <c r="H985" s="14" t="b">
        <v>1</v>
      </c>
      <c r="I985" s="15">
        <f t="shared" si="60"/>
        <v>3024</v>
      </c>
      <c r="J985" s="15">
        <f t="shared" si="60"/>
        <v>147</v>
      </c>
      <c r="K985" s="15">
        <f t="shared" si="61"/>
        <v>2544</v>
      </c>
      <c r="L985" s="3" t="str">
        <f t="shared" si="62"/>
        <v>Saturday</v>
      </c>
      <c r="M985" s="4" t="str">
        <f t="shared" si="63"/>
        <v>Outage Day</v>
      </c>
      <c r="N985" s="4" t="str">
        <f>TEXT(CleanedData[[#This Row],[DAY]], "mmm yyyy")</f>
        <v>Aug 2024</v>
      </c>
    </row>
    <row r="986" spans="1:14" x14ac:dyDescent="0.3">
      <c r="A986" s="5">
        <v>45514</v>
      </c>
      <c r="B986" s="12">
        <v>7417.5</v>
      </c>
      <c r="C986" s="12">
        <v>385.5</v>
      </c>
      <c r="D986" s="2" t="s">
        <v>10</v>
      </c>
      <c r="E986" s="2" t="s">
        <v>7</v>
      </c>
      <c r="F986" s="1">
        <v>3825</v>
      </c>
      <c r="G986" s="13">
        <v>7088.3556798245354</v>
      </c>
      <c r="H986" s="14" t="b">
        <v>0</v>
      </c>
      <c r="I986" s="15">
        <f t="shared" si="60"/>
        <v>7418</v>
      </c>
      <c r="J986" s="15">
        <f t="shared" si="60"/>
        <v>386</v>
      </c>
      <c r="K986" s="15">
        <f t="shared" si="61"/>
        <v>7088</v>
      </c>
      <c r="L986" s="3" t="str">
        <f t="shared" si="62"/>
        <v>Saturday</v>
      </c>
      <c r="M986" s="4" t="str">
        <f t="shared" si="63"/>
        <v>Normal Day</v>
      </c>
      <c r="N986" s="4" t="str">
        <f>TEXT(CleanedData[[#This Row],[DAY]], "mmm yyyy")</f>
        <v>Aug 2024</v>
      </c>
    </row>
    <row r="987" spans="1:14" x14ac:dyDescent="0.3">
      <c r="A987" s="5">
        <v>45515</v>
      </c>
      <c r="B987" s="12">
        <v>640.5</v>
      </c>
      <c r="C987" s="12">
        <v>75</v>
      </c>
      <c r="D987" s="2" t="s">
        <v>6</v>
      </c>
      <c r="E987" s="2" t="s">
        <v>8</v>
      </c>
      <c r="F987" s="1">
        <v>400</v>
      </c>
      <c r="G987" s="13">
        <v>580.19048344439295</v>
      </c>
      <c r="H987" s="14" t="b">
        <v>0</v>
      </c>
      <c r="I987" s="15">
        <f t="shared" si="60"/>
        <v>641</v>
      </c>
      <c r="J987" s="15">
        <f t="shared" si="60"/>
        <v>75</v>
      </c>
      <c r="K987" s="15">
        <f t="shared" si="61"/>
        <v>580</v>
      </c>
      <c r="L987" s="3" t="str">
        <f t="shared" si="62"/>
        <v>Sunday</v>
      </c>
      <c r="M987" s="4" t="str">
        <f t="shared" si="63"/>
        <v>Normal Day</v>
      </c>
      <c r="N987" s="4" t="str">
        <f>TEXT(CleanedData[[#This Row],[DAY]], "mmm yyyy")</f>
        <v>Aug 2024</v>
      </c>
    </row>
    <row r="988" spans="1:14" x14ac:dyDescent="0.3">
      <c r="A988" s="5">
        <v>45515</v>
      </c>
      <c r="B988" s="12">
        <v>1218</v>
      </c>
      <c r="C988" s="12">
        <v>75</v>
      </c>
      <c r="D988" s="2" t="s">
        <v>6</v>
      </c>
      <c r="E988" s="2" t="s">
        <v>7</v>
      </c>
      <c r="F988" s="1">
        <v>790</v>
      </c>
      <c r="G988" s="13">
        <v>1142.9187070589121</v>
      </c>
      <c r="H988" s="14" t="b">
        <v>0</v>
      </c>
      <c r="I988" s="15">
        <f t="shared" si="60"/>
        <v>1218</v>
      </c>
      <c r="J988" s="15">
        <f t="shared" si="60"/>
        <v>75</v>
      </c>
      <c r="K988" s="15">
        <f t="shared" si="61"/>
        <v>1143</v>
      </c>
      <c r="L988" s="3" t="str">
        <f t="shared" si="62"/>
        <v>Sunday</v>
      </c>
      <c r="M988" s="4" t="str">
        <f t="shared" si="63"/>
        <v>Normal Day</v>
      </c>
      <c r="N988" s="4" t="str">
        <f>TEXT(CleanedData[[#This Row],[DAY]], "mmm yyyy")</f>
        <v>Aug 2024</v>
      </c>
    </row>
    <row r="989" spans="1:14" x14ac:dyDescent="0.3">
      <c r="A989" s="5">
        <v>45515</v>
      </c>
      <c r="B989" s="12">
        <v>3832.5</v>
      </c>
      <c r="C989" s="12">
        <v>160.5</v>
      </c>
      <c r="D989" s="2" t="s">
        <v>9</v>
      </c>
      <c r="E989" s="2" t="s">
        <v>8</v>
      </c>
      <c r="F989" s="1">
        <v>2146</v>
      </c>
      <c r="G989" s="13">
        <v>3197.7976251405084</v>
      </c>
      <c r="H989" s="14" t="b">
        <v>0</v>
      </c>
      <c r="I989" s="15">
        <f t="shared" si="60"/>
        <v>3833</v>
      </c>
      <c r="J989" s="15">
        <f t="shared" si="60"/>
        <v>161</v>
      </c>
      <c r="K989" s="15">
        <f t="shared" si="61"/>
        <v>3198</v>
      </c>
      <c r="L989" s="3" t="str">
        <f t="shared" si="62"/>
        <v>Sunday</v>
      </c>
      <c r="M989" s="4" t="str">
        <f t="shared" si="63"/>
        <v>Normal Day</v>
      </c>
      <c r="N989" s="4" t="str">
        <f>TEXT(CleanedData[[#This Row],[DAY]], "mmm yyyy")</f>
        <v>Aug 2024</v>
      </c>
    </row>
    <row r="990" spans="1:14" x14ac:dyDescent="0.3">
      <c r="A990" s="5">
        <v>45515</v>
      </c>
      <c r="B990" s="12">
        <v>8445</v>
      </c>
      <c r="C990" s="12">
        <v>559.5</v>
      </c>
      <c r="D990" s="2" t="s">
        <v>10</v>
      </c>
      <c r="E990" s="2" t="s">
        <v>7</v>
      </c>
      <c r="F990" s="1">
        <v>4549</v>
      </c>
      <c r="G990" s="13">
        <v>7901.4451874681108</v>
      </c>
      <c r="H990" s="14" t="b">
        <v>0</v>
      </c>
      <c r="I990" s="15">
        <f t="shared" si="60"/>
        <v>8445</v>
      </c>
      <c r="J990" s="15">
        <f t="shared" si="60"/>
        <v>560</v>
      </c>
      <c r="K990" s="15">
        <f t="shared" si="61"/>
        <v>7901</v>
      </c>
      <c r="L990" s="3" t="str">
        <f t="shared" si="62"/>
        <v>Sunday</v>
      </c>
      <c r="M990" s="4" t="str">
        <f t="shared" si="63"/>
        <v>Normal Day</v>
      </c>
      <c r="N990" s="4" t="str">
        <f>TEXT(CleanedData[[#This Row],[DAY]], "mmm yyyy")</f>
        <v>Aug 2024</v>
      </c>
    </row>
    <row r="991" spans="1:14" x14ac:dyDescent="0.3">
      <c r="A991" s="5">
        <v>45516</v>
      </c>
      <c r="B991" s="12">
        <v>324</v>
      </c>
      <c r="C991" s="12">
        <v>10.5</v>
      </c>
      <c r="D991" s="2" t="s">
        <v>6</v>
      </c>
      <c r="E991" s="2" t="s">
        <v>8</v>
      </c>
      <c r="F991" s="1">
        <v>200</v>
      </c>
      <c r="G991" s="13">
        <v>284.75953852903552</v>
      </c>
      <c r="H991" s="14" t="b">
        <v>0</v>
      </c>
      <c r="I991" s="15">
        <f t="shared" si="60"/>
        <v>324</v>
      </c>
      <c r="J991" s="15">
        <f t="shared" si="60"/>
        <v>11</v>
      </c>
      <c r="K991" s="15">
        <f t="shared" si="61"/>
        <v>285</v>
      </c>
      <c r="L991" s="3" t="str">
        <f t="shared" si="62"/>
        <v>Monday</v>
      </c>
      <c r="M991" s="4" t="str">
        <f t="shared" si="63"/>
        <v>Normal Day</v>
      </c>
      <c r="N991" s="4" t="str">
        <f>TEXT(CleanedData[[#This Row],[DAY]], "mmm yyyy")</f>
        <v>Aug 2024</v>
      </c>
    </row>
    <row r="992" spans="1:14" x14ac:dyDescent="0.3">
      <c r="A992" s="5">
        <v>45516</v>
      </c>
      <c r="B992" s="12">
        <v>673.5</v>
      </c>
      <c r="C992" s="12">
        <v>10.5</v>
      </c>
      <c r="D992" s="2" t="s">
        <v>6</v>
      </c>
      <c r="E992" s="2" t="s">
        <v>7</v>
      </c>
      <c r="F992" s="1">
        <v>156</v>
      </c>
      <c r="G992" s="13">
        <v>621.9880816237544</v>
      </c>
      <c r="H992" s="14" t="b">
        <v>0</v>
      </c>
      <c r="I992" s="15">
        <f t="shared" si="60"/>
        <v>674</v>
      </c>
      <c r="J992" s="15">
        <f t="shared" si="60"/>
        <v>11</v>
      </c>
      <c r="K992" s="15">
        <f t="shared" si="61"/>
        <v>622</v>
      </c>
      <c r="L992" s="3" t="str">
        <f t="shared" si="62"/>
        <v>Monday</v>
      </c>
      <c r="M992" s="4" t="str">
        <f t="shared" si="63"/>
        <v>Normal Day</v>
      </c>
      <c r="N992" s="4" t="str">
        <f>TEXT(CleanedData[[#This Row],[DAY]], "mmm yyyy")</f>
        <v>Aug 2024</v>
      </c>
    </row>
    <row r="993" spans="1:14" x14ac:dyDescent="0.3">
      <c r="A993" s="5">
        <v>45516</v>
      </c>
      <c r="B993" s="12">
        <v>5104.5</v>
      </c>
      <c r="C993" s="12">
        <v>99</v>
      </c>
      <c r="D993" s="2" t="s">
        <v>9</v>
      </c>
      <c r="E993" s="2" t="s">
        <v>8</v>
      </c>
      <c r="F993" s="1">
        <v>742</v>
      </c>
      <c r="G993" s="13">
        <v>4464.8959084311391</v>
      </c>
      <c r="H993" s="14" t="b">
        <v>0</v>
      </c>
      <c r="I993" s="15">
        <f t="shared" si="60"/>
        <v>5105</v>
      </c>
      <c r="J993" s="15">
        <f t="shared" si="60"/>
        <v>99</v>
      </c>
      <c r="K993" s="15">
        <f t="shared" si="61"/>
        <v>4465</v>
      </c>
      <c r="L993" s="3" t="str">
        <f t="shared" si="62"/>
        <v>Monday</v>
      </c>
      <c r="M993" s="4" t="str">
        <f t="shared" si="63"/>
        <v>Normal Day</v>
      </c>
      <c r="N993" s="4" t="str">
        <f>TEXT(CleanedData[[#This Row],[DAY]], "mmm yyyy")</f>
        <v>Aug 2024</v>
      </c>
    </row>
    <row r="994" spans="1:14" x14ac:dyDescent="0.3">
      <c r="A994" s="5">
        <v>45516</v>
      </c>
      <c r="B994" s="12">
        <v>6513</v>
      </c>
      <c r="C994" s="12">
        <v>318</v>
      </c>
      <c r="D994" s="2" t="s">
        <v>10</v>
      </c>
      <c r="E994" s="2" t="s">
        <v>7</v>
      </c>
      <c r="F994" s="1">
        <v>4111</v>
      </c>
      <c r="G994" s="13">
        <v>5963.689830708483</v>
      </c>
      <c r="H994" s="14" t="b">
        <v>1</v>
      </c>
      <c r="I994" s="15">
        <f t="shared" si="60"/>
        <v>6513</v>
      </c>
      <c r="J994" s="15">
        <f t="shared" si="60"/>
        <v>318</v>
      </c>
      <c r="K994" s="15">
        <f t="shared" si="61"/>
        <v>5964</v>
      </c>
      <c r="L994" s="3" t="str">
        <f t="shared" si="62"/>
        <v>Monday</v>
      </c>
      <c r="M994" s="4" t="str">
        <f t="shared" si="63"/>
        <v>Outage Day</v>
      </c>
      <c r="N994" s="4" t="str">
        <f>TEXT(CleanedData[[#This Row],[DAY]], "mmm yyyy")</f>
        <v>Aug 2024</v>
      </c>
    </row>
    <row r="995" spans="1:14" x14ac:dyDescent="0.3">
      <c r="A995" s="5">
        <v>45517</v>
      </c>
      <c r="B995" s="12">
        <v>1.5</v>
      </c>
      <c r="C995" s="12">
        <v>0</v>
      </c>
      <c r="D995" s="2" t="s">
        <v>10</v>
      </c>
      <c r="E995" s="2" t="s">
        <v>8</v>
      </c>
      <c r="F995" s="1">
        <v>1</v>
      </c>
      <c r="G995" s="13">
        <v>1.2567009009814576</v>
      </c>
      <c r="H995" s="14" t="b">
        <v>0</v>
      </c>
      <c r="I995" s="15">
        <f t="shared" si="60"/>
        <v>2</v>
      </c>
      <c r="J995" s="15">
        <f t="shared" si="60"/>
        <v>0</v>
      </c>
      <c r="K995" s="15">
        <f t="shared" si="61"/>
        <v>1</v>
      </c>
      <c r="L995" s="3" t="str">
        <f t="shared" si="62"/>
        <v>Tuesday</v>
      </c>
      <c r="M995" s="4" t="str">
        <f t="shared" si="63"/>
        <v>Normal Day</v>
      </c>
      <c r="N995" s="4" t="str">
        <f>TEXT(CleanedData[[#This Row],[DAY]], "mmm yyyy")</f>
        <v>Aug 2024</v>
      </c>
    </row>
    <row r="996" spans="1:14" x14ac:dyDescent="0.3">
      <c r="A996" s="5">
        <v>45517</v>
      </c>
      <c r="B996" s="12">
        <v>304.5</v>
      </c>
      <c r="C996" s="12">
        <v>42</v>
      </c>
      <c r="D996" s="2" t="s">
        <v>6</v>
      </c>
      <c r="E996" s="2" t="s">
        <v>8</v>
      </c>
      <c r="F996" s="1">
        <v>139</v>
      </c>
      <c r="G996" s="13">
        <v>280.41518846965238</v>
      </c>
      <c r="H996" s="14" t="b">
        <v>0</v>
      </c>
      <c r="I996" s="15">
        <f t="shared" si="60"/>
        <v>305</v>
      </c>
      <c r="J996" s="15">
        <f t="shared" si="60"/>
        <v>42</v>
      </c>
      <c r="K996" s="15">
        <f t="shared" si="61"/>
        <v>280</v>
      </c>
      <c r="L996" s="3" t="str">
        <f t="shared" si="62"/>
        <v>Tuesday</v>
      </c>
      <c r="M996" s="4" t="str">
        <f t="shared" si="63"/>
        <v>Normal Day</v>
      </c>
      <c r="N996" s="4" t="str">
        <f>TEXT(CleanedData[[#This Row],[DAY]], "mmm yyyy")</f>
        <v>Aug 2024</v>
      </c>
    </row>
    <row r="997" spans="1:14" x14ac:dyDescent="0.3">
      <c r="A997" s="5">
        <v>45517</v>
      </c>
      <c r="B997" s="12">
        <v>609</v>
      </c>
      <c r="C997" s="12">
        <v>42</v>
      </c>
      <c r="D997" s="2" t="s">
        <v>6</v>
      </c>
      <c r="E997" s="2" t="s">
        <v>7</v>
      </c>
      <c r="F997" s="1">
        <v>396</v>
      </c>
      <c r="G997" s="13">
        <v>588.14587884508217</v>
      </c>
      <c r="H997" s="14" t="b">
        <v>0</v>
      </c>
      <c r="I997" s="15">
        <f t="shared" si="60"/>
        <v>609</v>
      </c>
      <c r="J997" s="15">
        <f t="shared" si="60"/>
        <v>42</v>
      </c>
      <c r="K997" s="15">
        <f t="shared" si="61"/>
        <v>588</v>
      </c>
      <c r="L997" s="3" t="str">
        <f t="shared" si="62"/>
        <v>Tuesday</v>
      </c>
      <c r="M997" s="4" t="str">
        <f t="shared" si="63"/>
        <v>Normal Day</v>
      </c>
      <c r="N997" s="4" t="str">
        <f>TEXT(CleanedData[[#This Row],[DAY]], "mmm yyyy")</f>
        <v>Aug 2024</v>
      </c>
    </row>
    <row r="998" spans="1:14" x14ac:dyDescent="0.3">
      <c r="A998" s="5">
        <v>45517</v>
      </c>
      <c r="B998" s="12">
        <v>4837.5</v>
      </c>
      <c r="C998" s="12">
        <v>213</v>
      </c>
      <c r="D998" s="2" t="s">
        <v>9</v>
      </c>
      <c r="E998" s="2" t="s">
        <v>8</v>
      </c>
      <c r="F998" s="1">
        <v>2229</v>
      </c>
      <c r="G998" s="13">
        <v>4176.8257819704204</v>
      </c>
      <c r="H998" s="14" t="b">
        <v>0</v>
      </c>
      <c r="I998" s="15">
        <f t="shared" si="60"/>
        <v>4838</v>
      </c>
      <c r="J998" s="15">
        <f t="shared" si="60"/>
        <v>213</v>
      </c>
      <c r="K998" s="15">
        <f t="shared" si="61"/>
        <v>4177</v>
      </c>
      <c r="L998" s="3" t="str">
        <f t="shared" si="62"/>
        <v>Tuesday</v>
      </c>
      <c r="M998" s="4" t="str">
        <f t="shared" si="63"/>
        <v>Normal Day</v>
      </c>
      <c r="N998" s="4" t="str">
        <f>TEXT(CleanedData[[#This Row],[DAY]], "mmm yyyy")</f>
        <v>Aug 2024</v>
      </c>
    </row>
    <row r="999" spans="1:14" x14ac:dyDescent="0.3">
      <c r="A999" s="5">
        <v>45517</v>
      </c>
      <c r="B999" s="12">
        <v>5275.5</v>
      </c>
      <c r="C999" s="12">
        <v>298.5</v>
      </c>
      <c r="D999" s="2" t="s">
        <v>10</v>
      </c>
      <c r="E999" s="2" t="s">
        <v>7</v>
      </c>
      <c r="F999" s="1">
        <v>2356</v>
      </c>
      <c r="G999" s="13">
        <v>4919.1153426387127</v>
      </c>
      <c r="H999" s="14" t="b">
        <v>0</v>
      </c>
      <c r="I999" s="15">
        <f t="shared" si="60"/>
        <v>5276</v>
      </c>
      <c r="J999" s="15">
        <f t="shared" si="60"/>
        <v>299</v>
      </c>
      <c r="K999" s="15">
        <f t="shared" si="61"/>
        <v>4919</v>
      </c>
      <c r="L999" s="3" t="str">
        <f t="shared" si="62"/>
        <v>Tuesday</v>
      </c>
      <c r="M999" s="4" t="str">
        <f t="shared" si="63"/>
        <v>Normal Day</v>
      </c>
      <c r="N999" s="4" t="str">
        <f>TEXT(CleanedData[[#This Row],[DAY]], "mmm yyyy")</f>
        <v>Aug 2024</v>
      </c>
    </row>
    <row r="1000" spans="1:14" x14ac:dyDescent="0.3">
      <c r="A1000" s="5">
        <v>45518</v>
      </c>
      <c r="B1000" s="12">
        <v>327</v>
      </c>
      <c r="C1000" s="12">
        <v>10.5</v>
      </c>
      <c r="D1000" s="2" t="s">
        <v>6</v>
      </c>
      <c r="E1000" s="2" t="s">
        <v>8</v>
      </c>
      <c r="F1000" s="1">
        <v>169</v>
      </c>
      <c r="G1000" s="13">
        <v>285.43465349180394</v>
      </c>
      <c r="H1000" s="14" t="b">
        <v>0</v>
      </c>
      <c r="I1000" s="15">
        <f t="shared" si="60"/>
        <v>327</v>
      </c>
      <c r="J1000" s="15">
        <f t="shared" si="60"/>
        <v>11</v>
      </c>
      <c r="K1000" s="15">
        <f t="shared" si="61"/>
        <v>285</v>
      </c>
      <c r="L1000" s="3" t="str">
        <f t="shared" si="62"/>
        <v>Wednesday</v>
      </c>
      <c r="M1000" s="4" t="str">
        <f t="shared" si="63"/>
        <v>Normal Day</v>
      </c>
      <c r="N1000" s="4" t="str">
        <f>TEXT(CleanedData[[#This Row],[DAY]], "mmm yyyy")</f>
        <v>Aug 2024</v>
      </c>
    </row>
    <row r="1001" spans="1:14" x14ac:dyDescent="0.3">
      <c r="A1001" s="5">
        <v>45518</v>
      </c>
      <c r="B1001" s="12">
        <v>630</v>
      </c>
      <c r="C1001" s="12">
        <v>10.5</v>
      </c>
      <c r="D1001" s="2" t="s">
        <v>6</v>
      </c>
      <c r="E1001" s="2" t="s">
        <v>7</v>
      </c>
      <c r="F1001" s="1">
        <v>28</v>
      </c>
      <c r="G1001" s="13">
        <v>592.34885329455858</v>
      </c>
      <c r="H1001" s="14" t="b">
        <v>0</v>
      </c>
      <c r="I1001" s="15">
        <f t="shared" si="60"/>
        <v>630</v>
      </c>
      <c r="J1001" s="15">
        <f t="shared" si="60"/>
        <v>11</v>
      </c>
      <c r="K1001" s="15">
        <f t="shared" si="61"/>
        <v>592</v>
      </c>
      <c r="L1001" s="3" t="str">
        <f t="shared" si="62"/>
        <v>Wednesday</v>
      </c>
      <c r="M1001" s="4" t="str">
        <f t="shared" si="63"/>
        <v>Normal Day</v>
      </c>
      <c r="N1001" s="4" t="str">
        <f>TEXT(CleanedData[[#This Row],[DAY]], "mmm yyyy")</f>
        <v>Aug 2024</v>
      </c>
    </row>
    <row r="1002" spans="1:14" x14ac:dyDescent="0.3">
      <c r="A1002" s="5">
        <v>45518</v>
      </c>
      <c r="B1002" s="12">
        <v>4977</v>
      </c>
      <c r="C1002" s="12">
        <v>43.5</v>
      </c>
      <c r="D1002" s="2" t="s">
        <v>9</v>
      </c>
      <c r="E1002" s="2" t="s">
        <v>8</v>
      </c>
      <c r="F1002" s="1">
        <v>2484</v>
      </c>
      <c r="G1002" s="13">
        <v>4107.8699915249517</v>
      </c>
      <c r="H1002" s="14" t="b">
        <v>0</v>
      </c>
      <c r="I1002" s="15">
        <f t="shared" si="60"/>
        <v>4977</v>
      </c>
      <c r="J1002" s="15">
        <f t="shared" si="60"/>
        <v>44</v>
      </c>
      <c r="K1002" s="15">
        <f t="shared" si="61"/>
        <v>4108</v>
      </c>
      <c r="L1002" s="3" t="str">
        <f t="shared" si="62"/>
        <v>Wednesday</v>
      </c>
      <c r="M1002" s="4" t="str">
        <f t="shared" si="63"/>
        <v>Normal Day</v>
      </c>
      <c r="N1002" s="4" t="str">
        <f>TEXT(CleanedData[[#This Row],[DAY]], "mmm yyyy")</f>
        <v>Aug 2024</v>
      </c>
    </row>
    <row r="1003" spans="1:14" x14ac:dyDescent="0.3">
      <c r="A1003" s="5">
        <v>45518</v>
      </c>
      <c r="B1003" s="12">
        <v>5308.5</v>
      </c>
      <c r="C1003" s="12">
        <v>163.5</v>
      </c>
      <c r="D1003" s="2" t="s">
        <v>10</v>
      </c>
      <c r="E1003" s="2" t="s">
        <v>7</v>
      </c>
      <c r="F1003" s="1">
        <v>1041</v>
      </c>
      <c r="G1003" s="13">
        <v>4870.4769352328685</v>
      </c>
      <c r="H1003" s="14" t="b">
        <v>0</v>
      </c>
      <c r="I1003" s="15">
        <f t="shared" si="60"/>
        <v>5309</v>
      </c>
      <c r="J1003" s="15">
        <f t="shared" si="60"/>
        <v>164</v>
      </c>
      <c r="K1003" s="15">
        <f t="shared" si="61"/>
        <v>4870</v>
      </c>
      <c r="L1003" s="3" t="str">
        <f t="shared" si="62"/>
        <v>Wednesday</v>
      </c>
      <c r="M1003" s="4" t="str">
        <f t="shared" si="63"/>
        <v>Normal Day</v>
      </c>
      <c r="N1003" s="4" t="str">
        <f>TEXT(CleanedData[[#This Row],[DAY]], "mmm yyyy")</f>
        <v>Aug 2024</v>
      </c>
    </row>
    <row r="1004" spans="1:14" x14ac:dyDescent="0.3">
      <c r="A1004" s="5">
        <v>45519</v>
      </c>
      <c r="B1004" s="12">
        <v>577.5</v>
      </c>
      <c r="C1004" s="12">
        <v>6</v>
      </c>
      <c r="D1004" s="2" t="s">
        <v>6</v>
      </c>
      <c r="E1004" s="2" t="s">
        <v>8</v>
      </c>
      <c r="F1004" s="1">
        <v>304</v>
      </c>
      <c r="G1004" s="13">
        <v>513.13102273958361</v>
      </c>
      <c r="H1004" s="14" t="b">
        <v>0</v>
      </c>
      <c r="I1004" s="15">
        <f t="shared" si="60"/>
        <v>578</v>
      </c>
      <c r="J1004" s="15">
        <f t="shared" si="60"/>
        <v>6</v>
      </c>
      <c r="K1004" s="15">
        <f t="shared" si="61"/>
        <v>513</v>
      </c>
      <c r="L1004" s="3" t="str">
        <f t="shared" si="62"/>
        <v>Thursday</v>
      </c>
      <c r="M1004" s="4" t="str">
        <f t="shared" si="63"/>
        <v>Normal Day</v>
      </c>
      <c r="N1004" s="4" t="str">
        <f>TEXT(CleanedData[[#This Row],[DAY]], "mmm yyyy")</f>
        <v>Aug 2024</v>
      </c>
    </row>
    <row r="1005" spans="1:14" x14ac:dyDescent="0.3">
      <c r="A1005" s="5">
        <v>45519</v>
      </c>
      <c r="B1005" s="12">
        <v>955.5</v>
      </c>
      <c r="C1005" s="12">
        <v>6</v>
      </c>
      <c r="D1005" s="2" t="s">
        <v>6</v>
      </c>
      <c r="E1005" s="2" t="s">
        <v>7</v>
      </c>
      <c r="F1005" s="1">
        <v>268</v>
      </c>
      <c r="G1005" s="13">
        <v>845.16565066826468</v>
      </c>
      <c r="H1005" s="14" t="b">
        <v>0</v>
      </c>
      <c r="I1005" s="15">
        <f t="shared" si="60"/>
        <v>956</v>
      </c>
      <c r="J1005" s="15">
        <f t="shared" si="60"/>
        <v>6</v>
      </c>
      <c r="K1005" s="15">
        <f t="shared" si="61"/>
        <v>845</v>
      </c>
      <c r="L1005" s="3" t="str">
        <f t="shared" si="62"/>
        <v>Thursday</v>
      </c>
      <c r="M1005" s="4" t="str">
        <f t="shared" si="63"/>
        <v>Normal Day</v>
      </c>
      <c r="N1005" s="4" t="str">
        <f>TEXT(CleanedData[[#This Row],[DAY]], "mmm yyyy")</f>
        <v>Aug 2024</v>
      </c>
    </row>
    <row r="1006" spans="1:14" x14ac:dyDescent="0.3">
      <c r="A1006" s="5">
        <v>45519</v>
      </c>
      <c r="B1006" s="12">
        <v>4999.5</v>
      </c>
      <c r="C1006" s="12">
        <v>232.5</v>
      </c>
      <c r="D1006" s="2" t="s">
        <v>9</v>
      </c>
      <c r="E1006" s="2" t="s">
        <v>8</v>
      </c>
      <c r="F1006" s="1">
        <v>2727</v>
      </c>
      <c r="G1006" s="13">
        <v>4286.2720470478425</v>
      </c>
      <c r="H1006" s="14" t="b">
        <v>0</v>
      </c>
      <c r="I1006" s="15">
        <f t="shared" si="60"/>
        <v>5000</v>
      </c>
      <c r="J1006" s="15">
        <f t="shared" si="60"/>
        <v>233</v>
      </c>
      <c r="K1006" s="15">
        <f t="shared" si="61"/>
        <v>4286</v>
      </c>
      <c r="L1006" s="3" t="str">
        <f t="shared" si="62"/>
        <v>Thursday</v>
      </c>
      <c r="M1006" s="4" t="str">
        <f t="shared" si="63"/>
        <v>Normal Day</v>
      </c>
      <c r="N1006" s="4" t="str">
        <f>TEXT(CleanedData[[#This Row],[DAY]], "mmm yyyy")</f>
        <v>Aug 2024</v>
      </c>
    </row>
    <row r="1007" spans="1:14" x14ac:dyDescent="0.3">
      <c r="A1007" s="5">
        <v>45519</v>
      </c>
      <c r="B1007" s="12">
        <v>5185.5</v>
      </c>
      <c r="C1007" s="12">
        <v>226.5</v>
      </c>
      <c r="D1007" s="2" t="s">
        <v>10</v>
      </c>
      <c r="E1007" s="2" t="s">
        <v>7</v>
      </c>
      <c r="F1007" s="1">
        <v>226</v>
      </c>
      <c r="G1007" s="13">
        <v>4854.9412840737159</v>
      </c>
      <c r="H1007" s="14" t="b">
        <v>0</v>
      </c>
      <c r="I1007" s="15">
        <f t="shared" si="60"/>
        <v>5186</v>
      </c>
      <c r="J1007" s="15">
        <f t="shared" si="60"/>
        <v>227</v>
      </c>
      <c r="K1007" s="15">
        <f t="shared" si="61"/>
        <v>4855</v>
      </c>
      <c r="L1007" s="3" t="str">
        <f t="shared" si="62"/>
        <v>Thursday</v>
      </c>
      <c r="M1007" s="4" t="str">
        <f t="shared" si="63"/>
        <v>Normal Day</v>
      </c>
      <c r="N1007" s="4" t="str">
        <f>TEXT(CleanedData[[#This Row],[DAY]], "mmm yyyy")</f>
        <v>Aug 2024</v>
      </c>
    </row>
    <row r="1008" spans="1:14" x14ac:dyDescent="0.3">
      <c r="A1008" s="5">
        <v>45520</v>
      </c>
      <c r="B1008" s="12">
        <v>1177.5</v>
      </c>
      <c r="C1008" s="12">
        <v>57</v>
      </c>
      <c r="D1008" s="2" t="s">
        <v>6</v>
      </c>
      <c r="E1008" s="2" t="s">
        <v>8</v>
      </c>
      <c r="F1008" s="1">
        <v>220</v>
      </c>
      <c r="G1008" s="13">
        <v>1010.3816365751355</v>
      </c>
      <c r="H1008" s="14" t="b">
        <v>0</v>
      </c>
      <c r="I1008" s="15">
        <f t="shared" si="60"/>
        <v>1178</v>
      </c>
      <c r="J1008" s="15">
        <f t="shared" si="60"/>
        <v>57</v>
      </c>
      <c r="K1008" s="15">
        <f t="shared" si="61"/>
        <v>1010</v>
      </c>
      <c r="L1008" s="3" t="str">
        <f t="shared" si="62"/>
        <v>Friday</v>
      </c>
      <c r="M1008" s="4" t="str">
        <f t="shared" si="63"/>
        <v>Normal Day</v>
      </c>
      <c r="N1008" s="4" t="str">
        <f>TEXT(CleanedData[[#This Row],[DAY]], "mmm yyyy")</f>
        <v>Aug 2024</v>
      </c>
    </row>
    <row r="1009" spans="1:14" x14ac:dyDescent="0.3">
      <c r="A1009" s="5">
        <v>45520</v>
      </c>
      <c r="B1009" s="12">
        <v>1534.5</v>
      </c>
      <c r="C1009" s="12">
        <v>57</v>
      </c>
      <c r="D1009" s="2" t="s">
        <v>6</v>
      </c>
      <c r="E1009" s="2" t="s">
        <v>7</v>
      </c>
      <c r="F1009" s="1">
        <v>102</v>
      </c>
      <c r="G1009" s="13">
        <v>1402.6830570711677</v>
      </c>
      <c r="H1009" s="14" t="b">
        <v>0</v>
      </c>
      <c r="I1009" s="15">
        <f t="shared" si="60"/>
        <v>1535</v>
      </c>
      <c r="J1009" s="15">
        <f t="shared" si="60"/>
        <v>57</v>
      </c>
      <c r="K1009" s="15">
        <f t="shared" si="61"/>
        <v>1403</v>
      </c>
      <c r="L1009" s="3" t="str">
        <f t="shared" si="62"/>
        <v>Friday</v>
      </c>
      <c r="M1009" s="4" t="str">
        <f t="shared" si="63"/>
        <v>Normal Day</v>
      </c>
      <c r="N1009" s="4" t="str">
        <f>TEXT(CleanedData[[#This Row],[DAY]], "mmm yyyy")</f>
        <v>Aug 2024</v>
      </c>
    </row>
    <row r="1010" spans="1:14" x14ac:dyDescent="0.3">
      <c r="A1010" s="5">
        <v>45520</v>
      </c>
      <c r="B1010" s="12">
        <v>4084.5</v>
      </c>
      <c r="C1010" s="12">
        <v>63</v>
      </c>
      <c r="D1010" s="2" t="s">
        <v>10</v>
      </c>
      <c r="E1010" s="2" t="s">
        <v>7</v>
      </c>
      <c r="F1010" s="1">
        <v>1953</v>
      </c>
      <c r="G1010" s="13">
        <v>3812.7050499696293</v>
      </c>
      <c r="H1010" s="14" t="b">
        <v>0</v>
      </c>
      <c r="I1010" s="15">
        <f t="shared" si="60"/>
        <v>4085</v>
      </c>
      <c r="J1010" s="15">
        <f t="shared" si="60"/>
        <v>63</v>
      </c>
      <c r="K1010" s="15">
        <f t="shared" si="61"/>
        <v>3813</v>
      </c>
      <c r="L1010" s="3" t="str">
        <f t="shared" si="62"/>
        <v>Friday</v>
      </c>
      <c r="M1010" s="4" t="str">
        <f t="shared" si="63"/>
        <v>Normal Day</v>
      </c>
      <c r="N1010" s="4" t="str">
        <f>TEXT(CleanedData[[#This Row],[DAY]], "mmm yyyy")</f>
        <v>Aug 2024</v>
      </c>
    </row>
    <row r="1011" spans="1:14" x14ac:dyDescent="0.3">
      <c r="A1011" s="5">
        <v>45520</v>
      </c>
      <c r="B1011" s="12">
        <v>4774.5</v>
      </c>
      <c r="C1011" s="12">
        <v>205.5</v>
      </c>
      <c r="D1011" s="2" t="s">
        <v>9</v>
      </c>
      <c r="E1011" s="2" t="s">
        <v>8</v>
      </c>
      <c r="F1011" s="1">
        <v>1186</v>
      </c>
      <c r="G1011" s="13">
        <v>4366.2132652790206</v>
      </c>
      <c r="H1011" s="14" t="b">
        <v>1</v>
      </c>
      <c r="I1011" s="15">
        <f t="shared" si="60"/>
        <v>4775</v>
      </c>
      <c r="J1011" s="15">
        <f t="shared" si="60"/>
        <v>206</v>
      </c>
      <c r="K1011" s="15">
        <f t="shared" si="61"/>
        <v>4366</v>
      </c>
      <c r="L1011" s="3" t="str">
        <f t="shared" si="62"/>
        <v>Friday</v>
      </c>
      <c r="M1011" s="4" t="str">
        <f t="shared" si="63"/>
        <v>Outage Day</v>
      </c>
      <c r="N1011" s="4" t="str">
        <f>TEXT(CleanedData[[#This Row],[DAY]], "mmm yyyy")</f>
        <v>Aug 2024</v>
      </c>
    </row>
    <row r="1012" spans="1:14" x14ac:dyDescent="0.3">
      <c r="A1012" s="5">
        <v>45521</v>
      </c>
      <c r="B1012" s="12">
        <v>1.5</v>
      </c>
      <c r="C1012" s="12">
        <v>0</v>
      </c>
      <c r="D1012" s="2" t="s">
        <v>10</v>
      </c>
      <c r="E1012" s="2" t="s">
        <v>8</v>
      </c>
      <c r="F1012" s="1">
        <v>1</v>
      </c>
      <c r="G1012" s="13">
        <v>1.2214558873598713</v>
      </c>
      <c r="H1012" s="14" t="b">
        <v>0</v>
      </c>
      <c r="I1012" s="15">
        <f t="shared" si="60"/>
        <v>2</v>
      </c>
      <c r="J1012" s="15">
        <f t="shared" si="60"/>
        <v>0</v>
      </c>
      <c r="K1012" s="15">
        <f t="shared" si="61"/>
        <v>1</v>
      </c>
      <c r="L1012" s="3" t="str">
        <f t="shared" si="62"/>
        <v>Saturday</v>
      </c>
      <c r="M1012" s="4" t="str">
        <f t="shared" si="63"/>
        <v>Normal Day</v>
      </c>
      <c r="N1012" s="4" t="str">
        <f>TEXT(CleanedData[[#This Row],[DAY]], "mmm yyyy")</f>
        <v>Aug 2024</v>
      </c>
    </row>
    <row r="1013" spans="1:14" x14ac:dyDescent="0.3">
      <c r="A1013" s="5">
        <v>45521</v>
      </c>
      <c r="B1013" s="12">
        <v>1.5</v>
      </c>
      <c r="C1013" s="12">
        <v>0</v>
      </c>
      <c r="D1013" s="2" t="s">
        <v>9</v>
      </c>
      <c r="E1013" s="2" t="s">
        <v>7</v>
      </c>
      <c r="F1013" s="1">
        <v>1</v>
      </c>
      <c r="G1013" s="13">
        <v>1.3062415929073965</v>
      </c>
      <c r="H1013" s="14" t="b">
        <v>0</v>
      </c>
      <c r="I1013" s="15">
        <f t="shared" si="60"/>
        <v>2</v>
      </c>
      <c r="J1013" s="15">
        <f t="shared" si="60"/>
        <v>0</v>
      </c>
      <c r="K1013" s="15">
        <f t="shared" si="61"/>
        <v>1</v>
      </c>
      <c r="L1013" s="3" t="str">
        <f t="shared" si="62"/>
        <v>Saturday</v>
      </c>
      <c r="M1013" s="4" t="str">
        <f t="shared" si="63"/>
        <v>Normal Day</v>
      </c>
      <c r="N1013" s="4" t="str">
        <f>TEXT(CleanedData[[#This Row],[DAY]], "mmm yyyy")</f>
        <v>Aug 2024</v>
      </c>
    </row>
    <row r="1014" spans="1:14" x14ac:dyDescent="0.3">
      <c r="A1014" s="5">
        <v>45521</v>
      </c>
      <c r="B1014" s="12">
        <v>868.5</v>
      </c>
      <c r="C1014" s="12">
        <v>21</v>
      </c>
      <c r="D1014" s="2" t="s">
        <v>6</v>
      </c>
      <c r="E1014" s="2" t="s">
        <v>7</v>
      </c>
      <c r="F1014" s="1">
        <v>283</v>
      </c>
      <c r="G1014" s="13">
        <v>831.29278803806119</v>
      </c>
      <c r="H1014" s="14" t="b">
        <v>0</v>
      </c>
      <c r="I1014" s="15">
        <f t="shared" si="60"/>
        <v>869</v>
      </c>
      <c r="J1014" s="15">
        <f t="shared" si="60"/>
        <v>21</v>
      </c>
      <c r="K1014" s="15">
        <f t="shared" si="61"/>
        <v>831</v>
      </c>
      <c r="L1014" s="3" t="str">
        <f t="shared" si="62"/>
        <v>Saturday</v>
      </c>
      <c r="M1014" s="4" t="str">
        <f t="shared" si="63"/>
        <v>Normal Day</v>
      </c>
      <c r="N1014" s="4" t="str">
        <f>TEXT(CleanedData[[#This Row],[DAY]], "mmm yyyy")</f>
        <v>Aug 2024</v>
      </c>
    </row>
    <row r="1015" spans="1:14" x14ac:dyDescent="0.3">
      <c r="A1015" s="5">
        <v>45521</v>
      </c>
      <c r="B1015" s="12">
        <v>1134</v>
      </c>
      <c r="C1015" s="12">
        <v>21</v>
      </c>
      <c r="D1015" s="2" t="s">
        <v>6</v>
      </c>
      <c r="E1015" s="2" t="s">
        <v>8</v>
      </c>
      <c r="F1015" s="1">
        <v>82</v>
      </c>
      <c r="G1015" s="13">
        <v>951.01484913858201</v>
      </c>
      <c r="H1015" s="14" t="b">
        <v>0</v>
      </c>
      <c r="I1015" s="15">
        <f t="shared" si="60"/>
        <v>1134</v>
      </c>
      <c r="J1015" s="15">
        <f t="shared" si="60"/>
        <v>21</v>
      </c>
      <c r="K1015" s="15">
        <f t="shared" si="61"/>
        <v>951</v>
      </c>
      <c r="L1015" s="3" t="str">
        <f t="shared" si="62"/>
        <v>Saturday</v>
      </c>
      <c r="M1015" s="4" t="str">
        <f t="shared" si="63"/>
        <v>Normal Day</v>
      </c>
      <c r="N1015" s="4" t="str">
        <f>TEXT(CleanedData[[#This Row],[DAY]], "mmm yyyy")</f>
        <v>Aug 2024</v>
      </c>
    </row>
    <row r="1016" spans="1:14" x14ac:dyDescent="0.3">
      <c r="A1016" s="5">
        <v>45521</v>
      </c>
      <c r="B1016" s="12">
        <v>4740</v>
      </c>
      <c r="C1016" s="12">
        <v>82.5</v>
      </c>
      <c r="D1016" s="2" t="s">
        <v>9</v>
      </c>
      <c r="E1016" s="2" t="s">
        <v>8</v>
      </c>
      <c r="F1016" s="1">
        <v>3100</v>
      </c>
      <c r="G1016" s="13">
        <v>4001.5734864222345</v>
      </c>
      <c r="H1016" s="14" t="b">
        <v>0</v>
      </c>
      <c r="I1016" s="15">
        <f t="shared" si="60"/>
        <v>4740</v>
      </c>
      <c r="J1016" s="15">
        <f t="shared" si="60"/>
        <v>83</v>
      </c>
      <c r="K1016" s="15">
        <f t="shared" si="61"/>
        <v>4002</v>
      </c>
      <c r="L1016" s="3" t="str">
        <f t="shared" si="62"/>
        <v>Saturday</v>
      </c>
      <c r="M1016" s="4" t="str">
        <f t="shared" si="63"/>
        <v>Normal Day</v>
      </c>
      <c r="N1016" s="4" t="str">
        <f>TEXT(CleanedData[[#This Row],[DAY]], "mmm yyyy")</f>
        <v>Aug 2024</v>
      </c>
    </row>
    <row r="1017" spans="1:14" x14ac:dyDescent="0.3">
      <c r="A1017" s="5">
        <v>45521</v>
      </c>
      <c r="B1017" s="12">
        <v>5947.5</v>
      </c>
      <c r="C1017" s="12">
        <v>99</v>
      </c>
      <c r="D1017" s="2" t="s">
        <v>10</v>
      </c>
      <c r="E1017" s="2" t="s">
        <v>7</v>
      </c>
      <c r="F1017" s="1">
        <v>1347</v>
      </c>
      <c r="G1017" s="13">
        <v>5574.0255765743823</v>
      </c>
      <c r="H1017" s="14" t="b">
        <v>0</v>
      </c>
      <c r="I1017" s="15">
        <f t="shared" si="60"/>
        <v>5948</v>
      </c>
      <c r="J1017" s="15">
        <f t="shared" si="60"/>
        <v>99</v>
      </c>
      <c r="K1017" s="15">
        <f t="shared" si="61"/>
        <v>5574</v>
      </c>
      <c r="L1017" s="3" t="str">
        <f t="shared" si="62"/>
        <v>Saturday</v>
      </c>
      <c r="M1017" s="4" t="str">
        <f t="shared" si="63"/>
        <v>Normal Day</v>
      </c>
      <c r="N1017" s="4" t="str">
        <f>TEXT(CleanedData[[#This Row],[DAY]], "mmm yyyy")</f>
        <v>Aug 2024</v>
      </c>
    </row>
    <row r="1018" spans="1:14" x14ac:dyDescent="0.3">
      <c r="A1018" s="5">
        <v>45522</v>
      </c>
      <c r="B1018" s="12">
        <v>4.5</v>
      </c>
      <c r="C1018" s="12">
        <v>1.5</v>
      </c>
      <c r="D1018" s="2" t="s">
        <v>10</v>
      </c>
      <c r="E1018" s="2" t="s">
        <v>8</v>
      </c>
      <c r="F1018" s="1">
        <v>3</v>
      </c>
      <c r="G1018" s="13">
        <v>5.19482117612334</v>
      </c>
      <c r="H1018" s="14" t="b">
        <v>0</v>
      </c>
      <c r="I1018" s="15">
        <f t="shared" si="60"/>
        <v>5</v>
      </c>
      <c r="J1018" s="15">
        <f t="shared" si="60"/>
        <v>2</v>
      </c>
      <c r="K1018" s="15">
        <f t="shared" si="61"/>
        <v>5</v>
      </c>
      <c r="L1018" s="3" t="str">
        <f t="shared" si="62"/>
        <v>Sunday</v>
      </c>
      <c r="M1018" s="4" t="str">
        <f t="shared" si="63"/>
        <v>Normal Day</v>
      </c>
      <c r="N1018" s="4" t="str">
        <f>TEXT(CleanedData[[#This Row],[DAY]], "mmm yyyy")</f>
        <v>Aug 2024</v>
      </c>
    </row>
    <row r="1019" spans="1:14" x14ac:dyDescent="0.3">
      <c r="A1019" s="5">
        <v>45522</v>
      </c>
      <c r="B1019" s="12">
        <v>1300.5</v>
      </c>
      <c r="C1019" s="12">
        <v>27</v>
      </c>
      <c r="D1019" s="2" t="s">
        <v>6</v>
      </c>
      <c r="E1019" s="2" t="s">
        <v>7</v>
      </c>
      <c r="F1019" s="1">
        <v>49</v>
      </c>
      <c r="G1019" s="13">
        <v>1245.4204437052413</v>
      </c>
      <c r="H1019" s="14" t="b">
        <v>0</v>
      </c>
      <c r="I1019" s="15">
        <f t="shared" si="60"/>
        <v>1301</v>
      </c>
      <c r="J1019" s="15">
        <f t="shared" si="60"/>
        <v>27</v>
      </c>
      <c r="K1019" s="15">
        <f t="shared" si="61"/>
        <v>1245</v>
      </c>
      <c r="L1019" s="3" t="str">
        <f t="shared" si="62"/>
        <v>Sunday</v>
      </c>
      <c r="M1019" s="4" t="str">
        <f t="shared" si="63"/>
        <v>Normal Day</v>
      </c>
      <c r="N1019" s="4" t="str">
        <f>TEXT(CleanedData[[#This Row],[DAY]], "mmm yyyy")</f>
        <v>Aug 2024</v>
      </c>
    </row>
    <row r="1020" spans="1:14" x14ac:dyDescent="0.3">
      <c r="A1020" s="5">
        <v>45522</v>
      </c>
      <c r="B1020" s="12">
        <v>1401</v>
      </c>
      <c r="C1020" s="12">
        <v>27</v>
      </c>
      <c r="D1020" s="2" t="s">
        <v>6</v>
      </c>
      <c r="E1020" s="2" t="s">
        <v>8</v>
      </c>
      <c r="F1020" s="1">
        <v>754</v>
      </c>
      <c r="G1020" s="13">
        <v>1235.7247819147096</v>
      </c>
      <c r="H1020" s="14" t="b">
        <v>0</v>
      </c>
      <c r="I1020" s="15">
        <f t="shared" si="60"/>
        <v>1401</v>
      </c>
      <c r="J1020" s="15">
        <f t="shared" si="60"/>
        <v>27</v>
      </c>
      <c r="K1020" s="15">
        <f t="shared" si="61"/>
        <v>1236</v>
      </c>
      <c r="L1020" s="3" t="str">
        <f t="shared" si="62"/>
        <v>Sunday</v>
      </c>
      <c r="M1020" s="4" t="str">
        <f t="shared" si="63"/>
        <v>Normal Day</v>
      </c>
      <c r="N1020" s="4" t="str">
        <f>TEXT(CleanedData[[#This Row],[DAY]], "mmm yyyy")</f>
        <v>Aug 2024</v>
      </c>
    </row>
    <row r="1021" spans="1:14" x14ac:dyDescent="0.3">
      <c r="A1021" s="5">
        <v>45522</v>
      </c>
      <c r="B1021" s="12">
        <v>4137</v>
      </c>
      <c r="C1021" s="12">
        <v>157.5</v>
      </c>
      <c r="D1021" s="2" t="s">
        <v>9</v>
      </c>
      <c r="E1021" s="2" t="s">
        <v>8</v>
      </c>
      <c r="F1021" s="1">
        <v>2655</v>
      </c>
      <c r="G1021" s="13">
        <v>3617.6960199197206</v>
      </c>
      <c r="H1021" s="14" t="b">
        <v>0</v>
      </c>
      <c r="I1021" s="15">
        <f t="shared" si="60"/>
        <v>4137</v>
      </c>
      <c r="J1021" s="15">
        <f t="shared" si="60"/>
        <v>158</v>
      </c>
      <c r="K1021" s="15">
        <f t="shared" si="61"/>
        <v>3618</v>
      </c>
      <c r="L1021" s="3" t="str">
        <f t="shared" si="62"/>
        <v>Sunday</v>
      </c>
      <c r="M1021" s="4" t="str">
        <f t="shared" si="63"/>
        <v>Normal Day</v>
      </c>
      <c r="N1021" s="4" t="str">
        <f>TEXT(CleanedData[[#This Row],[DAY]], "mmm yyyy")</f>
        <v>Aug 2024</v>
      </c>
    </row>
    <row r="1022" spans="1:14" x14ac:dyDescent="0.3">
      <c r="A1022" s="5">
        <v>45522</v>
      </c>
      <c r="B1022" s="12">
        <v>6256.5</v>
      </c>
      <c r="C1022" s="12">
        <v>391.5</v>
      </c>
      <c r="D1022" s="2" t="s">
        <v>10</v>
      </c>
      <c r="E1022" s="2" t="s">
        <v>7</v>
      </c>
      <c r="F1022" s="1">
        <v>1732</v>
      </c>
      <c r="G1022" s="13">
        <v>6196.9307386592382</v>
      </c>
      <c r="H1022" s="14" t="b">
        <v>0</v>
      </c>
      <c r="I1022" s="15">
        <f t="shared" si="60"/>
        <v>6257</v>
      </c>
      <c r="J1022" s="15">
        <f t="shared" si="60"/>
        <v>392</v>
      </c>
      <c r="K1022" s="15">
        <f t="shared" si="61"/>
        <v>6197</v>
      </c>
      <c r="L1022" s="3" t="str">
        <f t="shared" si="62"/>
        <v>Sunday</v>
      </c>
      <c r="M1022" s="4" t="str">
        <f t="shared" si="63"/>
        <v>Normal Day</v>
      </c>
      <c r="N1022" s="4" t="str">
        <f>TEXT(CleanedData[[#This Row],[DAY]], "mmm yyyy")</f>
        <v>Aug 2024</v>
      </c>
    </row>
    <row r="1023" spans="1:14" x14ac:dyDescent="0.3">
      <c r="A1023" s="5">
        <v>45523</v>
      </c>
      <c r="B1023" s="12">
        <v>1111.5</v>
      </c>
      <c r="C1023" s="12">
        <v>99</v>
      </c>
      <c r="D1023" s="2" t="s">
        <v>6</v>
      </c>
      <c r="E1023" s="2" t="s">
        <v>8</v>
      </c>
      <c r="F1023" s="1">
        <v>480</v>
      </c>
      <c r="G1023" s="13">
        <v>1056.6022582266548</v>
      </c>
      <c r="H1023" s="14" t="b">
        <v>0</v>
      </c>
      <c r="I1023" s="15">
        <f t="shared" si="60"/>
        <v>1112</v>
      </c>
      <c r="J1023" s="15">
        <f t="shared" si="60"/>
        <v>99</v>
      </c>
      <c r="K1023" s="15">
        <f t="shared" si="61"/>
        <v>1057</v>
      </c>
      <c r="L1023" s="3" t="str">
        <f t="shared" si="62"/>
        <v>Monday</v>
      </c>
      <c r="M1023" s="4" t="str">
        <f t="shared" si="63"/>
        <v>Normal Day</v>
      </c>
      <c r="N1023" s="4" t="str">
        <f>TEXT(CleanedData[[#This Row],[DAY]], "mmm yyyy")</f>
        <v>Aug 2024</v>
      </c>
    </row>
    <row r="1024" spans="1:14" x14ac:dyDescent="0.3">
      <c r="A1024" s="5">
        <v>45523</v>
      </c>
      <c r="B1024" s="12">
        <v>1602</v>
      </c>
      <c r="C1024" s="12">
        <v>99</v>
      </c>
      <c r="D1024" s="2" t="s">
        <v>6</v>
      </c>
      <c r="E1024" s="2" t="s">
        <v>7</v>
      </c>
      <c r="F1024" s="1">
        <v>243</v>
      </c>
      <c r="G1024" s="13">
        <v>1588.4296266490537</v>
      </c>
      <c r="H1024" s="14" t="b">
        <v>0</v>
      </c>
      <c r="I1024" s="15">
        <f t="shared" si="60"/>
        <v>1602</v>
      </c>
      <c r="J1024" s="15">
        <f t="shared" si="60"/>
        <v>99</v>
      </c>
      <c r="K1024" s="15">
        <f t="shared" si="61"/>
        <v>1588</v>
      </c>
      <c r="L1024" s="3" t="str">
        <f t="shared" si="62"/>
        <v>Monday</v>
      </c>
      <c r="M1024" s="4" t="str">
        <f t="shared" si="63"/>
        <v>Normal Day</v>
      </c>
      <c r="N1024" s="4" t="str">
        <f>TEXT(CleanedData[[#This Row],[DAY]], "mmm yyyy")</f>
        <v>Aug 2024</v>
      </c>
    </row>
    <row r="1025" spans="1:14" x14ac:dyDescent="0.3">
      <c r="A1025" s="5">
        <v>45523</v>
      </c>
      <c r="B1025" s="12">
        <v>3694.5</v>
      </c>
      <c r="C1025" s="12">
        <v>169.5</v>
      </c>
      <c r="D1025" s="2" t="s">
        <v>9</v>
      </c>
      <c r="E1025" s="2" t="s">
        <v>8</v>
      </c>
      <c r="F1025" s="1">
        <v>1005</v>
      </c>
      <c r="G1025" s="13">
        <v>3389.2773242506064</v>
      </c>
      <c r="H1025" s="14" t="b">
        <v>0</v>
      </c>
      <c r="I1025" s="15">
        <f t="shared" si="60"/>
        <v>3695</v>
      </c>
      <c r="J1025" s="15">
        <f t="shared" si="60"/>
        <v>170</v>
      </c>
      <c r="K1025" s="15">
        <f t="shared" si="61"/>
        <v>3389</v>
      </c>
      <c r="L1025" s="3" t="str">
        <f t="shared" si="62"/>
        <v>Monday</v>
      </c>
      <c r="M1025" s="4" t="str">
        <f t="shared" si="63"/>
        <v>Normal Day</v>
      </c>
      <c r="N1025" s="4" t="str">
        <f>TEXT(CleanedData[[#This Row],[DAY]], "mmm yyyy")</f>
        <v>Aug 2024</v>
      </c>
    </row>
    <row r="1026" spans="1:14" x14ac:dyDescent="0.3">
      <c r="A1026" s="5">
        <v>45523</v>
      </c>
      <c r="B1026" s="12">
        <v>3711</v>
      </c>
      <c r="C1026" s="12">
        <v>145.5</v>
      </c>
      <c r="D1026" s="2" t="s">
        <v>10</v>
      </c>
      <c r="E1026" s="2" t="s">
        <v>7</v>
      </c>
      <c r="F1026" s="1">
        <v>584</v>
      </c>
      <c r="G1026" s="13">
        <v>3581.5643959276454</v>
      </c>
      <c r="H1026" s="14" t="b">
        <v>0</v>
      </c>
      <c r="I1026" s="15">
        <f t="shared" ref="I1026:J1089" si="64">ROUND(B1026, 0)</f>
        <v>3711</v>
      </c>
      <c r="J1026" s="15">
        <f t="shared" si="64"/>
        <v>146</v>
      </c>
      <c r="K1026" s="15">
        <f t="shared" ref="K1026:K1089" si="65">ROUND(G1026, 0)</f>
        <v>3582</v>
      </c>
      <c r="L1026" s="3" t="str">
        <f t="shared" si="62"/>
        <v>Monday</v>
      </c>
      <c r="M1026" s="4" t="str">
        <f t="shared" si="63"/>
        <v>Normal Day</v>
      </c>
      <c r="N1026" s="4" t="str">
        <f>TEXT(CleanedData[[#This Row],[DAY]], "mmm yyyy")</f>
        <v>Aug 2024</v>
      </c>
    </row>
    <row r="1027" spans="1:14" x14ac:dyDescent="0.3">
      <c r="A1027" s="5">
        <v>45524</v>
      </c>
      <c r="B1027" s="12">
        <v>1.5</v>
      </c>
      <c r="C1027" s="12">
        <v>0</v>
      </c>
      <c r="D1027" s="2" t="s">
        <v>9</v>
      </c>
      <c r="E1027" s="2" t="s">
        <v>7</v>
      </c>
      <c r="F1027" s="1">
        <v>1</v>
      </c>
      <c r="G1027" s="13">
        <v>1.3601757036942839</v>
      </c>
      <c r="H1027" s="14" t="b">
        <v>0</v>
      </c>
      <c r="I1027" s="15">
        <f t="shared" si="64"/>
        <v>2</v>
      </c>
      <c r="J1027" s="15">
        <f t="shared" si="64"/>
        <v>0</v>
      </c>
      <c r="K1027" s="15">
        <f t="shared" si="65"/>
        <v>1</v>
      </c>
      <c r="L1027" s="3" t="str">
        <f t="shared" ref="L1027:L1090" si="66">TEXT(A1027,"dddd")</f>
        <v>Tuesday</v>
      </c>
      <c r="M1027" s="4" t="str">
        <f t="shared" ref="M1027:M1090" si="67">IF(H1027=TRUE, "Outage Day", "Normal Day")</f>
        <v>Normal Day</v>
      </c>
      <c r="N1027" s="4" t="str">
        <f>TEXT(CleanedData[[#This Row],[DAY]], "mmm yyyy")</f>
        <v>Aug 2024</v>
      </c>
    </row>
    <row r="1028" spans="1:14" x14ac:dyDescent="0.3">
      <c r="A1028" s="5">
        <v>45524</v>
      </c>
      <c r="B1028" s="12">
        <v>520.5</v>
      </c>
      <c r="C1028" s="12">
        <v>33</v>
      </c>
      <c r="D1028" s="2" t="s">
        <v>6</v>
      </c>
      <c r="E1028" s="2" t="s">
        <v>8</v>
      </c>
      <c r="F1028" s="1">
        <v>321</v>
      </c>
      <c r="G1028" s="13">
        <v>479.02962758676938</v>
      </c>
      <c r="H1028" s="14" t="b">
        <v>0</v>
      </c>
      <c r="I1028" s="15">
        <f t="shared" si="64"/>
        <v>521</v>
      </c>
      <c r="J1028" s="15">
        <f t="shared" si="64"/>
        <v>33</v>
      </c>
      <c r="K1028" s="15">
        <f t="shared" si="65"/>
        <v>479</v>
      </c>
      <c r="L1028" s="3" t="str">
        <f t="shared" si="66"/>
        <v>Tuesday</v>
      </c>
      <c r="M1028" s="4" t="str">
        <f t="shared" si="67"/>
        <v>Normal Day</v>
      </c>
      <c r="N1028" s="4" t="str">
        <f>TEXT(CleanedData[[#This Row],[DAY]], "mmm yyyy")</f>
        <v>Aug 2024</v>
      </c>
    </row>
    <row r="1029" spans="1:14" x14ac:dyDescent="0.3">
      <c r="A1029" s="5">
        <v>45524</v>
      </c>
      <c r="B1029" s="12">
        <v>633</v>
      </c>
      <c r="C1029" s="12">
        <v>33</v>
      </c>
      <c r="D1029" s="2" t="s">
        <v>6</v>
      </c>
      <c r="E1029" s="2" t="s">
        <v>7</v>
      </c>
      <c r="F1029" s="1">
        <v>158</v>
      </c>
      <c r="G1029" s="13">
        <v>597.57030545443502</v>
      </c>
      <c r="H1029" s="14" t="b">
        <v>0</v>
      </c>
      <c r="I1029" s="15">
        <f t="shared" si="64"/>
        <v>633</v>
      </c>
      <c r="J1029" s="15">
        <f t="shared" si="64"/>
        <v>33</v>
      </c>
      <c r="K1029" s="15">
        <f t="shared" si="65"/>
        <v>598</v>
      </c>
      <c r="L1029" s="3" t="str">
        <f t="shared" si="66"/>
        <v>Tuesday</v>
      </c>
      <c r="M1029" s="4" t="str">
        <f t="shared" si="67"/>
        <v>Normal Day</v>
      </c>
      <c r="N1029" s="4" t="str">
        <f>TEXT(CleanedData[[#This Row],[DAY]], "mmm yyyy")</f>
        <v>Aug 2024</v>
      </c>
    </row>
    <row r="1030" spans="1:14" x14ac:dyDescent="0.3">
      <c r="A1030" s="5">
        <v>45524</v>
      </c>
      <c r="B1030" s="12">
        <v>3876</v>
      </c>
      <c r="C1030" s="12">
        <v>166.5</v>
      </c>
      <c r="D1030" s="2" t="s">
        <v>9</v>
      </c>
      <c r="E1030" s="2" t="s">
        <v>8</v>
      </c>
      <c r="F1030" s="1">
        <v>2496</v>
      </c>
      <c r="G1030" s="13">
        <v>3406.9911670987285</v>
      </c>
      <c r="H1030" s="14" t="b">
        <v>0</v>
      </c>
      <c r="I1030" s="15">
        <f t="shared" si="64"/>
        <v>3876</v>
      </c>
      <c r="J1030" s="15">
        <f t="shared" si="64"/>
        <v>167</v>
      </c>
      <c r="K1030" s="15">
        <f t="shared" si="65"/>
        <v>3407</v>
      </c>
      <c r="L1030" s="3" t="str">
        <f t="shared" si="66"/>
        <v>Tuesday</v>
      </c>
      <c r="M1030" s="4" t="str">
        <f t="shared" si="67"/>
        <v>Normal Day</v>
      </c>
      <c r="N1030" s="4" t="str">
        <f>TEXT(CleanedData[[#This Row],[DAY]], "mmm yyyy")</f>
        <v>Aug 2024</v>
      </c>
    </row>
    <row r="1031" spans="1:14" x14ac:dyDescent="0.3">
      <c r="A1031" s="5">
        <v>45524</v>
      </c>
      <c r="B1031" s="12">
        <v>4893</v>
      </c>
      <c r="C1031" s="12">
        <v>13.5</v>
      </c>
      <c r="D1031" s="2" t="s">
        <v>10</v>
      </c>
      <c r="E1031" s="2" t="s">
        <v>7</v>
      </c>
      <c r="F1031" s="1">
        <v>824</v>
      </c>
      <c r="G1031" s="13">
        <v>4611.9188669248806</v>
      </c>
      <c r="H1031" s="14" t="b">
        <v>0</v>
      </c>
      <c r="I1031" s="15">
        <f t="shared" si="64"/>
        <v>4893</v>
      </c>
      <c r="J1031" s="15">
        <f t="shared" si="64"/>
        <v>14</v>
      </c>
      <c r="K1031" s="15">
        <f t="shared" si="65"/>
        <v>4612</v>
      </c>
      <c r="L1031" s="3" t="str">
        <f t="shared" si="66"/>
        <v>Tuesday</v>
      </c>
      <c r="M1031" s="4" t="str">
        <f t="shared" si="67"/>
        <v>Normal Day</v>
      </c>
      <c r="N1031" s="4" t="str">
        <f>TEXT(CleanedData[[#This Row],[DAY]], "mmm yyyy")</f>
        <v>Aug 2024</v>
      </c>
    </row>
    <row r="1032" spans="1:14" x14ac:dyDescent="0.3">
      <c r="A1032" s="5">
        <v>45525</v>
      </c>
      <c r="B1032" s="12">
        <v>343.5</v>
      </c>
      <c r="C1032" s="12">
        <v>27</v>
      </c>
      <c r="D1032" s="2" t="s">
        <v>6</v>
      </c>
      <c r="E1032" s="2" t="s">
        <v>8</v>
      </c>
      <c r="F1032" s="1">
        <v>22</v>
      </c>
      <c r="G1032" s="13">
        <v>299.23760260201078</v>
      </c>
      <c r="H1032" s="14" t="b">
        <v>0</v>
      </c>
      <c r="I1032" s="15">
        <f t="shared" si="64"/>
        <v>344</v>
      </c>
      <c r="J1032" s="15">
        <f t="shared" si="64"/>
        <v>27</v>
      </c>
      <c r="K1032" s="15">
        <f t="shared" si="65"/>
        <v>299</v>
      </c>
      <c r="L1032" s="3" t="str">
        <f t="shared" si="66"/>
        <v>Wednesday</v>
      </c>
      <c r="M1032" s="4" t="str">
        <f t="shared" si="67"/>
        <v>Normal Day</v>
      </c>
      <c r="N1032" s="4" t="str">
        <f>TEXT(CleanedData[[#This Row],[DAY]], "mmm yyyy")</f>
        <v>Aug 2024</v>
      </c>
    </row>
    <row r="1033" spans="1:14" x14ac:dyDescent="0.3">
      <c r="A1033" s="5">
        <v>45525</v>
      </c>
      <c r="B1033" s="12">
        <v>559.5</v>
      </c>
      <c r="C1033" s="12">
        <v>27</v>
      </c>
      <c r="D1033" s="2" t="s">
        <v>6</v>
      </c>
      <c r="E1033" s="2" t="s">
        <v>7</v>
      </c>
      <c r="F1033" s="1">
        <v>312</v>
      </c>
      <c r="G1033" s="13">
        <v>531.09779669987574</v>
      </c>
      <c r="H1033" s="14" t="b">
        <v>0</v>
      </c>
      <c r="I1033" s="15">
        <f t="shared" si="64"/>
        <v>560</v>
      </c>
      <c r="J1033" s="15">
        <f t="shared" si="64"/>
        <v>27</v>
      </c>
      <c r="K1033" s="15">
        <f t="shared" si="65"/>
        <v>531</v>
      </c>
      <c r="L1033" s="3" t="str">
        <f t="shared" si="66"/>
        <v>Wednesday</v>
      </c>
      <c r="M1033" s="4" t="str">
        <f t="shared" si="67"/>
        <v>Normal Day</v>
      </c>
      <c r="N1033" s="4" t="str">
        <f>TEXT(CleanedData[[#This Row],[DAY]], "mmm yyyy")</f>
        <v>Aug 2024</v>
      </c>
    </row>
    <row r="1034" spans="1:14" x14ac:dyDescent="0.3">
      <c r="A1034" s="5">
        <v>45525</v>
      </c>
      <c r="B1034" s="12">
        <v>5214</v>
      </c>
      <c r="C1034" s="12">
        <v>198</v>
      </c>
      <c r="D1034" s="2" t="s">
        <v>10</v>
      </c>
      <c r="E1034" s="2" t="s">
        <v>7</v>
      </c>
      <c r="F1034" s="1">
        <v>1665</v>
      </c>
      <c r="G1034" s="13">
        <v>4760.3573936799403</v>
      </c>
      <c r="H1034" s="14" t="b">
        <v>0</v>
      </c>
      <c r="I1034" s="15">
        <f t="shared" si="64"/>
        <v>5214</v>
      </c>
      <c r="J1034" s="15">
        <f t="shared" si="64"/>
        <v>198</v>
      </c>
      <c r="K1034" s="15">
        <f t="shared" si="65"/>
        <v>4760</v>
      </c>
      <c r="L1034" s="3" t="str">
        <f t="shared" si="66"/>
        <v>Wednesday</v>
      </c>
      <c r="M1034" s="4" t="str">
        <f t="shared" si="67"/>
        <v>Normal Day</v>
      </c>
      <c r="N1034" s="4" t="str">
        <f>TEXT(CleanedData[[#This Row],[DAY]], "mmm yyyy")</f>
        <v>Aug 2024</v>
      </c>
    </row>
    <row r="1035" spans="1:14" x14ac:dyDescent="0.3">
      <c r="A1035" s="5">
        <v>45525</v>
      </c>
      <c r="B1035" s="12">
        <v>5512.5</v>
      </c>
      <c r="C1035" s="12">
        <v>102</v>
      </c>
      <c r="D1035" s="2" t="s">
        <v>9</v>
      </c>
      <c r="E1035" s="2" t="s">
        <v>8</v>
      </c>
      <c r="F1035" s="1">
        <v>3494</v>
      </c>
      <c r="G1035" s="13">
        <v>4520.9608769763026</v>
      </c>
      <c r="H1035" s="14" t="b">
        <v>0</v>
      </c>
      <c r="I1035" s="15">
        <f t="shared" si="64"/>
        <v>5513</v>
      </c>
      <c r="J1035" s="15">
        <f t="shared" si="64"/>
        <v>102</v>
      </c>
      <c r="K1035" s="15">
        <f t="shared" si="65"/>
        <v>4521</v>
      </c>
      <c r="L1035" s="3" t="str">
        <f t="shared" si="66"/>
        <v>Wednesday</v>
      </c>
      <c r="M1035" s="4" t="str">
        <f t="shared" si="67"/>
        <v>Normal Day</v>
      </c>
      <c r="N1035" s="4" t="str">
        <f>TEXT(CleanedData[[#This Row],[DAY]], "mmm yyyy")</f>
        <v>Aug 2024</v>
      </c>
    </row>
    <row r="1036" spans="1:14" x14ac:dyDescent="0.3">
      <c r="A1036" s="5">
        <v>45526</v>
      </c>
      <c r="B1036" s="12">
        <v>999</v>
      </c>
      <c r="C1036" s="12">
        <v>4.5</v>
      </c>
      <c r="D1036" s="2" t="s">
        <v>6</v>
      </c>
      <c r="E1036" s="2" t="s">
        <v>8</v>
      </c>
      <c r="F1036" s="1">
        <v>588</v>
      </c>
      <c r="G1036" s="13">
        <v>844.55107891337718</v>
      </c>
      <c r="H1036" s="14" t="b">
        <v>0</v>
      </c>
      <c r="I1036" s="15">
        <f t="shared" si="64"/>
        <v>999</v>
      </c>
      <c r="J1036" s="15">
        <f t="shared" si="64"/>
        <v>5</v>
      </c>
      <c r="K1036" s="15">
        <f t="shared" si="65"/>
        <v>845</v>
      </c>
      <c r="L1036" s="3" t="str">
        <f t="shared" si="66"/>
        <v>Thursday</v>
      </c>
      <c r="M1036" s="4" t="str">
        <f t="shared" si="67"/>
        <v>Normal Day</v>
      </c>
      <c r="N1036" s="4" t="str">
        <f>TEXT(CleanedData[[#This Row],[DAY]], "mmm yyyy")</f>
        <v>Aug 2024</v>
      </c>
    </row>
    <row r="1037" spans="1:14" x14ac:dyDescent="0.3">
      <c r="A1037" s="5">
        <v>45526</v>
      </c>
      <c r="B1037" s="12">
        <v>1467</v>
      </c>
      <c r="C1037" s="12">
        <v>4.5</v>
      </c>
      <c r="D1037" s="2" t="s">
        <v>6</v>
      </c>
      <c r="E1037" s="2" t="s">
        <v>7</v>
      </c>
      <c r="F1037" s="1">
        <v>580</v>
      </c>
      <c r="G1037" s="13">
        <v>1302.7885279213999</v>
      </c>
      <c r="H1037" s="14" t="b">
        <v>0</v>
      </c>
      <c r="I1037" s="15">
        <f t="shared" si="64"/>
        <v>1467</v>
      </c>
      <c r="J1037" s="15">
        <f t="shared" si="64"/>
        <v>5</v>
      </c>
      <c r="K1037" s="15">
        <f t="shared" si="65"/>
        <v>1303</v>
      </c>
      <c r="L1037" s="3" t="str">
        <f t="shared" si="66"/>
        <v>Thursday</v>
      </c>
      <c r="M1037" s="4" t="str">
        <f t="shared" si="67"/>
        <v>Normal Day</v>
      </c>
      <c r="N1037" s="4" t="str">
        <f>TEXT(CleanedData[[#This Row],[DAY]], "mmm yyyy")</f>
        <v>Aug 2024</v>
      </c>
    </row>
    <row r="1038" spans="1:14" x14ac:dyDescent="0.3">
      <c r="A1038" s="5">
        <v>45526</v>
      </c>
      <c r="B1038" s="12">
        <v>4516.5</v>
      </c>
      <c r="C1038" s="12">
        <v>91.5</v>
      </c>
      <c r="D1038" s="2" t="s">
        <v>9</v>
      </c>
      <c r="E1038" s="2" t="s">
        <v>8</v>
      </c>
      <c r="F1038" s="1">
        <v>1847</v>
      </c>
      <c r="G1038" s="13">
        <v>3966.5552238765667</v>
      </c>
      <c r="H1038" s="14" t="b">
        <v>0</v>
      </c>
      <c r="I1038" s="15">
        <f t="shared" si="64"/>
        <v>4517</v>
      </c>
      <c r="J1038" s="15">
        <f t="shared" si="64"/>
        <v>92</v>
      </c>
      <c r="K1038" s="15">
        <f t="shared" si="65"/>
        <v>3967</v>
      </c>
      <c r="L1038" s="3" t="str">
        <f t="shared" si="66"/>
        <v>Thursday</v>
      </c>
      <c r="M1038" s="4" t="str">
        <f t="shared" si="67"/>
        <v>Normal Day</v>
      </c>
      <c r="N1038" s="4" t="str">
        <f>TEXT(CleanedData[[#This Row],[DAY]], "mmm yyyy")</f>
        <v>Aug 2024</v>
      </c>
    </row>
    <row r="1039" spans="1:14" x14ac:dyDescent="0.3">
      <c r="A1039" s="5">
        <v>45526</v>
      </c>
      <c r="B1039" s="12">
        <v>4845</v>
      </c>
      <c r="C1039" s="12">
        <v>241.5</v>
      </c>
      <c r="D1039" s="2" t="s">
        <v>10</v>
      </c>
      <c r="E1039" s="2" t="s">
        <v>7</v>
      </c>
      <c r="F1039" s="1">
        <v>3106</v>
      </c>
      <c r="G1039" s="13">
        <v>4715.4896855525894</v>
      </c>
      <c r="H1039" s="14" t="b">
        <v>0</v>
      </c>
      <c r="I1039" s="15">
        <f t="shared" si="64"/>
        <v>4845</v>
      </c>
      <c r="J1039" s="15">
        <f t="shared" si="64"/>
        <v>242</v>
      </c>
      <c r="K1039" s="15">
        <f t="shared" si="65"/>
        <v>4715</v>
      </c>
      <c r="L1039" s="3" t="str">
        <f t="shared" si="66"/>
        <v>Thursday</v>
      </c>
      <c r="M1039" s="4" t="str">
        <f t="shared" si="67"/>
        <v>Normal Day</v>
      </c>
      <c r="N1039" s="4" t="str">
        <f>TEXT(CleanedData[[#This Row],[DAY]], "mmm yyyy")</f>
        <v>Aug 2024</v>
      </c>
    </row>
    <row r="1040" spans="1:14" x14ac:dyDescent="0.3">
      <c r="A1040" s="5">
        <v>45527</v>
      </c>
      <c r="B1040" s="12">
        <v>384</v>
      </c>
      <c r="C1040" s="12">
        <v>39</v>
      </c>
      <c r="D1040" s="2" t="s">
        <v>6</v>
      </c>
      <c r="E1040" s="2" t="s">
        <v>8</v>
      </c>
      <c r="F1040" s="1">
        <v>144</v>
      </c>
      <c r="G1040" s="13">
        <v>365.99453871664588</v>
      </c>
      <c r="H1040" s="14" t="b">
        <v>0</v>
      </c>
      <c r="I1040" s="15">
        <f t="shared" si="64"/>
        <v>384</v>
      </c>
      <c r="J1040" s="15">
        <f t="shared" si="64"/>
        <v>39</v>
      </c>
      <c r="K1040" s="15">
        <f t="shared" si="65"/>
        <v>366</v>
      </c>
      <c r="L1040" s="3" t="str">
        <f t="shared" si="66"/>
        <v>Friday</v>
      </c>
      <c r="M1040" s="4" t="str">
        <f t="shared" si="67"/>
        <v>Normal Day</v>
      </c>
      <c r="N1040" s="4" t="str">
        <f>TEXT(CleanedData[[#This Row],[DAY]], "mmm yyyy")</f>
        <v>Aug 2024</v>
      </c>
    </row>
    <row r="1041" spans="1:14" x14ac:dyDescent="0.3">
      <c r="A1041" s="5">
        <v>45527</v>
      </c>
      <c r="B1041" s="12">
        <v>651</v>
      </c>
      <c r="C1041" s="12">
        <v>39</v>
      </c>
      <c r="D1041" s="2" t="s">
        <v>6</v>
      </c>
      <c r="E1041" s="2" t="s">
        <v>7</v>
      </c>
      <c r="F1041" s="1">
        <v>329</v>
      </c>
      <c r="G1041" s="13">
        <v>629.26394657828735</v>
      </c>
      <c r="H1041" s="14" t="b">
        <v>0</v>
      </c>
      <c r="I1041" s="15">
        <f t="shared" si="64"/>
        <v>651</v>
      </c>
      <c r="J1041" s="15">
        <f t="shared" si="64"/>
        <v>39</v>
      </c>
      <c r="K1041" s="15">
        <f t="shared" si="65"/>
        <v>629</v>
      </c>
      <c r="L1041" s="3" t="str">
        <f t="shared" si="66"/>
        <v>Friday</v>
      </c>
      <c r="M1041" s="4" t="str">
        <f t="shared" si="67"/>
        <v>Normal Day</v>
      </c>
      <c r="N1041" s="4" t="str">
        <f>TEXT(CleanedData[[#This Row],[DAY]], "mmm yyyy")</f>
        <v>Aug 2024</v>
      </c>
    </row>
    <row r="1042" spans="1:14" x14ac:dyDescent="0.3">
      <c r="A1042" s="5">
        <v>45527</v>
      </c>
      <c r="B1042" s="12">
        <v>5682</v>
      </c>
      <c r="C1042" s="12">
        <v>60</v>
      </c>
      <c r="D1042" s="2" t="s">
        <v>9</v>
      </c>
      <c r="E1042" s="2" t="s">
        <v>8</v>
      </c>
      <c r="F1042" s="1">
        <v>254</v>
      </c>
      <c r="G1042" s="13">
        <v>4935.8565269135588</v>
      </c>
      <c r="H1042" s="14" t="b">
        <v>0</v>
      </c>
      <c r="I1042" s="15">
        <f t="shared" si="64"/>
        <v>5682</v>
      </c>
      <c r="J1042" s="15">
        <f t="shared" si="64"/>
        <v>60</v>
      </c>
      <c r="K1042" s="15">
        <f t="shared" si="65"/>
        <v>4936</v>
      </c>
      <c r="L1042" s="3" t="str">
        <f t="shared" si="66"/>
        <v>Friday</v>
      </c>
      <c r="M1042" s="4" t="str">
        <f t="shared" si="67"/>
        <v>Normal Day</v>
      </c>
      <c r="N1042" s="4" t="str">
        <f>TEXT(CleanedData[[#This Row],[DAY]], "mmm yyyy")</f>
        <v>Aug 2024</v>
      </c>
    </row>
    <row r="1043" spans="1:14" x14ac:dyDescent="0.3">
      <c r="A1043" s="5">
        <v>45527</v>
      </c>
      <c r="B1043" s="12">
        <v>6357</v>
      </c>
      <c r="C1043" s="12">
        <v>171</v>
      </c>
      <c r="D1043" s="2" t="s">
        <v>10</v>
      </c>
      <c r="E1043" s="2" t="s">
        <v>7</v>
      </c>
      <c r="F1043" s="1">
        <v>2315</v>
      </c>
      <c r="G1043" s="13">
        <v>5988.5829513673389</v>
      </c>
      <c r="H1043" s="14" t="b">
        <v>0</v>
      </c>
      <c r="I1043" s="15">
        <f t="shared" si="64"/>
        <v>6357</v>
      </c>
      <c r="J1043" s="15">
        <f t="shared" si="64"/>
        <v>171</v>
      </c>
      <c r="K1043" s="15">
        <f t="shared" si="65"/>
        <v>5989</v>
      </c>
      <c r="L1043" s="3" t="str">
        <f t="shared" si="66"/>
        <v>Friday</v>
      </c>
      <c r="M1043" s="4" t="str">
        <f t="shared" si="67"/>
        <v>Normal Day</v>
      </c>
      <c r="N1043" s="4" t="str">
        <f>TEXT(CleanedData[[#This Row],[DAY]], "mmm yyyy")</f>
        <v>Aug 2024</v>
      </c>
    </row>
    <row r="1044" spans="1:14" x14ac:dyDescent="0.3">
      <c r="A1044" s="5">
        <v>45528</v>
      </c>
      <c r="B1044" s="12">
        <v>3</v>
      </c>
      <c r="C1044" s="12">
        <v>0</v>
      </c>
      <c r="D1044" s="2" t="s">
        <v>9</v>
      </c>
      <c r="E1044" s="2" t="s">
        <v>7</v>
      </c>
      <c r="F1044" s="1">
        <v>1</v>
      </c>
      <c r="G1044" s="13">
        <v>2.7996949162635332</v>
      </c>
      <c r="H1044" s="14" t="b">
        <v>0</v>
      </c>
      <c r="I1044" s="15">
        <f t="shared" si="64"/>
        <v>3</v>
      </c>
      <c r="J1044" s="15">
        <f t="shared" si="64"/>
        <v>0</v>
      </c>
      <c r="K1044" s="15">
        <f t="shared" si="65"/>
        <v>3</v>
      </c>
      <c r="L1044" s="3" t="str">
        <f t="shared" si="66"/>
        <v>Saturday</v>
      </c>
      <c r="M1044" s="4" t="str">
        <f t="shared" si="67"/>
        <v>Normal Day</v>
      </c>
      <c r="N1044" s="4" t="str">
        <f>TEXT(CleanedData[[#This Row],[DAY]], "mmm yyyy")</f>
        <v>Aug 2024</v>
      </c>
    </row>
    <row r="1045" spans="1:14" x14ac:dyDescent="0.3">
      <c r="A1045" s="5">
        <v>45528</v>
      </c>
      <c r="B1045" s="12">
        <v>613.5</v>
      </c>
      <c r="C1045" s="12">
        <v>18</v>
      </c>
      <c r="D1045" s="2" t="s">
        <v>6</v>
      </c>
      <c r="E1045" s="2" t="s">
        <v>7</v>
      </c>
      <c r="F1045" s="1">
        <v>102</v>
      </c>
      <c r="G1045" s="13">
        <v>577.70204074220976</v>
      </c>
      <c r="H1045" s="14" t="b">
        <v>0</v>
      </c>
      <c r="I1045" s="15">
        <f t="shared" si="64"/>
        <v>614</v>
      </c>
      <c r="J1045" s="15">
        <f t="shared" si="64"/>
        <v>18</v>
      </c>
      <c r="K1045" s="15">
        <f t="shared" si="65"/>
        <v>578</v>
      </c>
      <c r="L1045" s="3" t="str">
        <f t="shared" si="66"/>
        <v>Saturday</v>
      </c>
      <c r="M1045" s="4" t="str">
        <f t="shared" si="67"/>
        <v>Normal Day</v>
      </c>
      <c r="N1045" s="4" t="str">
        <f>TEXT(CleanedData[[#This Row],[DAY]], "mmm yyyy")</f>
        <v>Aug 2024</v>
      </c>
    </row>
    <row r="1046" spans="1:14" x14ac:dyDescent="0.3">
      <c r="A1046" s="5">
        <v>45528</v>
      </c>
      <c r="B1046" s="12">
        <v>714</v>
      </c>
      <c r="C1046" s="12">
        <v>18</v>
      </c>
      <c r="D1046" s="2" t="s">
        <v>6</v>
      </c>
      <c r="E1046" s="2" t="s">
        <v>8</v>
      </c>
      <c r="F1046" s="1">
        <v>400</v>
      </c>
      <c r="G1046" s="13">
        <v>615.9346070769119</v>
      </c>
      <c r="H1046" s="14" t="b">
        <v>0</v>
      </c>
      <c r="I1046" s="15">
        <f t="shared" si="64"/>
        <v>714</v>
      </c>
      <c r="J1046" s="15">
        <f t="shared" si="64"/>
        <v>18</v>
      </c>
      <c r="K1046" s="15">
        <f t="shared" si="65"/>
        <v>616</v>
      </c>
      <c r="L1046" s="3" t="str">
        <f t="shared" si="66"/>
        <v>Saturday</v>
      </c>
      <c r="M1046" s="4" t="str">
        <f t="shared" si="67"/>
        <v>Normal Day</v>
      </c>
      <c r="N1046" s="4" t="str">
        <f>TEXT(CleanedData[[#This Row],[DAY]], "mmm yyyy")</f>
        <v>Aug 2024</v>
      </c>
    </row>
    <row r="1047" spans="1:14" x14ac:dyDescent="0.3">
      <c r="A1047" s="5">
        <v>45528</v>
      </c>
      <c r="B1047" s="12">
        <v>5991</v>
      </c>
      <c r="C1047" s="12">
        <v>231</v>
      </c>
      <c r="D1047" s="2" t="s">
        <v>9</v>
      </c>
      <c r="E1047" s="2" t="s">
        <v>8</v>
      </c>
      <c r="F1047" s="1">
        <v>3744</v>
      </c>
      <c r="G1047" s="13">
        <v>5005.3453861161688</v>
      </c>
      <c r="H1047" s="14" t="b">
        <v>1</v>
      </c>
      <c r="I1047" s="15">
        <f t="shared" si="64"/>
        <v>5991</v>
      </c>
      <c r="J1047" s="15">
        <f t="shared" si="64"/>
        <v>231</v>
      </c>
      <c r="K1047" s="15">
        <f t="shared" si="65"/>
        <v>5005</v>
      </c>
      <c r="L1047" s="3" t="str">
        <f t="shared" si="66"/>
        <v>Saturday</v>
      </c>
      <c r="M1047" s="4" t="str">
        <f t="shared" si="67"/>
        <v>Outage Day</v>
      </c>
      <c r="N1047" s="4" t="str">
        <f>TEXT(CleanedData[[#This Row],[DAY]], "mmm yyyy")</f>
        <v>Aug 2024</v>
      </c>
    </row>
    <row r="1048" spans="1:14" x14ac:dyDescent="0.3">
      <c r="A1048" s="5">
        <v>45528</v>
      </c>
      <c r="B1048" s="12">
        <v>6808.5</v>
      </c>
      <c r="C1048" s="12">
        <v>429</v>
      </c>
      <c r="D1048" s="2" t="s">
        <v>10</v>
      </c>
      <c r="E1048" s="2" t="s">
        <v>7</v>
      </c>
      <c r="F1048" s="1">
        <v>4359</v>
      </c>
      <c r="G1048" s="13">
        <v>6531.1312336327628</v>
      </c>
      <c r="H1048" s="14" t="b">
        <v>0</v>
      </c>
      <c r="I1048" s="15">
        <f t="shared" si="64"/>
        <v>6809</v>
      </c>
      <c r="J1048" s="15">
        <f t="shared" si="64"/>
        <v>429</v>
      </c>
      <c r="K1048" s="15">
        <f t="shared" si="65"/>
        <v>6531</v>
      </c>
      <c r="L1048" s="3" t="str">
        <f t="shared" si="66"/>
        <v>Saturday</v>
      </c>
      <c r="M1048" s="4" t="str">
        <f t="shared" si="67"/>
        <v>Normal Day</v>
      </c>
      <c r="N1048" s="4" t="str">
        <f>TEXT(CleanedData[[#This Row],[DAY]], "mmm yyyy")</f>
        <v>Aug 2024</v>
      </c>
    </row>
    <row r="1049" spans="1:14" x14ac:dyDescent="0.3">
      <c r="A1049" s="5">
        <v>45529</v>
      </c>
      <c r="B1049" s="12">
        <v>462</v>
      </c>
      <c r="C1049" s="12">
        <v>12</v>
      </c>
      <c r="D1049" s="2" t="s">
        <v>6</v>
      </c>
      <c r="E1049" s="2" t="s">
        <v>7</v>
      </c>
      <c r="F1049" s="1">
        <v>54</v>
      </c>
      <c r="G1049" s="13">
        <v>435.5796310822688</v>
      </c>
      <c r="H1049" s="14" t="b">
        <v>0</v>
      </c>
      <c r="I1049" s="15">
        <f t="shared" si="64"/>
        <v>462</v>
      </c>
      <c r="J1049" s="15">
        <f t="shared" si="64"/>
        <v>12</v>
      </c>
      <c r="K1049" s="15">
        <f t="shared" si="65"/>
        <v>436</v>
      </c>
      <c r="L1049" s="3" t="str">
        <f t="shared" si="66"/>
        <v>Sunday</v>
      </c>
      <c r="M1049" s="4" t="str">
        <f t="shared" si="67"/>
        <v>Normal Day</v>
      </c>
      <c r="N1049" s="4" t="str">
        <f>TEXT(CleanedData[[#This Row],[DAY]], "mmm yyyy")</f>
        <v>Aug 2024</v>
      </c>
    </row>
    <row r="1050" spans="1:14" x14ac:dyDescent="0.3">
      <c r="A1050" s="5">
        <v>45529</v>
      </c>
      <c r="B1050" s="12">
        <v>490.5</v>
      </c>
      <c r="C1050" s="12">
        <v>12</v>
      </c>
      <c r="D1050" s="2" t="s">
        <v>6</v>
      </c>
      <c r="E1050" s="2" t="s">
        <v>8</v>
      </c>
      <c r="F1050" s="1">
        <v>243</v>
      </c>
      <c r="G1050" s="13">
        <v>424.64748149868382</v>
      </c>
      <c r="H1050" s="14" t="b">
        <v>0</v>
      </c>
      <c r="I1050" s="15">
        <f t="shared" si="64"/>
        <v>491</v>
      </c>
      <c r="J1050" s="15">
        <f t="shared" si="64"/>
        <v>12</v>
      </c>
      <c r="K1050" s="15">
        <f t="shared" si="65"/>
        <v>425</v>
      </c>
      <c r="L1050" s="3" t="str">
        <f t="shared" si="66"/>
        <v>Sunday</v>
      </c>
      <c r="M1050" s="4" t="str">
        <f t="shared" si="67"/>
        <v>Normal Day</v>
      </c>
      <c r="N1050" s="4" t="str">
        <f>TEXT(CleanedData[[#This Row],[DAY]], "mmm yyyy")</f>
        <v>Aug 2024</v>
      </c>
    </row>
    <row r="1051" spans="1:14" x14ac:dyDescent="0.3">
      <c r="A1051" s="5">
        <v>45529</v>
      </c>
      <c r="B1051" s="12">
        <v>5887.5</v>
      </c>
      <c r="C1051" s="12">
        <v>262.5</v>
      </c>
      <c r="D1051" s="2" t="s">
        <v>9</v>
      </c>
      <c r="E1051" s="2" t="s">
        <v>8</v>
      </c>
      <c r="F1051" s="1">
        <v>2992</v>
      </c>
      <c r="G1051" s="13">
        <v>5231.1511618420818</v>
      </c>
      <c r="H1051" s="14" t="b">
        <v>0</v>
      </c>
      <c r="I1051" s="15">
        <f t="shared" si="64"/>
        <v>5888</v>
      </c>
      <c r="J1051" s="15">
        <f t="shared" si="64"/>
        <v>263</v>
      </c>
      <c r="K1051" s="15">
        <f t="shared" si="65"/>
        <v>5231</v>
      </c>
      <c r="L1051" s="3" t="str">
        <f t="shared" si="66"/>
        <v>Sunday</v>
      </c>
      <c r="M1051" s="4" t="str">
        <f t="shared" si="67"/>
        <v>Normal Day</v>
      </c>
      <c r="N1051" s="4" t="str">
        <f>TEXT(CleanedData[[#This Row],[DAY]], "mmm yyyy")</f>
        <v>Aug 2024</v>
      </c>
    </row>
    <row r="1052" spans="1:14" x14ac:dyDescent="0.3">
      <c r="A1052" s="5">
        <v>45529</v>
      </c>
      <c r="B1052" s="12">
        <v>6786</v>
      </c>
      <c r="C1052" s="12">
        <v>459</v>
      </c>
      <c r="D1052" s="2" t="s">
        <v>10</v>
      </c>
      <c r="E1052" s="2" t="s">
        <v>7</v>
      </c>
      <c r="F1052" s="1">
        <v>4480</v>
      </c>
      <c r="G1052" s="13">
        <v>6623.4573685849728</v>
      </c>
      <c r="H1052" s="14" t="b">
        <v>0</v>
      </c>
      <c r="I1052" s="15">
        <f t="shared" si="64"/>
        <v>6786</v>
      </c>
      <c r="J1052" s="15">
        <f t="shared" si="64"/>
        <v>459</v>
      </c>
      <c r="K1052" s="15">
        <f t="shared" si="65"/>
        <v>6623</v>
      </c>
      <c r="L1052" s="3" t="str">
        <f t="shared" si="66"/>
        <v>Sunday</v>
      </c>
      <c r="M1052" s="4" t="str">
        <f t="shared" si="67"/>
        <v>Normal Day</v>
      </c>
      <c r="N1052" s="4" t="str">
        <f>TEXT(CleanedData[[#This Row],[DAY]], "mmm yyyy")</f>
        <v>Aug 2024</v>
      </c>
    </row>
    <row r="1053" spans="1:14" x14ac:dyDescent="0.3">
      <c r="A1053" s="5">
        <v>45530</v>
      </c>
      <c r="B1053" s="12">
        <v>1.5</v>
      </c>
      <c r="C1053" s="12">
        <v>0</v>
      </c>
      <c r="D1053" s="2" t="s">
        <v>9</v>
      </c>
      <c r="E1053" s="2" t="s">
        <v>7</v>
      </c>
      <c r="F1053" s="1">
        <v>1</v>
      </c>
      <c r="G1053" s="13">
        <v>1.377663489399948</v>
      </c>
      <c r="H1053" s="14" t="b">
        <v>0</v>
      </c>
      <c r="I1053" s="15">
        <f t="shared" si="64"/>
        <v>2</v>
      </c>
      <c r="J1053" s="15">
        <f t="shared" si="64"/>
        <v>0</v>
      </c>
      <c r="K1053" s="15">
        <f t="shared" si="65"/>
        <v>1</v>
      </c>
      <c r="L1053" s="3" t="str">
        <f t="shared" si="66"/>
        <v>Monday</v>
      </c>
      <c r="M1053" s="4" t="str">
        <f t="shared" si="67"/>
        <v>Normal Day</v>
      </c>
      <c r="N1053" s="4" t="str">
        <f>TEXT(CleanedData[[#This Row],[DAY]], "mmm yyyy")</f>
        <v>Aug 2024</v>
      </c>
    </row>
    <row r="1054" spans="1:14" x14ac:dyDescent="0.3">
      <c r="A1054" s="5">
        <v>45530</v>
      </c>
      <c r="B1054" s="12">
        <v>772.5</v>
      </c>
      <c r="C1054" s="12">
        <v>21</v>
      </c>
      <c r="D1054" s="2" t="s">
        <v>6</v>
      </c>
      <c r="E1054" s="2" t="s">
        <v>7</v>
      </c>
      <c r="F1054" s="1">
        <v>142</v>
      </c>
      <c r="G1054" s="13">
        <v>708.04815840953802</v>
      </c>
      <c r="H1054" s="14" t="b">
        <v>0</v>
      </c>
      <c r="I1054" s="15">
        <f t="shared" si="64"/>
        <v>773</v>
      </c>
      <c r="J1054" s="15">
        <f t="shared" si="64"/>
        <v>21</v>
      </c>
      <c r="K1054" s="15">
        <f t="shared" si="65"/>
        <v>708</v>
      </c>
      <c r="L1054" s="3" t="str">
        <f t="shared" si="66"/>
        <v>Monday</v>
      </c>
      <c r="M1054" s="4" t="str">
        <f t="shared" si="67"/>
        <v>Normal Day</v>
      </c>
      <c r="N1054" s="4" t="str">
        <f>TEXT(CleanedData[[#This Row],[DAY]], "mmm yyyy")</f>
        <v>Aug 2024</v>
      </c>
    </row>
    <row r="1055" spans="1:14" x14ac:dyDescent="0.3">
      <c r="A1055" s="5">
        <v>45530</v>
      </c>
      <c r="B1055" s="12">
        <v>787.5</v>
      </c>
      <c r="C1055" s="12">
        <v>21</v>
      </c>
      <c r="D1055" s="2" t="s">
        <v>6</v>
      </c>
      <c r="E1055" s="2" t="s">
        <v>8</v>
      </c>
      <c r="F1055" s="1">
        <v>518</v>
      </c>
      <c r="G1055" s="13">
        <v>651.77752693741218</v>
      </c>
      <c r="H1055" s="14" t="b">
        <v>1</v>
      </c>
      <c r="I1055" s="15">
        <f t="shared" si="64"/>
        <v>788</v>
      </c>
      <c r="J1055" s="15">
        <f t="shared" si="64"/>
        <v>21</v>
      </c>
      <c r="K1055" s="15">
        <f t="shared" si="65"/>
        <v>652</v>
      </c>
      <c r="L1055" s="3" t="str">
        <f t="shared" si="66"/>
        <v>Monday</v>
      </c>
      <c r="M1055" s="4" t="str">
        <f t="shared" si="67"/>
        <v>Outage Day</v>
      </c>
      <c r="N1055" s="4" t="str">
        <f>TEXT(CleanedData[[#This Row],[DAY]], "mmm yyyy")</f>
        <v>Aug 2024</v>
      </c>
    </row>
    <row r="1056" spans="1:14" x14ac:dyDescent="0.3">
      <c r="A1056" s="5">
        <v>45530</v>
      </c>
      <c r="B1056" s="12">
        <v>4105.5</v>
      </c>
      <c r="C1056" s="12">
        <v>144</v>
      </c>
      <c r="D1056" s="2" t="s">
        <v>9</v>
      </c>
      <c r="E1056" s="2" t="s">
        <v>8</v>
      </c>
      <c r="F1056" s="1">
        <v>2345</v>
      </c>
      <c r="G1056" s="13">
        <v>3633.9106616897302</v>
      </c>
      <c r="H1056" s="14" t="b">
        <v>0</v>
      </c>
      <c r="I1056" s="15">
        <f t="shared" si="64"/>
        <v>4106</v>
      </c>
      <c r="J1056" s="15">
        <f t="shared" si="64"/>
        <v>144</v>
      </c>
      <c r="K1056" s="15">
        <f t="shared" si="65"/>
        <v>3634</v>
      </c>
      <c r="L1056" s="3" t="str">
        <f t="shared" si="66"/>
        <v>Monday</v>
      </c>
      <c r="M1056" s="4" t="str">
        <f t="shared" si="67"/>
        <v>Normal Day</v>
      </c>
      <c r="N1056" s="4" t="str">
        <f>TEXT(CleanedData[[#This Row],[DAY]], "mmm yyyy")</f>
        <v>Aug 2024</v>
      </c>
    </row>
    <row r="1057" spans="1:14" x14ac:dyDescent="0.3">
      <c r="A1057" s="5">
        <v>45530</v>
      </c>
      <c r="B1057" s="12">
        <v>6541.5</v>
      </c>
      <c r="C1057" s="12">
        <v>441</v>
      </c>
      <c r="D1057" s="2" t="s">
        <v>10</v>
      </c>
      <c r="E1057" s="2" t="s">
        <v>7</v>
      </c>
      <c r="F1057" s="1">
        <v>1776</v>
      </c>
      <c r="G1057" s="13">
        <v>6226.1923753522233</v>
      </c>
      <c r="H1057" s="14" t="b">
        <v>0</v>
      </c>
      <c r="I1057" s="15">
        <f t="shared" si="64"/>
        <v>6542</v>
      </c>
      <c r="J1057" s="15">
        <f t="shared" si="64"/>
        <v>441</v>
      </c>
      <c r="K1057" s="15">
        <f t="shared" si="65"/>
        <v>6226</v>
      </c>
      <c r="L1057" s="3" t="str">
        <f t="shared" si="66"/>
        <v>Monday</v>
      </c>
      <c r="M1057" s="4" t="str">
        <f t="shared" si="67"/>
        <v>Normal Day</v>
      </c>
      <c r="N1057" s="4" t="str">
        <f>TEXT(CleanedData[[#This Row],[DAY]], "mmm yyyy")</f>
        <v>Aug 2024</v>
      </c>
    </row>
    <row r="1058" spans="1:14" x14ac:dyDescent="0.3">
      <c r="A1058" s="5">
        <v>45531</v>
      </c>
      <c r="B1058" s="12">
        <v>667.5</v>
      </c>
      <c r="C1058" s="12">
        <v>9</v>
      </c>
      <c r="D1058" s="2" t="s">
        <v>6</v>
      </c>
      <c r="E1058" s="2" t="s">
        <v>8</v>
      </c>
      <c r="F1058" s="1">
        <v>5</v>
      </c>
      <c r="G1058" s="13">
        <v>586.88887337401889</v>
      </c>
      <c r="H1058" s="14" t="b">
        <v>0</v>
      </c>
      <c r="I1058" s="15">
        <f t="shared" si="64"/>
        <v>668</v>
      </c>
      <c r="J1058" s="15">
        <f t="shared" si="64"/>
        <v>9</v>
      </c>
      <c r="K1058" s="15">
        <f t="shared" si="65"/>
        <v>587</v>
      </c>
      <c r="L1058" s="3" t="str">
        <f t="shared" si="66"/>
        <v>Tuesday</v>
      </c>
      <c r="M1058" s="4" t="str">
        <f t="shared" si="67"/>
        <v>Normal Day</v>
      </c>
      <c r="N1058" s="4" t="str">
        <f>TEXT(CleanedData[[#This Row],[DAY]], "mmm yyyy")</f>
        <v>Aug 2024</v>
      </c>
    </row>
    <row r="1059" spans="1:14" x14ac:dyDescent="0.3">
      <c r="A1059" s="5">
        <v>45531</v>
      </c>
      <c r="B1059" s="12">
        <v>745.5</v>
      </c>
      <c r="C1059" s="12">
        <v>9</v>
      </c>
      <c r="D1059" s="2" t="s">
        <v>6</v>
      </c>
      <c r="E1059" s="2" t="s">
        <v>7</v>
      </c>
      <c r="F1059" s="1">
        <v>80</v>
      </c>
      <c r="G1059" s="13">
        <v>684.59948774985219</v>
      </c>
      <c r="H1059" s="14" t="b">
        <v>0</v>
      </c>
      <c r="I1059" s="15">
        <f t="shared" si="64"/>
        <v>746</v>
      </c>
      <c r="J1059" s="15">
        <f t="shared" si="64"/>
        <v>9</v>
      </c>
      <c r="K1059" s="15">
        <f t="shared" si="65"/>
        <v>685</v>
      </c>
      <c r="L1059" s="3" t="str">
        <f t="shared" si="66"/>
        <v>Tuesday</v>
      </c>
      <c r="M1059" s="4" t="str">
        <f t="shared" si="67"/>
        <v>Normal Day</v>
      </c>
      <c r="N1059" s="4" t="str">
        <f>TEXT(CleanedData[[#This Row],[DAY]], "mmm yyyy")</f>
        <v>Aug 2024</v>
      </c>
    </row>
    <row r="1060" spans="1:14" x14ac:dyDescent="0.3">
      <c r="A1060" s="5">
        <v>45531</v>
      </c>
      <c r="B1060" s="12">
        <v>4368</v>
      </c>
      <c r="C1060" s="12">
        <v>121.5</v>
      </c>
      <c r="D1060" s="2" t="s">
        <v>9</v>
      </c>
      <c r="E1060" s="2" t="s">
        <v>8</v>
      </c>
      <c r="F1060" s="1">
        <v>2884</v>
      </c>
      <c r="G1060" s="13">
        <v>3722.0176838338275</v>
      </c>
      <c r="H1060" s="14" t="b">
        <v>0</v>
      </c>
      <c r="I1060" s="15">
        <f t="shared" si="64"/>
        <v>4368</v>
      </c>
      <c r="J1060" s="15">
        <f t="shared" si="64"/>
        <v>122</v>
      </c>
      <c r="K1060" s="15">
        <f t="shared" si="65"/>
        <v>3722</v>
      </c>
      <c r="L1060" s="3" t="str">
        <f t="shared" si="66"/>
        <v>Tuesday</v>
      </c>
      <c r="M1060" s="4" t="str">
        <f t="shared" si="67"/>
        <v>Normal Day</v>
      </c>
      <c r="N1060" s="4" t="str">
        <f>TEXT(CleanedData[[#This Row],[DAY]], "mmm yyyy")</f>
        <v>Aug 2024</v>
      </c>
    </row>
    <row r="1061" spans="1:14" x14ac:dyDescent="0.3">
      <c r="A1061" s="5">
        <v>45531</v>
      </c>
      <c r="B1061" s="12">
        <v>6090</v>
      </c>
      <c r="C1061" s="12">
        <v>364.5</v>
      </c>
      <c r="D1061" s="2" t="s">
        <v>10</v>
      </c>
      <c r="E1061" s="2" t="s">
        <v>7</v>
      </c>
      <c r="F1061" s="1">
        <v>1782</v>
      </c>
      <c r="G1061" s="13">
        <v>5791.484698165772</v>
      </c>
      <c r="H1061" s="14" t="b">
        <v>0</v>
      </c>
      <c r="I1061" s="15">
        <f t="shared" si="64"/>
        <v>6090</v>
      </c>
      <c r="J1061" s="15">
        <f t="shared" si="64"/>
        <v>365</v>
      </c>
      <c r="K1061" s="15">
        <f t="shared" si="65"/>
        <v>5791</v>
      </c>
      <c r="L1061" s="3" t="str">
        <f t="shared" si="66"/>
        <v>Tuesday</v>
      </c>
      <c r="M1061" s="4" t="str">
        <f t="shared" si="67"/>
        <v>Normal Day</v>
      </c>
      <c r="N1061" s="4" t="str">
        <f>TEXT(CleanedData[[#This Row],[DAY]], "mmm yyyy")</f>
        <v>Aug 2024</v>
      </c>
    </row>
    <row r="1062" spans="1:14" x14ac:dyDescent="0.3">
      <c r="A1062" s="5">
        <v>45532</v>
      </c>
      <c r="B1062" s="12">
        <v>1.5</v>
      </c>
      <c r="C1062" s="12">
        <v>0</v>
      </c>
      <c r="D1062" s="2" t="s">
        <v>9</v>
      </c>
      <c r="E1062" s="2" t="s">
        <v>7</v>
      </c>
      <c r="F1062" s="1">
        <v>1</v>
      </c>
      <c r="G1062" s="13">
        <v>1.3575769269268547</v>
      </c>
      <c r="H1062" s="14" t="b">
        <v>0</v>
      </c>
      <c r="I1062" s="15">
        <f t="shared" si="64"/>
        <v>2</v>
      </c>
      <c r="J1062" s="15">
        <f t="shared" si="64"/>
        <v>0</v>
      </c>
      <c r="K1062" s="15">
        <f t="shared" si="65"/>
        <v>1</v>
      </c>
      <c r="L1062" s="3" t="str">
        <f t="shared" si="66"/>
        <v>Wednesday</v>
      </c>
      <c r="M1062" s="4" t="str">
        <f t="shared" si="67"/>
        <v>Normal Day</v>
      </c>
      <c r="N1062" s="4" t="str">
        <f>TEXT(CleanedData[[#This Row],[DAY]], "mmm yyyy")</f>
        <v>Aug 2024</v>
      </c>
    </row>
    <row r="1063" spans="1:14" x14ac:dyDescent="0.3">
      <c r="A1063" s="5">
        <v>45532</v>
      </c>
      <c r="B1063" s="12">
        <v>537</v>
      </c>
      <c r="C1063" s="12">
        <v>28.5</v>
      </c>
      <c r="D1063" s="2" t="s">
        <v>6</v>
      </c>
      <c r="E1063" s="2" t="s">
        <v>8</v>
      </c>
      <c r="F1063" s="1">
        <v>230</v>
      </c>
      <c r="G1063" s="13">
        <v>462.18428276173211</v>
      </c>
      <c r="H1063" s="14" t="b">
        <v>0</v>
      </c>
      <c r="I1063" s="15">
        <f t="shared" si="64"/>
        <v>537</v>
      </c>
      <c r="J1063" s="15">
        <f t="shared" si="64"/>
        <v>29</v>
      </c>
      <c r="K1063" s="15">
        <f t="shared" si="65"/>
        <v>462</v>
      </c>
      <c r="L1063" s="3" t="str">
        <f t="shared" si="66"/>
        <v>Wednesday</v>
      </c>
      <c r="M1063" s="4" t="str">
        <f t="shared" si="67"/>
        <v>Normal Day</v>
      </c>
      <c r="N1063" s="4" t="str">
        <f>TEXT(CleanedData[[#This Row],[DAY]], "mmm yyyy")</f>
        <v>Aug 2024</v>
      </c>
    </row>
    <row r="1064" spans="1:14" x14ac:dyDescent="0.3">
      <c r="A1064" s="5">
        <v>45532</v>
      </c>
      <c r="B1064" s="12">
        <v>838.5</v>
      </c>
      <c r="C1064" s="12">
        <v>28.5</v>
      </c>
      <c r="D1064" s="2" t="s">
        <v>6</v>
      </c>
      <c r="E1064" s="2" t="s">
        <v>7</v>
      </c>
      <c r="F1064" s="1">
        <v>242</v>
      </c>
      <c r="G1064" s="13">
        <v>755.24763505647979</v>
      </c>
      <c r="H1064" s="14" t="b">
        <v>0</v>
      </c>
      <c r="I1064" s="15">
        <f t="shared" si="64"/>
        <v>839</v>
      </c>
      <c r="J1064" s="15">
        <f t="shared" si="64"/>
        <v>29</v>
      </c>
      <c r="K1064" s="15">
        <f t="shared" si="65"/>
        <v>755</v>
      </c>
      <c r="L1064" s="3" t="str">
        <f t="shared" si="66"/>
        <v>Wednesday</v>
      </c>
      <c r="M1064" s="4" t="str">
        <f t="shared" si="67"/>
        <v>Normal Day</v>
      </c>
      <c r="N1064" s="4" t="str">
        <f>TEXT(CleanedData[[#This Row],[DAY]], "mmm yyyy")</f>
        <v>Aug 2024</v>
      </c>
    </row>
    <row r="1065" spans="1:14" x14ac:dyDescent="0.3">
      <c r="A1065" s="5">
        <v>45532</v>
      </c>
      <c r="B1065" s="12">
        <v>5581.5</v>
      </c>
      <c r="C1065" s="12">
        <v>154.5</v>
      </c>
      <c r="D1065" s="2" t="s">
        <v>9</v>
      </c>
      <c r="E1065" s="2" t="s">
        <v>8</v>
      </c>
      <c r="F1065" s="1">
        <v>2052</v>
      </c>
      <c r="G1065" s="13">
        <v>4732.3450911138825</v>
      </c>
      <c r="H1065" s="14" t="b">
        <v>0</v>
      </c>
      <c r="I1065" s="15">
        <f t="shared" si="64"/>
        <v>5582</v>
      </c>
      <c r="J1065" s="15">
        <f t="shared" si="64"/>
        <v>155</v>
      </c>
      <c r="K1065" s="15">
        <f t="shared" si="65"/>
        <v>4732</v>
      </c>
      <c r="L1065" s="3" t="str">
        <f t="shared" si="66"/>
        <v>Wednesday</v>
      </c>
      <c r="M1065" s="4" t="str">
        <f t="shared" si="67"/>
        <v>Normal Day</v>
      </c>
      <c r="N1065" s="4" t="str">
        <f>TEXT(CleanedData[[#This Row],[DAY]], "mmm yyyy")</f>
        <v>Aug 2024</v>
      </c>
    </row>
    <row r="1066" spans="1:14" x14ac:dyDescent="0.3">
      <c r="A1066" s="5">
        <v>45532</v>
      </c>
      <c r="B1066" s="12">
        <v>5914.5</v>
      </c>
      <c r="C1066" s="12">
        <v>364.5</v>
      </c>
      <c r="D1066" s="2" t="s">
        <v>10</v>
      </c>
      <c r="E1066" s="2" t="s">
        <v>7</v>
      </c>
      <c r="F1066" s="1">
        <v>2434</v>
      </c>
      <c r="G1066" s="13">
        <v>5667.8956403530547</v>
      </c>
      <c r="H1066" s="14" t="b">
        <v>0</v>
      </c>
      <c r="I1066" s="15">
        <f t="shared" si="64"/>
        <v>5915</v>
      </c>
      <c r="J1066" s="15">
        <f t="shared" si="64"/>
        <v>365</v>
      </c>
      <c r="K1066" s="15">
        <f t="shared" si="65"/>
        <v>5668</v>
      </c>
      <c r="L1066" s="3" t="str">
        <f t="shared" si="66"/>
        <v>Wednesday</v>
      </c>
      <c r="M1066" s="4" t="str">
        <f t="shared" si="67"/>
        <v>Normal Day</v>
      </c>
      <c r="N1066" s="4" t="str">
        <f>TEXT(CleanedData[[#This Row],[DAY]], "mmm yyyy")</f>
        <v>Aug 2024</v>
      </c>
    </row>
    <row r="1067" spans="1:14" x14ac:dyDescent="0.3">
      <c r="A1067" s="5">
        <v>45533</v>
      </c>
      <c r="B1067" s="12">
        <v>1.5</v>
      </c>
      <c r="C1067" s="12">
        <v>0</v>
      </c>
      <c r="D1067" s="2" t="s">
        <v>10</v>
      </c>
      <c r="E1067" s="2" t="s">
        <v>8</v>
      </c>
      <c r="F1067" s="1">
        <v>1</v>
      </c>
      <c r="G1067" s="13">
        <v>1.2096435037214504</v>
      </c>
      <c r="H1067" s="14" t="b">
        <v>1</v>
      </c>
      <c r="I1067" s="15">
        <f t="shared" si="64"/>
        <v>2</v>
      </c>
      <c r="J1067" s="15">
        <f t="shared" si="64"/>
        <v>0</v>
      </c>
      <c r="K1067" s="15">
        <f t="shared" si="65"/>
        <v>1</v>
      </c>
      <c r="L1067" s="3" t="str">
        <f t="shared" si="66"/>
        <v>Thursday</v>
      </c>
      <c r="M1067" s="4" t="str">
        <f t="shared" si="67"/>
        <v>Outage Day</v>
      </c>
      <c r="N1067" s="4" t="str">
        <f>TEXT(CleanedData[[#This Row],[DAY]], "mmm yyyy")</f>
        <v>Aug 2024</v>
      </c>
    </row>
    <row r="1068" spans="1:14" x14ac:dyDescent="0.3">
      <c r="A1068" s="5">
        <v>45533</v>
      </c>
      <c r="B1068" s="12">
        <v>763.5</v>
      </c>
      <c r="C1068" s="12">
        <v>33</v>
      </c>
      <c r="D1068" s="2" t="s">
        <v>6</v>
      </c>
      <c r="E1068" s="2" t="s">
        <v>8</v>
      </c>
      <c r="F1068" s="1">
        <v>444</v>
      </c>
      <c r="G1068" s="13">
        <v>664.90591632028361</v>
      </c>
      <c r="H1068" s="14" t="b">
        <v>0</v>
      </c>
      <c r="I1068" s="15">
        <f t="shared" si="64"/>
        <v>764</v>
      </c>
      <c r="J1068" s="15">
        <f t="shared" si="64"/>
        <v>33</v>
      </c>
      <c r="K1068" s="15">
        <f t="shared" si="65"/>
        <v>665</v>
      </c>
      <c r="L1068" s="3" t="str">
        <f t="shared" si="66"/>
        <v>Thursday</v>
      </c>
      <c r="M1068" s="4" t="str">
        <f t="shared" si="67"/>
        <v>Normal Day</v>
      </c>
      <c r="N1068" s="4" t="str">
        <f>TEXT(CleanedData[[#This Row],[DAY]], "mmm yyyy")</f>
        <v>Aug 2024</v>
      </c>
    </row>
    <row r="1069" spans="1:14" x14ac:dyDescent="0.3">
      <c r="A1069" s="5">
        <v>45533</v>
      </c>
      <c r="B1069" s="12">
        <v>1086</v>
      </c>
      <c r="C1069" s="12">
        <v>33</v>
      </c>
      <c r="D1069" s="2" t="s">
        <v>6</v>
      </c>
      <c r="E1069" s="2" t="s">
        <v>7</v>
      </c>
      <c r="F1069" s="1">
        <v>317</v>
      </c>
      <c r="G1069" s="13">
        <v>1014.9462120849026</v>
      </c>
      <c r="H1069" s="14" t="b">
        <v>0</v>
      </c>
      <c r="I1069" s="15">
        <f t="shared" si="64"/>
        <v>1086</v>
      </c>
      <c r="J1069" s="15">
        <f t="shared" si="64"/>
        <v>33</v>
      </c>
      <c r="K1069" s="15">
        <f t="shared" si="65"/>
        <v>1015</v>
      </c>
      <c r="L1069" s="3" t="str">
        <f t="shared" si="66"/>
        <v>Thursday</v>
      </c>
      <c r="M1069" s="4" t="str">
        <f t="shared" si="67"/>
        <v>Normal Day</v>
      </c>
      <c r="N1069" s="4" t="str">
        <f>TEXT(CleanedData[[#This Row],[DAY]], "mmm yyyy")</f>
        <v>Aug 2024</v>
      </c>
    </row>
    <row r="1070" spans="1:14" x14ac:dyDescent="0.3">
      <c r="A1070" s="5">
        <v>45533</v>
      </c>
      <c r="B1070" s="12">
        <v>5721</v>
      </c>
      <c r="C1070" s="12">
        <v>292.5</v>
      </c>
      <c r="D1070" s="2" t="s">
        <v>10</v>
      </c>
      <c r="E1070" s="2" t="s">
        <v>7</v>
      </c>
      <c r="F1070" s="1">
        <v>1338</v>
      </c>
      <c r="G1070" s="13">
        <v>5586.828562200235</v>
      </c>
      <c r="H1070" s="14" t="b">
        <v>0</v>
      </c>
      <c r="I1070" s="15">
        <f t="shared" si="64"/>
        <v>5721</v>
      </c>
      <c r="J1070" s="15">
        <f t="shared" si="64"/>
        <v>293</v>
      </c>
      <c r="K1070" s="15">
        <f t="shared" si="65"/>
        <v>5587</v>
      </c>
      <c r="L1070" s="3" t="str">
        <f t="shared" si="66"/>
        <v>Thursday</v>
      </c>
      <c r="M1070" s="4" t="str">
        <f t="shared" si="67"/>
        <v>Normal Day</v>
      </c>
      <c r="N1070" s="4" t="str">
        <f>TEXT(CleanedData[[#This Row],[DAY]], "mmm yyyy")</f>
        <v>Aug 2024</v>
      </c>
    </row>
    <row r="1071" spans="1:14" x14ac:dyDescent="0.3">
      <c r="A1071" s="5">
        <v>45533</v>
      </c>
      <c r="B1071" s="12">
        <v>5917.5</v>
      </c>
      <c r="C1071" s="12">
        <v>213</v>
      </c>
      <c r="D1071" s="2" t="s">
        <v>9</v>
      </c>
      <c r="E1071" s="2" t="s">
        <v>8</v>
      </c>
      <c r="F1071" s="1">
        <v>1814</v>
      </c>
      <c r="G1071" s="13">
        <v>5079.0461544186392</v>
      </c>
      <c r="H1071" s="14" t="b">
        <v>0</v>
      </c>
      <c r="I1071" s="15">
        <f t="shared" si="64"/>
        <v>5918</v>
      </c>
      <c r="J1071" s="15">
        <f t="shared" si="64"/>
        <v>213</v>
      </c>
      <c r="K1071" s="15">
        <f t="shared" si="65"/>
        <v>5079</v>
      </c>
      <c r="L1071" s="3" t="str">
        <f t="shared" si="66"/>
        <v>Thursday</v>
      </c>
      <c r="M1071" s="4" t="str">
        <f t="shared" si="67"/>
        <v>Normal Day</v>
      </c>
      <c r="N1071" s="4" t="str">
        <f>TEXT(CleanedData[[#This Row],[DAY]], "mmm yyyy")</f>
        <v>Aug 2024</v>
      </c>
    </row>
    <row r="1072" spans="1:14" x14ac:dyDescent="0.3">
      <c r="A1072" s="5">
        <v>45534</v>
      </c>
      <c r="B1072" s="12">
        <v>1.5</v>
      </c>
      <c r="C1072" s="12">
        <v>0</v>
      </c>
      <c r="D1072" s="2" t="s">
        <v>10</v>
      </c>
      <c r="E1072" s="2" t="s">
        <v>8</v>
      </c>
      <c r="F1072" s="1">
        <v>1</v>
      </c>
      <c r="G1072" s="13">
        <v>1.23149997613725</v>
      </c>
      <c r="H1072" s="14" t="b">
        <v>0</v>
      </c>
      <c r="I1072" s="15">
        <f t="shared" si="64"/>
        <v>2</v>
      </c>
      <c r="J1072" s="15">
        <f t="shared" si="64"/>
        <v>0</v>
      </c>
      <c r="K1072" s="15">
        <f t="shared" si="65"/>
        <v>1</v>
      </c>
      <c r="L1072" s="3" t="str">
        <f t="shared" si="66"/>
        <v>Friday</v>
      </c>
      <c r="M1072" s="4" t="str">
        <f t="shared" si="67"/>
        <v>Normal Day</v>
      </c>
      <c r="N1072" s="4" t="str">
        <f>TEXT(CleanedData[[#This Row],[DAY]], "mmm yyyy")</f>
        <v>Aug 2024</v>
      </c>
    </row>
    <row r="1073" spans="1:14" x14ac:dyDescent="0.3">
      <c r="A1073" s="5">
        <v>45534</v>
      </c>
      <c r="B1073" s="12">
        <v>1033.5</v>
      </c>
      <c r="C1073" s="12">
        <v>45</v>
      </c>
      <c r="D1073" s="2" t="s">
        <v>6</v>
      </c>
      <c r="E1073" s="2" t="s">
        <v>7</v>
      </c>
      <c r="F1073" s="1">
        <v>559</v>
      </c>
      <c r="G1073" s="13">
        <v>972.68434877638242</v>
      </c>
      <c r="H1073" s="14" t="b">
        <v>0</v>
      </c>
      <c r="I1073" s="15">
        <f t="shared" si="64"/>
        <v>1034</v>
      </c>
      <c r="J1073" s="15">
        <f t="shared" si="64"/>
        <v>45</v>
      </c>
      <c r="K1073" s="15">
        <f t="shared" si="65"/>
        <v>973</v>
      </c>
      <c r="L1073" s="3" t="str">
        <f t="shared" si="66"/>
        <v>Friday</v>
      </c>
      <c r="M1073" s="4" t="str">
        <f t="shared" si="67"/>
        <v>Normal Day</v>
      </c>
      <c r="N1073" s="4" t="str">
        <f>TEXT(CleanedData[[#This Row],[DAY]], "mmm yyyy")</f>
        <v>Aug 2024</v>
      </c>
    </row>
    <row r="1074" spans="1:14" x14ac:dyDescent="0.3">
      <c r="A1074" s="5">
        <v>45534</v>
      </c>
      <c r="B1074" s="12">
        <v>2257.5</v>
      </c>
      <c r="C1074" s="12">
        <v>45</v>
      </c>
      <c r="D1074" s="2" t="s">
        <v>6</v>
      </c>
      <c r="E1074" s="2" t="s">
        <v>8</v>
      </c>
      <c r="F1074" s="1">
        <v>713</v>
      </c>
      <c r="G1074" s="13">
        <v>2028.8730164696738</v>
      </c>
      <c r="H1074" s="14" t="b">
        <v>0</v>
      </c>
      <c r="I1074" s="15">
        <f t="shared" si="64"/>
        <v>2258</v>
      </c>
      <c r="J1074" s="15">
        <f t="shared" si="64"/>
        <v>45</v>
      </c>
      <c r="K1074" s="15">
        <f t="shared" si="65"/>
        <v>2029</v>
      </c>
      <c r="L1074" s="3" t="str">
        <f t="shared" si="66"/>
        <v>Friday</v>
      </c>
      <c r="M1074" s="4" t="str">
        <f t="shared" si="67"/>
        <v>Normal Day</v>
      </c>
      <c r="N1074" s="4" t="str">
        <f>TEXT(CleanedData[[#This Row],[DAY]], "mmm yyyy")</f>
        <v>Aug 2024</v>
      </c>
    </row>
    <row r="1075" spans="1:14" x14ac:dyDescent="0.3">
      <c r="A1075" s="5">
        <v>45534</v>
      </c>
      <c r="B1075" s="12">
        <v>5865</v>
      </c>
      <c r="C1075" s="12">
        <v>87</v>
      </c>
      <c r="D1075" s="2" t="s">
        <v>9</v>
      </c>
      <c r="E1075" s="2" t="s">
        <v>8</v>
      </c>
      <c r="F1075" s="1">
        <v>623</v>
      </c>
      <c r="G1075" s="13">
        <v>5272.3074081689683</v>
      </c>
      <c r="H1075" s="14" t="b">
        <v>0</v>
      </c>
      <c r="I1075" s="15">
        <f t="shared" si="64"/>
        <v>5865</v>
      </c>
      <c r="J1075" s="15">
        <f t="shared" si="64"/>
        <v>87</v>
      </c>
      <c r="K1075" s="15">
        <f t="shared" si="65"/>
        <v>5272</v>
      </c>
      <c r="L1075" s="3" t="str">
        <f t="shared" si="66"/>
        <v>Friday</v>
      </c>
      <c r="M1075" s="4" t="str">
        <f t="shared" si="67"/>
        <v>Normal Day</v>
      </c>
      <c r="N1075" s="4" t="str">
        <f>TEXT(CleanedData[[#This Row],[DAY]], "mmm yyyy")</f>
        <v>Aug 2024</v>
      </c>
    </row>
    <row r="1076" spans="1:14" x14ac:dyDescent="0.3">
      <c r="A1076" s="5">
        <v>45534</v>
      </c>
      <c r="B1076" s="12">
        <v>6940.5</v>
      </c>
      <c r="C1076" s="12">
        <v>79.5</v>
      </c>
      <c r="D1076" s="2" t="s">
        <v>10</v>
      </c>
      <c r="E1076" s="2" t="s">
        <v>7</v>
      </c>
      <c r="F1076" s="1">
        <v>3774</v>
      </c>
      <c r="G1076" s="13">
        <v>6291.7141042623134</v>
      </c>
      <c r="H1076" s="14" t="b">
        <v>0</v>
      </c>
      <c r="I1076" s="15">
        <f t="shared" si="64"/>
        <v>6941</v>
      </c>
      <c r="J1076" s="15">
        <f t="shared" si="64"/>
        <v>80</v>
      </c>
      <c r="K1076" s="15">
        <f t="shared" si="65"/>
        <v>6292</v>
      </c>
      <c r="L1076" s="3" t="str">
        <f t="shared" si="66"/>
        <v>Friday</v>
      </c>
      <c r="M1076" s="4" t="str">
        <f t="shared" si="67"/>
        <v>Normal Day</v>
      </c>
      <c r="N1076" s="4" t="str">
        <f>TEXT(CleanedData[[#This Row],[DAY]], "mmm yyyy")</f>
        <v>Aug 2024</v>
      </c>
    </row>
    <row r="1077" spans="1:14" x14ac:dyDescent="0.3">
      <c r="A1077" s="5">
        <v>45535</v>
      </c>
      <c r="B1077" s="12">
        <v>3</v>
      </c>
      <c r="C1077" s="12">
        <v>0</v>
      </c>
      <c r="D1077" s="2" t="s">
        <v>9</v>
      </c>
      <c r="E1077" s="2" t="s">
        <v>7</v>
      </c>
      <c r="F1077" s="1">
        <v>2</v>
      </c>
      <c r="G1077" s="13">
        <v>2.7887513335709402</v>
      </c>
      <c r="H1077" s="14" t="b">
        <v>0</v>
      </c>
      <c r="I1077" s="15">
        <f t="shared" si="64"/>
        <v>3</v>
      </c>
      <c r="J1077" s="15">
        <f t="shared" si="64"/>
        <v>0</v>
      </c>
      <c r="K1077" s="15">
        <f t="shared" si="65"/>
        <v>3</v>
      </c>
      <c r="L1077" s="3" t="str">
        <f t="shared" si="66"/>
        <v>Saturday</v>
      </c>
      <c r="M1077" s="4" t="str">
        <f t="shared" si="67"/>
        <v>Normal Day</v>
      </c>
      <c r="N1077" s="4" t="str">
        <f>TEXT(CleanedData[[#This Row],[DAY]], "mmm yyyy")</f>
        <v>Aug 2024</v>
      </c>
    </row>
    <row r="1078" spans="1:14" x14ac:dyDescent="0.3">
      <c r="A1078" s="5">
        <v>45535</v>
      </c>
      <c r="B1078" s="12">
        <v>1471.5</v>
      </c>
      <c r="C1078" s="12">
        <v>79.5</v>
      </c>
      <c r="D1078" s="2" t="s">
        <v>6</v>
      </c>
      <c r="E1078" s="2" t="s">
        <v>7</v>
      </c>
      <c r="F1078" s="1">
        <v>878</v>
      </c>
      <c r="G1078" s="13">
        <v>1372.0715386578972</v>
      </c>
      <c r="H1078" s="14" t="b">
        <v>0</v>
      </c>
      <c r="I1078" s="15">
        <f t="shared" si="64"/>
        <v>1472</v>
      </c>
      <c r="J1078" s="15">
        <f t="shared" si="64"/>
        <v>80</v>
      </c>
      <c r="K1078" s="15">
        <f t="shared" si="65"/>
        <v>1372</v>
      </c>
      <c r="L1078" s="3" t="str">
        <f t="shared" si="66"/>
        <v>Saturday</v>
      </c>
      <c r="M1078" s="4" t="str">
        <f t="shared" si="67"/>
        <v>Normal Day</v>
      </c>
      <c r="N1078" s="4" t="str">
        <f>TEXT(CleanedData[[#This Row],[DAY]], "mmm yyyy")</f>
        <v>Aug 2024</v>
      </c>
    </row>
    <row r="1079" spans="1:14" x14ac:dyDescent="0.3">
      <c r="A1079" s="5">
        <v>45535</v>
      </c>
      <c r="B1079" s="12">
        <v>2311.5</v>
      </c>
      <c r="C1079" s="12">
        <v>79.5</v>
      </c>
      <c r="D1079" s="2" t="s">
        <v>6</v>
      </c>
      <c r="E1079" s="2" t="s">
        <v>8</v>
      </c>
      <c r="F1079" s="1">
        <v>841</v>
      </c>
      <c r="G1079" s="13">
        <v>2020.6434314491141</v>
      </c>
      <c r="H1079" s="14" t="b">
        <v>0</v>
      </c>
      <c r="I1079" s="15">
        <f t="shared" si="64"/>
        <v>2312</v>
      </c>
      <c r="J1079" s="15">
        <f t="shared" si="64"/>
        <v>80</v>
      </c>
      <c r="K1079" s="15">
        <f t="shared" si="65"/>
        <v>2021</v>
      </c>
      <c r="L1079" s="3" t="str">
        <f t="shared" si="66"/>
        <v>Saturday</v>
      </c>
      <c r="M1079" s="4" t="str">
        <f t="shared" si="67"/>
        <v>Normal Day</v>
      </c>
      <c r="N1079" s="4" t="str">
        <f>TEXT(CleanedData[[#This Row],[DAY]], "mmm yyyy")</f>
        <v>Aug 2024</v>
      </c>
    </row>
    <row r="1080" spans="1:14" x14ac:dyDescent="0.3">
      <c r="A1080" s="5">
        <v>45535</v>
      </c>
      <c r="B1080" s="12">
        <v>4387.5</v>
      </c>
      <c r="C1080" s="12">
        <v>36</v>
      </c>
      <c r="D1080" s="2" t="s">
        <v>10</v>
      </c>
      <c r="E1080" s="2" t="s">
        <v>7</v>
      </c>
      <c r="F1080" s="1">
        <v>64</v>
      </c>
      <c r="G1080" s="13">
        <v>3956.1529049981114</v>
      </c>
      <c r="H1080" s="14" t="b">
        <v>0</v>
      </c>
      <c r="I1080" s="15">
        <f t="shared" si="64"/>
        <v>4388</v>
      </c>
      <c r="J1080" s="15">
        <f t="shared" si="64"/>
        <v>36</v>
      </c>
      <c r="K1080" s="15">
        <f t="shared" si="65"/>
        <v>3956</v>
      </c>
      <c r="L1080" s="3" t="str">
        <f t="shared" si="66"/>
        <v>Saturday</v>
      </c>
      <c r="M1080" s="4" t="str">
        <f t="shared" si="67"/>
        <v>Normal Day</v>
      </c>
      <c r="N1080" s="4" t="str">
        <f>TEXT(CleanedData[[#This Row],[DAY]], "mmm yyyy")</f>
        <v>Aug 2024</v>
      </c>
    </row>
    <row r="1081" spans="1:14" x14ac:dyDescent="0.3">
      <c r="A1081" s="5">
        <v>45535</v>
      </c>
      <c r="B1081" s="12">
        <v>4927.5</v>
      </c>
      <c r="C1081" s="12">
        <v>219</v>
      </c>
      <c r="D1081" s="2" t="s">
        <v>9</v>
      </c>
      <c r="E1081" s="2" t="s">
        <v>8</v>
      </c>
      <c r="F1081" s="1">
        <v>3056</v>
      </c>
      <c r="G1081" s="13">
        <v>4536.4657298363572</v>
      </c>
      <c r="H1081" s="14" t="b">
        <v>0</v>
      </c>
      <c r="I1081" s="15">
        <f t="shared" si="64"/>
        <v>4928</v>
      </c>
      <c r="J1081" s="15">
        <f t="shared" si="64"/>
        <v>219</v>
      </c>
      <c r="K1081" s="15">
        <f t="shared" si="65"/>
        <v>4536</v>
      </c>
      <c r="L1081" s="3" t="str">
        <f t="shared" si="66"/>
        <v>Saturday</v>
      </c>
      <c r="M1081" s="4" t="str">
        <f t="shared" si="67"/>
        <v>Normal Day</v>
      </c>
      <c r="N1081" s="4" t="str">
        <f>TEXT(CleanedData[[#This Row],[DAY]], "mmm yyyy")</f>
        <v>Aug 2024</v>
      </c>
    </row>
    <row r="1082" spans="1:14" x14ac:dyDescent="0.3">
      <c r="A1082" s="5">
        <v>45536</v>
      </c>
      <c r="B1082" s="12">
        <v>1138.5</v>
      </c>
      <c r="C1082" s="12">
        <v>12</v>
      </c>
      <c r="D1082" s="2" t="s">
        <v>6</v>
      </c>
      <c r="E1082" s="2" t="s">
        <v>7</v>
      </c>
      <c r="F1082" s="1">
        <v>705</v>
      </c>
      <c r="G1082" s="13">
        <v>1079.1963241383917</v>
      </c>
      <c r="H1082" s="14" t="b">
        <v>0</v>
      </c>
      <c r="I1082" s="15">
        <f t="shared" si="64"/>
        <v>1139</v>
      </c>
      <c r="J1082" s="15">
        <f t="shared" si="64"/>
        <v>12</v>
      </c>
      <c r="K1082" s="15">
        <f t="shared" si="65"/>
        <v>1079</v>
      </c>
      <c r="L1082" s="3" t="str">
        <f t="shared" si="66"/>
        <v>Sunday</v>
      </c>
      <c r="M1082" s="4" t="str">
        <f t="shared" si="67"/>
        <v>Normal Day</v>
      </c>
      <c r="N1082" s="4" t="str">
        <f>TEXT(CleanedData[[#This Row],[DAY]], "mmm yyyy")</f>
        <v>Sep 2024</v>
      </c>
    </row>
    <row r="1083" spans="1:14" x14ac:dyDescent="0.3">
      <c r="A1083" s="5">
        <v>45536</v>
      </c>
      <c r="B1083" s="12">
        <v>1576.5</v>
      </c>
      <c r="C1083" s="12">
        <v>12</v>
      </c>
      <c r="D1083" s="2" t="s">
        <v>6</v>
      </c>
      <c r="E1083" s="2" t="s">
        <v>8</v>
      </c>
      <c r="F1083" s="1">
        <v>53</v>
      </c>
      <c r="G1083" s="13">
        <v>1349.1808168811781</v>
      </c>
      <c r="H1083" s="14" t="b">
        <v>0</v>
      </c>
      <c r="I1083" s="15">
        <f t="shared" si="64"/>
        <v>1577</v>
      </c>
      <c r="J1083" s="15">
        <f t="shared" si="64"/>
        <v>12</v>
      </c>
      <c r="K1083" s="15">
        <f t="shared" si="65"/>
        <v>1349</v>
      </c>
      <c r="L1083" s="3" t="str">
        <f t="shared" si="66"/>
        <v>Sunday</v>
      </c>
      <c r="M1083" s="4" t="str">
        <f t="shared" si="67"/>
        <v>Normal Day</v>
      </c>
      <c r="N1083" s="4" t="str">
        <f>TEXT(CleanedData[[#This Row],[DAY]], "mmm yyyy")</f>
        <v>Sep 2024</v>
      </c>
    </row>
    <row r="1084" spans="1:14" x14ac:dyDescent="0.3">
      <c r="A1084" s="5">
        <v>45536</v>
      </c>
      <c r="B1084" s="12">
        <v>4984.5</v>
      </c>
      <c r="C1084" s="12">
        <v>55.5</v>
      </c>
      <c r="D1084" s="2" t="s">
        <v>10</v>
      </c>
      <c r="E1084" s="2" t="s">
        <v>7</v>
      </c>
      <c r="F1084" s="1">
        <v>3167</v>
      </c>
      <c r="G1084" s="13">
        <v>4678.8701499364006</v>
      </c>
      <c r="H1084" s="14" t="b">
        <v>0</v>
      </c>
      <c r="I1084" s="15">
        <f t="shared" si="64"/>
        <v>4985</v>
      </c>
      <c r="J1084" s="15">
        <f t="shared" si="64"/>
        <v>56</v>
      </c>
      <c r="K1084" s="15">
        <f t="shared" si="65"/>
        <v>4679</v>
      </c>
      <c r="L1084" s="3" t="str">
        <f t="shared" si="66"/>
        <v>Sunday</v>
      </c>
      <c r="M1084" s="4" t="str">
        <f t="shared" si="67"/>
        <v>Normal Day</v>
      </c>
      <c r="N1084" s="4" t="str">
        <f>TEXT(CleanedData[[#This Row],[DAY]], "mmm yyyy")</f>
        <v>Sep 2024</v>
      </c>
    </row>
    <row r="1085" spans="1:14" x14ac:dyDescent="0.3">
      <c r="A1085" s="5">
        <v>45536</v>
      </c>
      <c r="B1085" s="12">
        <v>5254.5</v>
      </c>
      <c r="C1085" s="12">
        <v>130.5</v>
      </c>
      <c r="D1085" s="2" t="s">
        <v>9</v>
      </c>
      <c r="E1085" s="2" t="s">
        <v>8</v>
      </c>
      <c r="F1085" s="1">
        <v>1719</v>
      </c>
      <c r="G1085" s="13">
        <v>4685.8216617927001</v>
      </c>
      <c r="H1085" s="14" t="b">
        <v>0</v>
      </c>
      <c r="I1085" s="15">
        <f t="shared" si="64"/>
        <v>5255</v>
      </c>
      <c r="J1085" s="15">
        <f t="shared" si="64"/>
        <v>131</v>
      </c>
      <c r="K1085" s="15">
        <f t="shared" si="65"/>
        <v>4686</v>
      </c>
      <c r="L1085" s="3" t="str">
        <f t="shared" si="66"/>
        <v>Sunday</v>
      </c>
      <c r="M1085" s="4" t="str">
        <f t="shared" si="67"/>
        <v>Normal Day</v>
      </c>
      <c r="N1085" s="4" t="str">
        <f>TEXT(CleanedData[[#This Row],[DAY]], "mmm yyyy")</f>
        <v>Sep 2024</v>
      </c>
    </row>
    <row r="1086" spans="1:14" x14ac:dyDescent="0.3">
      <c r="A1086" s="5">
        <v>45537</v>
      </c>
      <c r="B1086" s="12">
        <v>1675.5</v>
      </c>
      <c r="C1086" s="12">
        <v>37.5</v>
      </c>
      <c r="D1086" s="2" t="s">
        <v>10</v>
      </c>
      <c r="E1086" s="2" t="s">
        <v>7</v>
      </c>
      <c r="F1086" s="1">
        <v>1095</v>
      </c>
      <c r="G1086" s="13">
        <v>1587.8401759720775</v>
      </c>
      <c r="H1086" s="14" t="b">
        <v>0</v>
      </c>
      <c r="I1086" s="15">
        <f t="shared" si="64"/>
        <v>1676</v>
      </c>
      <c r="J1086" s="15">
        <f t="shared" si="64"/>
        <v>38</v>
      </c>
      <c r="K1086" s="15">
        <f t="shared" si="65"/>
        <v>1588</v>
      </c>
      <c r="L1086" s="3" t="str">
        <f t="shared" si="66"/>
        <v>Monday</v>
      </c>
      <c r="M1086" s="4" t="str">
        <f t="shared" si="67"/>
        <v>Normal Day</v>
      </c>
      <c r="N1086" s="4" t="str">
        <f>TEXT(CleanedData[[#This Row],[DAY]], "mmm yyyy")</f>
        <v>Sep 2024</v>
      </c>
    </row>
    <row r="1087" spans="1:14" x14ac:dyDescent="0.3">
      <c r="A1087" s="5">
        <v>45537</v>
      </c>
      <c r="B1087" s="12">
        <v>2127</v>
      </c>
      <c r="C1087" s="12">
        <v>73.5</v>
      </c>
      <c r="D1087" s="2" t="s">
        <v>9</v>
      </c>
      <c r="E1087" s="2" t="s">
        <v>8</v>
      </c>
      <c r="F1087" s="1">
        <v>1345</v>
      </c>
      <c r="G1087" s="13">
        <v>1813.6185071478205</v>
      </c>
      <c r="H1087" s="14" t="b">
        <v>0</v>
      </c>
      <c r="I1087" s="15">
        <f t="shared" si="64"/>
        <v>2127</v>
      </c>
      <c r="J1087" s="15">
        <f t="shared" si="64"/>
        <v>74</v>
      </c>
      <c r="K1087" s="15">
        <f t="shared" si="65"/>
        <v>1814</v>
      </c>
      <c r="L1087" s="3" t="str">
        <f t="shared" si="66"/>
        <v>Monday</v>
      </c>
      <c r="M1087" s="4" t="str">
        <f t="shared" si="67"/>
        <v>Normal Day</v>
      </c>
      <c r="N1087" s="4" t="str">
        <f>TEXT(CleanedData[[#This Row],[DAY]], "mmm yyyy")</f>
        <v>Sep 2024</v>
      </c>
    </row>
    <row r="1088" spans="1:14" x14ac:dyDescent="0.3">
      <c r="A1088" s="5">
        <v>45537</v>
      </c>
      <c r="B1088" s="12">
        <v>5254.5</v>
      </c>
      <c r="C1088" s="12">
        <v>264</v>
      </c>
      <c r="D1088" s="2" t="s">
        <v>6</v>
      </c>
      <c r="E1088" s="2" t="s">
        <v>8</v>
      </c>
      <c r="F1088" s="1">
        <v>3423</v>
      </c>
      <c r="G1088" s="13">
        <v>4580.7778495963039</v>
      </c>
      <c r="H1088" s="14" t="b">
        <v>0</v>
      </c>
      <c r="I1088" s="15">
        <f t="shared" si="64"/>
        <v>5255</v>
      </c>
      <c r="J1088" s="15">
        <f t="shared" si="64"/>
        <v>264</v>
      </c>
      <c r="K1088" s="15">
        <f t="shared" si="65"/>
        <v>4581</v>
      </c>
      <c r="L1088" s="3" t="str">
        <f t="shared" si="66"/>
        <v>Monday</v>
      </c>
      <c r="M1088" s="4" t="str">
        <f t="shared" si="67"/>
        <v>Normal Day</v>
      </c>
      <c r="N1088" s="4" t="str">
        <f>TEXT(CleanedData[[#This Row],[DAY]], "mmm yyyy")</f>
        <v>Sep 2024</v>
      </c>
    </row>
    <row r="1089" spans="1:14" x14ac:dyDescent="0.3">
      <c r="A1089" s="5">
        <v>45537</v>
      </c>
      <c r="B1089" s="12">
        <v>5350.5</v>
      </c>
      <c r="C1089" s="12">
        <v>264</v>
      </c>
      <c r="D1089" s="2" t="s">
        <v>6</v>
      </c>
      <c r="E1089" s="2" t="s">
        <v>7</v>
      </c>
      <c r="F1089" s="1">
        <v>689</v>
      </c>
      <c r="G1089" s="13">
        <v>5170.2477348355978</v>
      </c>
      <c r="H1089" s="14" t="b">
        <v>1</v>
      </c>
      <c r="I1089" s="15">
        <f t="shared" si="64"/>
        <v>5351</v>
      </c>
      <c r="J1089" s="15">
        <f t="shared" si="64"/>
        <v>264</v>
      </c>
      <c r="K1089" s="15">
        <f t="shared" si="65"/>
        <v>5170</v>
      </c>
      <c r="L1089" s="3" t="str">
        <f t="shared" si="66"/>
        <v>Monday</v>
      </c>
      <c r="M1089" s="4" t="str">
        <f t="shared" si="67"/>
        <v>Outage Day</v>
      </c>
      <c r="N1089" s="4" t="str">
        <f>TEXT(CleanedData[[#This Row],[DAY]], "mmm yyyy")</f>
        <v>Sep 2024</v>
      </c>
    </row>
    <row r="1090" spans="1:14" x14ac:dyDescent="0.3">
      <c r="A1090" s="5">
        <v>45538</v>
      </c>
      <c r="B1090" s="12">
        <v>2643</v>
      </c>
      <c r="C1090" s="12">
        <v>10.5</v>
      </c>
      <c r="D1090" s="2" t="s">
        <v>9</v>
      </c>
      <c r="E1090" s="2" t="s">
        <v>8</v>
      </c>
      <c r="F1090" s="1">
        <v>601</v>
      </c>
      <c r="G1090" s="13">
        <v>2320.22978865493</v>
      </c>
      <c r="H1090" s="14" t="b">
        <v>0</v>
      </c>
      <c r="I1090" s="15">
        <f t="shared" ref="I1090:J1153" si="68">ROUND(B1090, 0)</f>
        <v>2643</v>
      </c>
      <c r="J1090" s="15">
        <f t="shared" si="68"/>
        <v>11</v>
      </c>
      <c r="K1090" s="15">
        <f t="shared" ref="K1090:K1153" si="69">ROUND(G1090, 0)</f>
        <v>2320</v>
      </c>
      <c r="L1090" s="3" t="str">
        <f t="shared" si="66"/>
        <v>Tuesday</v>
      </c>
      <c r="M1090" s="4" t="str">
        <f t="shared" si="67"/>
        <v>Normal Day</v>
      </c>
      <c r="N1090" s="4" t="str">
        <f>TEXT(CleanedData[[#This Row],[DAY]], "mmm yyyy")</f>
        <v>Sep 2024</v>
      </c>
    </row>
    <row r="1091" spans="1:14" x14ac:dyDescent="0.3">
      <c r="A1091" s="5">
        <v>45538</v>
      </c>
      <c r="B1091" s="12">
        <v>2697</v>
      </c>
      <c r="C1091" s="12">
        <v>157.5</v>
      </c>
      <c r="D1091" s="2" t="s">
        <v>10</v>
      </c>
      <c r="E1091" s="2" t="s">
        <v>7</v>
      </c>
      <c r="F1091" s="1">
        <v>1432</v>
      </c>
      <c r="G1091" s="13">
        <v>2591.4855240636871</v>
      </c>
      <c r="H1091" s="14" t="b">
        <v>0</v>
      </c>
      <c r="I1091" s="15">
        <f t="shared" si="68"/>
        <v>2697</v>
      </c>
      <c r="J1091" s="15">
        <f t="shared" si="68"/>
        <v>158</v>
      </c>
      <c r="K1091" s="15">
        <f t="shared" si="69"/>
        <v>2591</v>
      </c>
      <c r="L1091" s="3" t="str">
        <f t="shared" ref="L1091:L1154" si="70">TEXT(A1091,"dddd")</f>
        <v>Tuesday</v>
      </c>
      <c r="M1091" s="4" t="str">
        <f t="shared" ref="M1091:M1154" si="71">IF(H1091=TRUE, "Outage Day", "Normal Day")</f>
        <v>Normal Day</v>
      </c>
      <c r="N1091" s="4" t="str">
        <f>TEXT(CleanedData[[#This Row],[DAY]], "mmm yyyy")</f>
        <v>Sep 2024</v>
      </c>
    </row>
    <row r="1092" spans="1:14" x14ac:dyDescent="0.3">
      <c r="A1092" s="5">
        <v>45538</v>
      </c>
      <c r="B1092" s="12">
        <v>4071</v>
      </c>
      <c r="C1092" s="12">
        <v>159</v>
      </c>
      <c r="D1092" s="2" t="s">
        <v>6</v>
      </c>
      <c r="E1092" s="2" t="s">
        <v>7</v>
      </c>
      <c r="F1092" s="1">
        <v>1471</v>
      </c>
      <c r="G1092" s="13">
        <v>3884.2437086452251</v>
      </c>
      <c r="H1092" s="14" t="b">
        <v>0</v>
      </c>
      <c r="I1092" s="15">
        <f t="shared" si="68"/>
        <v>4071</v>
      </c>
      <c r="J1092" s="15">
        <f t="shared" si="68"/>
        <v>159</v>
      </c>
      <c r="K1092" s="15">
        <f t="shared" si="69"/>
        <v>3884</v>
      </c>
      <c r="L1092" s="3" t="str">
        <f t="shared" si="70"/>
        <v>Tuesday</v>
      </c>
      <c r="M1092" s="4" t="str">
        <f t="shared" si="71"/>
        <v>Normal Day</v>
      </c>
      <c r="N1092" s="4" t="str">
        <f>TEXT(CleanedData[[#This Row],[DAY]], "mmm yyyy")</f>
        <v>Sep 2024</v>
      </c>
    </row>
    <row r="1093" spans="1:14" x14ac:dyDescent="0.3">
      <c r="A1093" s="5">
        <v>45538</v>
      </c>
      <c r="B1093" s="12">
        <v>4989</v>
      </c>
      <c r="C1093" s="12">
        <v>159</v>
      </c>
      <c r="D1093" s="2" t="s">
        <v>6</v>
      </c>
      <c r="E1093" s="2" t="s">
        <v>8</v>
      </c>
      <c r="F1093" s="1">
        <v>3030</v>
      </c>
      <c r="G1093" s="13">
        <v>4179.5897027019164</v>
      </c>
      <c r="H1093" s="14" t="b">
        <v>0</v>
      </c>
      <c r="I1093" s="15">
        <f t="shared" si="68"/>
        <v>4989</v>
      </c>
      <c r="J1093" s="15">
        <f t="shared" si="68"/>
        <v>159</v>
      </c>
      <c r="K1093" s="15">
        <f t="shared" si="69"/>
        <v>4180</v>
      </c>
      <c r="L1093" s="3" t="str">
        <f t="shared" si="70"/>
        <v>Tuesday</v>
      </c>
      <c r="M1093" s="4" t="str">
        <f t="shared" si="71"/>
        <v>Normal Day</v>
      </c>
      <c r="N1093" s="4" t="str">
        <f>TEXT(CleanedData[[#This Row],[DAY]], "mmm yyyy")</f>
        <v>Sep 2024</v>
      </c>
    </row>
    <row r="1094" spans="1:14" x14ac:dyDescent="0.3">
      <c r="A1094" s="5">
        <v>45539</v>
      </c>
      <c r="B1094" s="12">
        <v>1.5</v>
      </c>
      <c r="C1094" s="12">
        <v>0</v>
      </c>
      <c r="D1094" s="2" t="s">
        <v>10</v>
      </c>
      <c r="E1094" s="2" t="s">
        <v>8</v>
      </c>
      <c r="F1094" s="1">
        <v>1</v>
      </c>
      <c r="G1094" s="13">
        <v>1.260843597775497</v>
      </c>
      <c r="H1094" s="14" t="b">
        <v>0</v>
      </c>
      <c r="I1094" s="15">
        <f t="shared" si="68"/>
        <v>2</v>
      </c>
      <c r="J1094" s="15">
        <f t="shared" si="68"/>
        <v>0</v>
      </c>
      <c r="K1094" s="15">
        <f t="shared" si="69"/>
        <v>1</v>
      </c>
      <c r="L1094" s="3" t="str">
        <f t="shared" si="70"/>
        <v>Wednesday</v>
      </c>
      <c r="M1094" s="4" t="str">
        <f t="shared" si="71"/>
        <v>Normal Day</v>
      </c>
      <c r="N1094" s="4" t="str">
        <f>TEXT(CleanedData[[#This Row],[DAY]], "mmm yyyy")</f>
        <v>Sep 2024</v>
      </c>
    </row>
    <row r="1095" spans="1:14" x14ac:dyDescent="0.3">
      <c r="A1095" s="5">
        <v>45539</v>
      </c>
      <c r="B1095" s="12">
        <v>789</v>
      </c>
      <c r="C1095" s="12">
        <v>45</v>
      </c>
      <c r="D1095" s="2" t="s">
        <v>6</v>
      </c>
      <c r="E1095" s="2" t="s">
        <v>8</v>
      </c>
      <c r="F1095" s="1">
        <v>195</v>
      </c>
      <c r="G1095" s="13">
        <v>717.18277441137252</v>
      </c>
      <c r="H1095" s="14" t="b">
        <v>0</v>
      </c>
      <c r="I1095" s="15">
        <f t="shared" si="68"/>
        <v>789</v>
      </c>
      <c r="J1095" s="15">
        <f t="shared" si="68"/>
        <v>45</v>
      </c>
      <c r="K1095" s="15">
        <f t="shared" si="69"/>
        <v>717</v>
      </c>
      <c r="L1095" s="3" t="str">
        <f t="shared" si="70"/>
        <v>Wednesday</v>
      </c>
      <c r="M1095" s="4" t="str">
        <f t="shared" si="71"/>
        <v>Normal Day</v>
      </c>
      <c r="N1095" s="4" t="str">
        <f>TEXT(CleanedData[[#This Row],[DAY]], "mmm yyyy")</f>
        <v>Sep 2024</v>
      </c>
    </row>
    <row r="1096" spans="1:14" x14ac:dyDescent="0.3">
      <c r="A1096" s="5">
        <v>45539</v>
      </c>
      <c r="B1096" s="12">
        <v>1306.5</v>
      </c>
      <c r="C1096" s="12">
        <v>45</v>
      </c>
      <c r="D1096" s="2" t="s">
        <v>6</v>
      </c>
      <c r="E1096" s="2" t="s">
        <v>7</v>
      </c>
      <c r="F1096" s="1">
        <v>21</v>
      </c>
      <c r="G1096" s="13">
        <v>1195.8523376206501</v>
      </c>
      <c r="H1096" s="14" t="b">
        <v>0</v>
      </c>
      <c r="I1096" s="15">
        <f t="shared" si="68"/>
        <v>1307</v>
      </c>
      <c r="J1096" s="15">
        <f t="shared" si="68"/>
        <v>45</v>
      </c>
      <c r="K1096" s="15">
        <f t="shared" si="69"/>
        <v>1196</v>
      </c>
      <c r="L1096" s="3" t="str">
        <f t="shared" si="70"/>
        <v>Wednesday</v>
      </c>
      <c r="M1096" s="4" t="str">
        <f t="shared" si="71"/>
        <v>Normal Day</v>
      </c>
      <c r="N1096" s="4" t="str">
        <f>TEXT(CleanedData[[#This Row],[DAY]], "mmm yyyy")</f>
        <v>Sep 2024</v>
      </c>
    </row>
    <row r="1097" spans="1:14" x14ac:dyDescent="0.3">
      <c r="A1097" s="5">
        <v>45539</v>
      </c>
      <c r="B1097" s="12">
        <v>6064.5</v>
      </c>
      <c r="C1097" s="12">
        <v>109.5</v>
      </c>
      <c r="D1097" s="2" t="s">
        <v>10</v>
      </c>
      <c r="E1097" s="2" t="s">
        <v>7</v>
      </c>
      <c r="F1097" s="1">
        <v>490</v>
      </c>
      <c r="G1097" s="13">
        <v>5615.7677644093828</v>
      </c>
      <c r="H1097" s="14" t="b">
        <v>0</v>
      </c>
      <c r="I1097" s="15">
        <f t="shared" si="68"/>
        <v>6065</v>
      </c>
      <c r="J1097" s="15">
        <f t="shared" si="68"/>
        <v>110</v>
      </c>
      <c r="K1097" s="15">
        <f t="shared" si="69"/>
        <v>5616</v>
      </c>
      <c r="L1097" s="3" t="str">
        <f t="shared" si="70"/>
        <v>Wednesday</v>
      </c>
      <c r="M1097" s="4" t="str">
        <f t="shared" si="71"/>
        <v>Normal Day</v>
      </c>
      <c r="N1097" s="4" t="str">
        <f>TEXT(CleanedData[[#This Row],[DAY]], "mmm yyyy")</f>
        <v>Sep 2024</v>
      </c>
    </row>
    <row r="1098" spans="1:14" x14ac:dyDescent="0.3">
      <c r="A1098" s="5">
        <v>45539</v>
      </c>
      <c r="B1098" s="12">
        <v>6661.5</v>
      </c>
      <c r="C1098" s="12">
        <v>255</v>
      </c>
      <c r="D1098" s="2" t="s">
        <v>9</v>
      </c>
      <c r="E1098" s="2" t="s">
        <v>8</v>
      </c>
      <c r="F1098" s="1">
        <v>1259</v>
      </c>
      <c r="G1098" s="13">
        <v>6082.9246295825924</v>
      </c>
      <c r="H1098" s="14" t="b">
        <v>0</v>
      </c>
      <c r="I1098" s="15">
        <f t="shared" si="68"/>
        <v>6662</v>
      </c>
      <c r="J1098" s="15">
        <f t="shared" si="68"/>
        <v>255</v>
      </c>
      <c r="K1098" s="15">
        <f t="shared" si="69"/>
        <v>6083</v>
      </c>
      <c r="L1098" s="3" t="str">
        <f t="shared" si="70"/>
        <v>Wednesday</v>
      </c>
      <c r="M1098" s="4" t="str">
        <f t="shared" si="71"/>
        <v>Normal Day</v>
      </c>
      <c r="N1098" s="4" t="str">
        <f>TEXT(CleanedData[[#This Row],[DAY]], "mmm yyyy")</f>
        <v>Sep 2024</v>
      </c>
    </row>
    <row r="1099" spans="1:14" x14ac:dyDescent="0.3">
      <c r="A1099" s="5">
        <v>45540</v>
      </c>
      <c r="B1099" s="12">
        <v>1240.5</v>
      </c>
      <c r="C1099" s="12">
        <v>103.5</v>
      </c>
      <c r="D1099" s="2" t="s">
        <v>6</v>
      </c>
      <c r="E1099" s="2" t="s">
        <v>8</v>
      </c>
      <c r="F1099" s="1">
        <v>762</v>
      </c>
      <c r="G1099" s="13">
        <v>1164.9048018926035</v>
      </c>
      <c r="H1099" s="14" t="b">
        <v>0</v>
      </c>
      <c r="I1099" s="15">
        <f t="shared" si="68"/>
        <v>1241</v>
      </c>
      <c r="J1099" s="15">
        <f t="shared" si="68"/>
        <v>104</v>
      </c>
      <c r="K1099" s="15">
        <f t="shared" si="69"/>
        <v>1165</v>
      </c>
      <c r="L1099" s="3" t="str">
        <f t="shared" si="70"/>
        <v>Thursday</v>
      </c>
      <c r="M1099" s="4" t="str">
        <f t="shared" si="71"/>
        <v>Normal Day</v>
      </c>
      <c r="N1099" s="4" t="str">
        <f>TEXT(CleanedData[[#This Row],[DAY]], "mmm yyyy")</f>
        <v>Sep 2024</v>
      </c>
    </row>
    <row r="1100" spans="1:14" x14ac:dyDescent="0.3">
      <c r="A1100" s="5">
        <v>45540</v>
      </c>
      <c r="B1100" s="12">
        <v>1917</v>
      </c>
      <c r="C1100" s="12">
        <v>103.5</v>
      </c>
      <c r="D1100" s="2" t="s">
        <v>6</v>
      </c>
      <c r="E1100" s="2" t="s">
        <v>7</v>
      </c>
      <c r="F1100" s="1">
        <v>469</v>
      </c>
      <c r="G1100" s="13">
        <v>1833.3859844352273</v>
      </c>
      <c r="H1100" s="14" t="b">
        <v>0</v>
      </c>
      <c r="I1100" s="15">
        <f t="shared" si="68"/>
        <v>1917</v>
      </c>
      <c r="J1100" s="15">
        <f t="shared" si="68"/>
        <v>104</v>
      </c>
      <c r="K1100" s="15">
        <f t="shared" si="69"/>
        <v>1833</v>
      </c>
      <c r="L1100" s="3" t="str">
        <f t="shared" si="70"/>
        <v>Thursday</v>
      </c>
      <c r="M1100" s="4" t="str">
        <f t="shared" si="71"/>
        <v>Normal Day</v>
      </c>
      <c r="N1100" s="4" t="str">
        <f>TEXT(CleanedData[[#This Row],[DAY]], "mmm yyyy")</f>
        <v>Sep 2024</v>
      </c>
    </row>
    <row r="1101" spans="1:14" x14ac:dyDescent="0.3">
      <c r="A1101" s="5">
        <v>45540</v>
      </c>
      <c r="B1101" s="12">
        <v>6915</v>
      </c>
      <c r="C1101" s="12">
        <v>220.5</v>
      </c>
      <c r="D1101" s="2" t="s">
        <v>9</v>
      </c>
      <c r="E1101" s="2" t="s">
        <v>8</v>
      </c>
      <c r="F1101" s="1">
        <v>4500</v>
      </c>
      <c r="G1101" s="13">
        <v>6100.0470018879114</v>
      </c>
      <c r="H1101" s="14" t="b">
        <v>0</v>
      </c>
      <c r="I1101" s="15">
        <f t="shared" si="68"/>
        <v>6915</v>
      </c>
      <c r="J1101" s="15">
        <f t="shared" si="68"/>
        <v>221</v>
      </c>
      <c r="K1101" s="15">
        <f t="shared" si="69"/>
        <v>6100</v>
      </c>
      <c r="L1101" s="3" t="str">
        <f t="shared" si="70"/>
        <v>Thursday</v>
      </c>
      <c r="M1101" s="4" t="str">
        <f t="shared" si="71"/>
        <v>Normal Day</v>
      </c>
      <c r="N1101" s="4" t="str">
        <f>TEXT(CleanedData[[#This Row],[DAY]], "mmm yyyy")</f>
        <v>Sep 2024</v>
      </c>
    </row>
    <row r="1102" spans="1:14" x14ac:dyDescent="0.3">
      <c r="A1102" s="5">
        <v>45540</v>
      </c>
      <c r="B1102" s="12">
        <v>7482</v>
      </c>
      <c r="C1102" s="12">
        <v>10.5</v>
      </c>
      <c r="D1102" s="2" t="s">
        <v>10</v>
      </c>
      <c r="E1102" s="2" t="s">
        <v>7</v>
      </c>
      <c r="F1102" s="1">
        <v>3448</v>
      </c>
      <c r="G1102" s="13">
        <v>6684.5742089158066</v>
      </c>
      <c r="H1102" s="14" t="b">
        <v>0</v>
      </c>
      <c r="I1102" s="15">
        <f t="shared" si="68"/>
        <v>7482</v>
      </c>
      <c r="J1102" s="15">
        <f t="shared" si="68"/>
        <v>11</v>
      </c>
      <c r="K1102" s="15">
        <f t="shared" si="69"/>
        <v>6685</v>
      </c>
      <c r="L1102" s="3" t="str">
        <f t="shared" si="70"/>
        <v>Thursday</v>
      </c>
      <c r="M1102" s="4" t="str">
        <f t="shared" si="71"/>
        <v>Normal Day</v>
      </c>
      <c r="N1102" s="4" t="str">
        <f>TEXT(CleanedData[[#This Row],[DAY]], "mmm yyyy")</f>
        <v>Sep 2024</v>
      </c>
    </row>
    <row r="1103" spans="1:14" x14ac:dyDescent="0.3">
      <c r="A1103" s="5">
        <v>45541</v>
      </c>
      <c r="B1103" s="12">
        <v>834</v>
      </c>
      <c r="C1103" s="12">
        <v>28.5</v>
      </c>
      <c r="D1103" s="2" t="s">
        <v>6</v>
      </c>
      <c r="E1103" s="2" t="s">
        <v>7</v>
      </c>
      <c r="F1103" s="1">
        <v>549</v>
      </c>
      <c r="G1103" s="13">
        <v>794.87600559966097</v>
      </c>
      <c r="H1103" s="14" t="b">
        <v>0</v>
      </c>
      <c r="I1103" s="15">
        <f t="shared" si="68"/>
        <v>834</v>
      </c>
      <c r="J1103" s="15">
        <f t="shared" si="68"/>
        <v>29</v>
      </c>
      <c r="K1103" s="15">
        <f t="shared" si="69"/>
        <v>795</v>
      </c>
      <c r="L1103" s="3" t="str">
        <f t="shared" si="70"/>
        <v>Friday</v>
      </c>
      <c r="M1103" s="4" t="str">
        <f t="shared" si="71"/>
        <v>Normal Day</v>
      </c>
      <c r="N1103" s="4" t="str">
        <f>TEXT(CleanedData[[#This Row],[DAY]], "mmm yyyy")</f>
        <v>Sep 2024</v>
      </c>
    </row>
    <row r="1104" spans="1:14" x14ac:dyDescent="0.3">
      <c r="A1104" s="5">
        <v>45541</v>
      </c>
      <c r="B1104" s="12">
        <v>1000.5</v>
      </c>
      <c r="C1104" s="12">
        <v>28.5</v>
      </c>
      <c r="D1104" s="2" t="s">
        <v>6</v>
      </c>
      <c r="E1104" s="2" t="s">
        <v>8</v>
      </c>
      <c r="F1104" s="1">
        <v>25</v>
      </c>
      <c r="G1104" s="13">
        <v>885.88388091728484</v>
      </c>
      <c r="H1104" s="14" t="b">
        <v>0</v>
      </c>
      <c r="I1104" s="15">
        <f t="shared" si="68"/>
        <v>1001</v>
      </c>
      <c r="J1104" s="15">
        <f t="shared" si="68"/>
        <v>29</v>
      </c>
      <c r="K1104" s="15">
        <f t="shared" si="69"/>
        <v>886</v>
      </c>
      <c r="L1104" s="3" t="str">
        <f t="shared" si="70"/>
        <v>Friday</v>
      </c>
      <c r="M1104" s="4" t="str">
        <f t="shared" si="71"/>
        <v>Normal Day</v>
      </c>
      <c r="N1104" s="4" t="str">
        <f>TEXT(CleanedData[[#This Row],[DAY]], "mmm yyyy")</f>
        <v>Sep 2024</v>
      </c>
    </row>
    <row r="1105" spans="1:14" x14ac:dyDescent="0.3">
      <c r="A1105" s="5">
        <v>45541</v>
      </c>
      <c r="B1105" s="12">
        <v>6157.5</v>
      </c>
      <c r="C1105" s="12">
        <v>232.5</v>
      </c>
      <c r="D1105" s="2" t="s">
        <v>9</v>
      </c>
      <c r="E1105" s="2" t="s">
        <v>8</v>
      </c>
      <c r="F1105" s="1">
        <v>505</v>
      </c>
      <c r="G1105" s="13">
        <v>5359.8424558155957</v>
      </c>
      <c r="H1105" s="14" t="b">
        <v>0</v>
      </c>
      <c r="I1105" s="15">
        <f t="shared" si="68"/>
        <v>6158</v>
      </c>
      <c r="J1105" s="15">
        <f t="shared" si="68"/>
        <v>233</v>
      </c>
      <c r="K1105" s="15">
        <f t="shared" si="69"/>
        <v>5360</v>
      </c>
      <c r="L1105" s="3" t="str">
        <f t="shared" si="70"/>
        <v>Friday</v>
      </c>
      <c r="M1105" s="4" t="str">
        <f t="shared" si="71"/>
        <v>Normal Day</v>
      </c>
      <c r="N1105" s="4" t="str">
        <f>TEXT(CleanedData[[#This Row],[DAY]], "mmm yyyy")</f>
        <v>Sep 2024</v>
      </c>
    </row>
    <row r="1106" spans="1:14" x14ac:dyDescent="0.3">
      <c r="A1106" s="5">
        <v>45541</v>
      </c>
      <c r="B1106" s="12">
        <v>6877.5</v>
      </c>
      <c r="C1106" s="12">
        <v>229.5</v>
      </c>
      <c r="D1106" s="2" t="s">
        <v>10</v>
      </c>
      <c r="E1106" s="2" t="s">
        <v>7</v>
      </c>
      <c r="F1106" s="1">
        <v>223</v>
      </c>
      <c r="G1106" s="13">
        <v>6487.8571154627107</v>
      </c>
      <c r="H1106" s="14" t="b">
        <v>0</v>
      </c>
      <c r="I1106" s="15">
        <f t="shared" si="68"/>
        <v>6878</v>
      </c>
      <c r="J1106" s="15">
        <f t="shared" si="68"/>
        <v>230</v>
      </c>
      <c r="K1106" s="15">
        <f t="shared" si="69"/>
        <v>6488</v>
      </c>
      <c r="L1106" s="3" t="str">
        <f t="shared" si="70"/>
        <v>Friday</v>
      </c>
      <c r="M1106" s="4" t="str">
        <f t="shared" si="71"/>
        <v>Normal Day</v>
      </c>
      <c r="N1106" s="4" t="str">
        <f>TEXT(CleanedData[[#This Row],[DAY]], "mmm yyyy")</f>
        <v>Sep 2024</v>
      </c>
    </row>
    <row r="1107" spans="1:14" x14ac:dyDescent="0.3">
      <c r="A1107" s="5">
        <v>45542</v>
      </c>
      <c r="B1107" s="12">
        <v>973.5</v>
      </c>
      <c r="C1107" s="12">
        <v>67.5</v>
      </c>
      <c r="D1107" s="2" t="s">
        <v>6</v>
      </c>
      <c r="E1107" s="2" t="s">
        <v>7</v>
      </c>
      <c r="F1107" s="1">
        <v>368</v>
      </c>
      <c r="G1107" s="13">
        <v>953.97186997224651</v>
      </c>
      <c r="H1107" s="14" t="b">
        <v>0</v>
      </c>
      <c r="I1107" s="15">
        <f t="shared" si="68"/>
        <v>974</v>
      </c>
      <c r="J1107" s="15">
        <f t="shared" si="68"/>
        <v>68</v>
      </c>
      <c r="K1107" s="15">
        <f t="shared" si="69"/>
        <v>954</v>
      </c>
      <c r="L1107" s="3" t="str">
        <f t="shared" si="70"/>
        <v>Saturday</v>
      </c>
      <c r="M1107" s="4" t="str">
        <f t="shared" si="71"/>
        <v>Normal Day</v>
      </c>
      <c r="N1107" s="4" t="str">
        <f>TEXT(CleanedData[[#This Row],[DAY]], "mmm yyyy")</f>
        <v>Sep 2024</v>
      </c>
    </row>
    <row r="1108" spans="1:14" x14ac:dyDescent="0.3">
      <c r="A1108" s="5">
        <v>45542</v>
      </c>
      <c r="B1108" s="12">
        <v>1842</v>
      </c>
      <c r="C1108" s="12">
        <v>67.5</v>
      </c>
      <c r="D1108" s="2" t="s">
        <v>6</v>
      </c>
      <c r="E1108" s="2" t="s">
        <v>8</v>
      </c>
      <c r="F1108" s="1">
        <v>787</v>
      </c>
      <c r="G1108" s="13">
        <v>1560.7966159047905</v>
      </c>
      <c r="H1108" s="14" t="b">
        <v>0</v>
      </c>
      <c r="I1108" s="15">
        <f t="shared" si="68"/>
        <v>1842</v>
      </c>
      <c r="J1108" s="15">
        <f t="shared" si="68"/>
        <v>68</v>
      </c>
      <c r="K1108" s="15">
        <f t="shared" si="69"/>
        <v>1561</v>
      </c>
      <c r="L1108" s="3" t="str">
        <f t="shared" si="70"/>
        <v>Saturday</v>
      </c>
      <c r="M1108" s="4" t="str">
        <f t="shared" si="71"/>
        <v>Normal Day</v>
      </c>
      <c r="N1108" s="4" t="str">
        <f>TEXT(CleanedData[[#This Row],[DAY]], "mmm yyyy")</f>
        <v>Sep 2024</v>
      </c>
    </row>
    <row r="1109" spans="1:14" x14ac:dyDescent="0.3">
      <c r="A1109" s="5">
        <v>45542</v>
      </c>
      <c r="B1109" s="12">
        <v>5643</v>
      </c>
      <c r="C1109" s="12">
        <v>343.5</v>
      </c>
      <c r="D1109" s="2" t="s">
        <v>10</v>
      </c>
      <c r="E1109" s="2" t="s">
        <v>7</v>
      </c>
      <c r="F1109" s="1">
        <v>2032</v>
      </c>
      <c r="G1109" s="13">
        <v>5568.663731171031</v>
      </c>
      <c r="H1109" s="14" t="b">
        <v>0</v>
      </c>
      <c r="I1109" s="15">
        <f t="shared" si="68"/>
        <v>5643</v>
      </c>
      <c r="J1109" s="15">
        <f t="shared" si="68"/>
        <v>344</v>
      </c>
      <c r="K1109" s="15">
        <f t="shared" si="69"/>
        <v>5569</v>
      </c>
      <c r="L1109" s="3" t="str">
        <f t="shared" si="70"/>
        <v>Saturday</v>
      </c>
      <c r="M1109" s="4" t="str">
        <f t="shared" si="71"/>
        <v>Normal Day</v>
      </c>
      <c r="N1109" s="4" t="str">
        <f>TEXT(CleanedData[[#This Row],[DAY]], "mmm yyyy")</f>
        <v>Sep 2024</v>
      </c>
    </row>
    <row r="1110" spans="1:14" x14ac:dyDescent="0.3">
      <c r="A1110" s="5">
        <v>45542</v>
      </c>
      <c r="B1110" s="12">
        <v>6103.5</v>
      </c>
      <c r="C1110" s="12">
        <v>198</v>
      </c>
      <c r="D1110" s="2" t="s">
        <v>9</v>
      </c>
      <c r="E1110" s="2" t="s">
        <v>8</v>
      </c>
      <c r="F1110" s="1">
        <v>3450</v>
      </c>
      <c r="G1110" s="13">
        <v>5331.3313845908369</v>
      </c>
      <c r="H1110" s="14" t="b">
        <v>0</v>
      </c>
      <c r="I1110" s="15">
        <f t="shared" si="68"/>
        <v>6104</v>
      </c>
      <c r="J1110" s="15">
        <f t="shared" si="68"/>
        <v>198</v>
      </c>
      <c r="K1110" s="15">
        <f t="shared" si="69"/>
        <v>5331</v>
      </c>
      <c r="L1110" s="3" t="str">
        <f t="shared" si="70"/>
        <v>Saturday</v>
      </c>
      <c r="M1110" s="4" t="str">
        <f t="shared" si="71"/>
        <v>Normal Day</v>
      </c>
      <c r="N1110" s="4" t="str">
        <f>TEXT(CleanedData[[#This Row],[DAY]], "mmm yyyy")</f>
        <v>Sep 2024</v>
      </c>
    </row>
    <row r="1111" spans="1:14" x14ac:dyDescent="0.3">
      <c r="A1111" s="5">
        <v>45543</v>
      </c>
      <c r="B1111" s="12">
        <v>999</v>
      </c>
      <c r="C1111" s="12">
        <v>64.5</v>
      </c>
      <c r="D1111" s="2" t="s">
        <v>6</v>
      </c>
      <c r="E1111" s="2" t="s">
        <v>7</v>
      </c>
      <c r="F1111" s="1">
        <v>658</v>
      </c>
      <c r="G1111" s="13">
        <v>964.79926952012602</v>
      </c>
      <c r="H1111" s="14" t="b">
        <v>0</v>
      </c>
      <c r="I1111" s="15">
        <f t="shared" si="68"/>
        <v>999</v>
      </c>
      <c r="J1111" s="15">
        <f t="shared" si="68"/>
        <v>65</v>
      </c>
      <c r="K1111" s="15">
        <f t="shared" si="69"/>
        <v>965</v>
      </c>
      <c r="L1111" s="3" t="str">
        <f t="shared" si="70"/>
        <v>Sunday</v>
      </c>
      <c r="M1111" s="4" t="str">
        <f t="shared" si="71"/>
        <v>Normal Day</v>
      </c>
      <c r="N1111" s="4" t="str">
        <f>TEXT(CleanedData[[#This Row],[DAY]], "mmm yyyy")</f>
        <v>Sep 2024</v>
      </c>
    </row>
    <row r="1112" spans="1:14" x14ac:dyDescent="0.3">
      <c r="A1112" s="5">
        <v>45543</v>
      </c>
      <c r="B1112" s="12">
        <v>1716</v>
      </c>
      <c r="C1112" s="12">
        <v>64.5</v>
      </c>
      <c r="D1112" s="2" t="s">
        <v>6</v>
      </c>
      <c r="E1112" s="2" t="s">
        <v>8</v>
      </c>
      <c r="F1112" s="1">
        <v>206</v>
      </c>
      <c r="G1112" s="13">
        <v>1455.8909767236767</v>
      </c>
      <c r="H1112" s="14" t="b">
        <v>0</v>
      </c>
      <c r="I1112" s="15">
        <f t="shared" si="68"/>
        <v>1716</v>
      </c>
      <c r="J1112" s="15">
        <f t="shared" si="68"/>
        <v>65</v>
      </c>
      <c r="K1112" s="15">
        <f t="shared" si="69"/>
        <v>1456</v>
      </c>
      <c r="L1112" s="3" t="str">
        <f t="shared" si="70"/>
        <v>Sunday</v>
      </c>
      <c r="M1112" s="4" t="str">
        <f t="shared" si="71"/>
        <v>Normal Day</v>
      </c>
      <c r="N1112" s="4" t="str">
        <f>TEXT(CleanedData[[#This Row],[DAY]], "mmm yyyy")</f>
        <v>Sep 2024</v>
      </c>
    </row>
    <row r="1113" spans="1:14" x14ac:dyDescent="0.3">
      <c r="A1113" s="5">
        <v>45543</v>
      </c>
      <c r="B1113" s="12">
        <v>5794.5</v>
      </c>
      <c r="C1113" s="12">
        <v>10.5</v>
      </c>
      <c r="D1113" s="2" t="s">
        <v>9</v>
      </c>
      <c r="E1113" s="2" t="s">
        <v>8</v>
      </c>
      <c r="F1113" s="1">
        <v>1255</v>
      </c>
      <c r="G1113" s="13">
        <v>4795.8386318789098</v>
      </c>
      <c r="H1113" s="14" t="b">
        <v>0</v>
      </c>
      <c r="I1113" s="15">
        <f t="shared" si="68"/>
        <v>5795</v>
      </c>
      <c r="J1113" s="15">
        <f t="shared" si="68"/>
        <v>11</v>
      </c>
      <c r="K1113" s="15">
        <f t="shared" si="69"/>
        <v>4796</v>
      </c>
      <c r="L1113" s="3" t="str">
        <f t="shared" si="70"/>
        <v>Sunday</v>
      </c>
      <c r="M1113" s="4" t="str">
        <f t="shared" si="71"/>
        <v>Normal Day</v>
      </c>
      <c r="N1113" s="4" t="str">
        <f>TEXT(CleanedData[[#This Row],[DAY]], "mmm yyyy")</f>
        <v>Sep 2024</v>
      </c>
    </row>
    <row r="1114" spans="1:14" x14ac:dyDescent="0.3">
      <c r="A1114" s="5">
        <v>45543</v>
      </c>
      <c r="B1114" s="12">
        <v>5808</v>
      </c>
      <c r="C1114" s="12">
        <v>381</v>
      </c>
      <c r="D1114" s="2" t="s">
        <v>10</v>
      </c>
      <c r="E1114" s="2" t="s">
        <v>7</v>
      </c>
      <c r="F1114" s="1">
        <v>3750</v>
      </c>
      <c r="G1114" s="13">
        <v>5624.3607529418377</v>
      </c>
      <c r="H1114" s="14" t="b">
        <v>0</v>
      </c>
      <c r="I1114" s="15">
        <f t="shared" si="68"/>
        <v>5808</v>
      </c>
      <c r="J1114" s="15">
        <f t="shared" si="68"/>
        <v>381</v>
      </c>
      <c r="K1114" s="15">
        <f t="shared" si="69"/>
        <v>5624</v>
      </c>
      <c r="L1114" s="3" t="str">
        <f t="shared" si="70"/>
        <v>Sunday</v>
      </c>
      <c r="M1114" s="4" t="str">
        <f t="shared" si="71"/>
        <v>Normal Day</v>
      </c>
      <c r="N1114" s="4" t="str">
        <f>TEXT(CleanedData[[#This Row],[DAY]], "mmm yyyy")</f>
        <v>Sep 2024</v>
      </c>
    </row>
    <row r="1115" spans="1:14" x14ac:dyDescent="0.3">
      <c r="A1115" s="5">
        <v>45544</v>
      </c>
      <c r="B1115" s="12">
        <v>532.5</v>
      </c>
      <c r="C1115" s="12">
        <v>16.5</v>
      </c>
      <c r="D1115" s="2" t="s">
        <v>6</v>
      </c>
      <c r="E1115" s="2" t="s">
        <v>7</v>
      </c>
      <c r="F1115" s="1">
        <v>15</v>
      </c>
      <c r="G1115" s="13">
        <v>481.67090077542605</v>
      </c>
      <c r="H1115" s="14" t="b">
        <v>0</v>
      </c>
      <c r="I1115" s="15">
        <f t="shared" si="68"/>
        <v>533</v>
      </c>
      <c r="J1115" s="15">
        <f t="shared" si="68"/>
        <v>17</v>
      </c>
      <c r="K1115" s="15">
        <f t="shared" si="69"/>
        <v>482</v>
      </c>
      <c r="L1115" s="3" t="str">
        <f t="shared" si="70"/>
        <v>Monday</v>
      </c>
      <c r="M1115" s="4" t="str">
        <f t="shared" si="71"/>
        <v>Normal Day</v>
      </c>
      <c r="N1115" s="4" t="str">
        <f>TEXT(CleanedData[[#This Row],[DAY]], "mmm yyyy")</f>
        <v>Sep 2024</v>
      </c>
    </row>
    <row r="1116" spans="1:14" x14ac:dyDescent="0.3">
      <c r="A1116" s="5">
        <v>45544</v>
      </c>
      <c r="B1116" s="12">
        <v>708</v>
      </c>
      <c r="C1116" s="12">
        <v>16.5</v>
      </c>
      <c r="D1116" s="2" t="s">
        <v>6</v>
      </c>
      <c r="E1116" s="2" t="s">
        <v>8</v>
      </c>
      <c r="F1116" s="1">
        <v>134</v>
      </c>
      <c r="G1116" s="13">
        <v>641.72426034293665</v>
      </c>
      <c r="H1116" s="14" t="b">
        <v>0</v>
      </c>
      <c r="I1116" s="15">
        <f t="shared" si="68"/>
        <v>708</v>
      </c>
      <c r="J1116" s="15">
        <f t="shared" si="68"/>
        <v>17</v>
      </c>
      <c r="K1116" s="15">
        <f t="shared" si="69"/>
        <v>642</v>
      </c>
      <c r="L1116" s="3" t="str">
        <f t="shared" si="70"/>
        <v>Monday</v>
      </c>
      <c r="M1116" s="4" t="str">
        <f t="shared" si="71"/>
        <v>Normal Day</v>
      </c>
      <c r="N1116" s="4" t="str">
        <f>TEXT(CleanedData[[#This Row],[DAY]], "mmm yyyy")</f>
        <v>Sep 2024</v>
      </c>
    </row>
    <row r="1117" spans="1:14" x14ac:dyDescent="0.3">
      <c r="A1117" s="5">
        <v>45544</v>
      </c>
      <c r="B1117" s="12">
        <v>3724.5</v>
      </c>
      <c r="C1117" s="12">
        <v>181.5</v>
      </c>
      <c r="D1117" s="2" t="s">
        <v>9</v>
      </c>
      <c r="E1117" s="2" t="s">
        <v>8</v>
      </c>
      <c r="F1117" s="1">
        <v>231</v>
      </c>
      <c r="G1117" s="13">
        <v>3254.8420278772019</v>
      </c>
      <c r="H1117" s="14" t="b">
        <v>0</v>
      </c>
      <c r="I1117" s="15">
        <f t="shared" si="68"/>
        <v>3725</v>
      </c>
      <c r="J1117" s="15">
        <f t="shared" si="68"/>
        <v>182</v>
      </c>
      <c r="K1117" s="15">
        <f t="shared" si="69"/>
        <v>3255</v>
      </c>
      <c r="L1117" s="3" t="str">
        <f t="shared" si="70"/>
        <v>Monday</v>
      </c>
      <c r="M1117" s="4" t="str">
        <f t="shared" si="71"/>
        <v>Normal Day</v>
      </c>
      <c r="N1117" s="4" t="str">
        <f>TEXT(CleanedData[[#This Row],[DAY]], "mmm yyyy")</f>
        <v>Sep 2024</v>
      </c>
    </row>
    <row r="1118" spans="1:14" x14ac:dyDescent="0.3">
      <c r="A1118" s="5">
        <v>45544</v>
      </c>
      <c r="B1118" s="12">
        <v>5233.5</v>
      </c>
      <c r="C1118" s="12">
        <v>81</v>
      </c>
      <c r="D1118" s="2" t="s">
        <v>10</v>
      </c>
      <c r="E1118" s="2" t="s">
        <v>7</v>
      </c>
      <c r="F1118" s="1">
        <v>3383</v>
      </c>
      <c r="G1118" s="13">
        <v>4958.2551654271565</v>
      </c>
      <c r="H1118" s="14" t="b">
        <v>0</v>
      </c>
      <c r="I1118" s="15">
        <f t="shared" si="68"/>
        <v>5234</v>
      </c>
      <c r="J1118" s="15">
        <f t="shared" si="68"/>
        <v>81</v>
      </c>
      <c r="K1118" s="15">
        <f t="shared" si="69"/>
        <v>4958</v>
      </c>
      <c r="L1118" s="3" t="str">
        <f t="shared" si="70"/>
        <v>Monday</v>
      </c>
      <c r="M1118" s="4" t="str">
        <f t="shared" si="71"/>
        <v>Normal Day</v>
      </c>
      <c r="N1118" s="4" t="str">
        <f>TEXT(CleanedData[[#This Row],[DAY]], "mmm yyyy")</f>
        <v>Sep 2024</v>
      </c>
    </row>
    <row r="1119" spans="1:14" x14ac:dyDescent="0.3">
      <c r="A1119" s="5">
        <v>45545</v>
      </c>
      <c r="B1119" s="12">
        <v>403.5</v>
      </c>
      <c r="C1119" s="12">
        <v>1.5</v>
      </c>
      <c r="D1119" s="2" t="s">
        <v>6</v>
      </c>
      <c r="E1119" s="2" t="s">
        <v>7</v>
      </c>
      <c r="F1119" s="1">
        <v>8</v>
      </c>
      <c r="G1119" s="13">
        <v>379.38413361024209</v>
      </c>
      <c r="H1119" s="14" t="b">
        <v>0</v>
      </c>
      <c r="I1119" s="15">
        <f t="shared" si="68"/>
        <v>404</v>
      </c>
      <c r="J1119" s="15">
        <f t="shared" si="68"/>
        <v>2</v>
      </c>
      <c r="K1119" s="15">
        <f t="shared" si="69"/>
        <v>379</v>
      </c>
      <c r="L1119" s="3" t="str">
        <f t="shared" si="70"/>
        <v>Tuesday</v>
      </c>
      <c r="M1119" s="4" t="str">
        <f t="shared" si="71"/>
        <v>Normal Day</v>
      </c>
      <c r="N1119" s="4" t="str">
        <f>TEXT(CleanedData[[#This Row],[DAY]], "mmm yyyy")</f>
        <v>Sep 2024</v>
      </c>
    </row>
    <row r="1120" spans="1:14" x14ac:dyDescent="0.3">
      <c r="A1120" s="5">
        <v>45545</v>
      </c>
      <c r="B1120" s="12">
        <v>610.5</v>
      </c>
      <c r="C1120" s="12">
        <v>1.5</v>
      </c>
      <c r="D1120" s="2" t="s">
        <v>6</v>
      </c>
      <c r="E1120" s="2" t="s">
        <v>8</v>
      </c>
      <c r="F1120" s="1">
        <v>49</v>
      </c>
      <c r="G1120" s="13">
        <v>514.62106191051384</v>
      </c>
      <c r="H1120" s="14" t="b">
        <v>0</v>
      </c>
      <c r="I1120" s="15">
        <f t="shared" si="68"/>
        <v>611</v>
      </c>
      <c r="J1120" s="15">
        <f t="shared" si="68"/>
        <v>2</v>
      </c>
      <c r="K1120" s="15">
        <f t="shared" si="69"/>
        <v>515</v>
      </c>
      <c r="L1120" s="3" t="str">
        <f t="shared" si="70"/>
        <v>Tuesday</v>
      </c>
      <c r="M1120" s="4" t="str">
        <f t="shared" si="71"/>
        <v>Normal Day</v>
      </c>
      <c r="N1120" s="4" t="str">
        <f>TEXT(CleanedData[[#This Row],[DAY]], "mmm yyyy")</f>
        <v>Sep 2024</v>
      </c>
    </row>
    <row r="1121" spans="1:14" x14ac:dyDescent="0.3">
      <c r="A1121" s="5">
        <v>45545</v>
      </c>
      <c r="B1121" s="12">
        <v>3696</v>
      </c>
      <c r="C1121" s="12">
        <v>147</v>
      </c>
      <c r="D1121" s="2" t="s">
        <v>9</v>
      </c>
      <c r="E1121" s="2" t="s">
        <v>8</v>
      </c>
      <c r="F1121" s="1">
        <v>2180</v>
      </c>
      <c r="G1121" s="13">
        <v>3374.7413615006922</v>
      </c>
      <c r="H1121" s="14" t="b">
        <v>0</v>
      </c>
      <c r="I1121" s="15">
        <f t="shared" si="68"/>
        <v>3696</v>
      </c>
      <c r="J1121" s="15">
        <f t="shared" si="68"/>
        <v>147</v>
      </c>
      <c r="K1121" s="15">
        <f t="shared" si="69"/>
        <v>3375</v>
      </c>
      <c r="L1121" s="3" t="str">
        <f t="shared" si="70"/>
        <v>Tuesday</v>
      </c>
      <c r="M1121" s="4" t="str">
        <f t="shared" si="71"/>
        <v>Normal Day</v>
      </c>
      <c r="N1121" s="4" t="str">
        <f>TEXT(CleanedData[[#This Row],[DAY]], "mmm yyyy")</f>
        <v>Sep 2024</v>
      </c>
    </row>
    <row r="1122" spans="1:14" x14ac:dyDescent="0.3">
      <c r="A1122" s="5">
        <v>45545</v>
      </c>
      <c r="B1122" s="12">
        <v>5364</v>
      </c>
      <c r="C1122" s="12">
        <v>127.5</v>
      </c>
      <c r="D1122" s="2" t="s">
        <v>10</v>
      </c>
      <c r="E1122" s="2" t="s">
        <v>7</v>
      </c>
      <c r="F1122" s="1">
        <v>1338</v>
      </c>
      <c r="G1122" s="13">
        <v>5069.1949963133493</v>
      </c>
      <c r="H1122" s="14" t="b">
        <v>0</v>
      </c>
      <c r="I1122" s="15">
        <f t="shared" si="68"/>
        <v>5364</v>
      </c>
      <c r="J1122" s="15">
        <f t="shared" si="68"/>
        <v>128</v>
      </c>
      <c r="K1122" s="15">
        <f t="shared" si="69"/>
        <v>5069</v>
      </c>
      <c r="L1122" s="3" t="str">
        <f t="shared" si="70"/>
        <v>Tuesday</v>
      </c>
      <c r="M1122" s="4" t="str">
        <f t="shared" si="71"/>
        <v>Normal Day</v>
      </c>
      <c r="N1122" s="4" t="str">
        <f>TEXT(CleanedData[[#This Row],[DAY]], "mmm yyyy")</f>
        <v>Sep 2024</v>
      </c>
    </row>
    <row r="1123" spans="1:14" x14ac:dyDescent="0.3">
      <c r="A1123" s="5">
        <v>45546</v>
      </c>
      <c r="B1123" s="12">
        <v>289.5</v>
      </c>
      <c r="C1123" s="12">
        <v>4.5</v>
      </c>
      <c r="D1123" s="2" t="s">
        <v>6</v>
      </c>
      <c r="E1123" s="2" t="s">
        <v>8</v>
      </c>
      <c r="F1123" s="1">
        <v>155</v>
      </c>
      <c r="G1123" s="13">
        <v>251.98945177416488</v>
      </c>
      <c r="H1123" s="14" t="b">
        <v>0</v>
      </c>
      <c r="I1123" s="15">
        <f t="shared" si="68"/>
        <v>290</v>
      </c>
      <c r="J1123" s="15">
        <f t="shared" si="68"/>
        <v>5</v>
      </c>
      <c r="K1123" s="15">
        <f t="shared" si="69"/>
        <v>252</v>
      </c>
      <c r="L1123" s="3" t="str">
        <f t="shared" si="70"/>
        <v>Wednesday</v>
      </c>
      <c r="M1123" s="4" t="str">
        <f t="shared" si="71"/>
        <v>Normal Day</v>
      </c>
      <c r="N1123" s="4" t="str">
        <f>TEXT(CleanedData[[#This Row],[DAY]], "mmm yyyy")</f>
        <v>Sep 2024</v>
      </c>
    </row>
    <row r="1124" spans="1:14" x14ac:dyDescent="0.3">
      <c r="A1124" s="5">
        <v>45546</v>
      </c>
      <c r="B1124" s="12">
        <v>465</v>
      </c>
      <c r="C1124" s="12">
        <v>4.5</v>
      </c>
      <c r="D1124" s="2" t="s">
        <v>6</v>
      </c>
      <c r="E1124" s="2" t="s">
        <v>7</v>
      </c>
      <c r="F1124" s="1">
        <v>62</v>
      </c>
      <c r="G1124" s="13">
        <v>413.47428827736388</v>
      </c>
      <c r="H1124" s="14" t="b">
        <v>0</v>
      </c>
      <c r="I1124" s="15">
        <f t="shared" si="68"/>
        <v>465</v>
      </c>
      <c r="J1124" s="15">
        <f t="shared" si="68"/>
        <v>5</v>
      </c>
      <c r="K1124" s="15">
        <f t="shared" si="69"/>
        <v>413</v>
      </c>
      <c r="L1124" s="3" t="str">
        <f t="shared" si="70"/>
        <v>Wednesday</v>
      </c>
      <c r="M1124" s="4" t="str">
        <f t="shared" si="71"/>
        <v>Normal Day</v>
      </c>
      <c r="N1124" s="4" t="str">
        <f>TEXT(CleanedData[[#This Row],[DAY]], "mmm yyyy")</f>
        <v>Sep 2024</v>
      </c>
    </row>
    <row r="1125" spans="1:14" x14ac:dyDescent="0.3">
      <c r="A1125" s="5">
        <v>45546</v>
      </c>
      <c r="B1125" s="12">
        <v>5112</v>
      </c>
      <c r="C1125" s="12">
        <v>121.5</v>
      </c>
      <c r="D1125" s="2" t="s">
        <v>10</v>
      </c>
      <c r="E1125" s="2" t="s">
        <v>7</v>
      </c>
      <c r="F1125" s="1">
        <v>164</v>
      </c>
      <c r="G1125" s="13">
        <v>4717.080027549835</v>
      </c>
      <c r="H1125" s="14" t="b">
        <v>0</v>
      </c>
      <c r="I1125" s="15">
        <f t="shared" si="68"/>
        <v>5112</v>
      </c>
      <c r="J1125" s="15">
        <f t="shared" si="68"/>
        <v>122</v>
      </c>
      <c r="K1125" s="15">
        <f t="shared" si="69"/>
        <v>4717</v>
      </c>
      <c r="L1125" s="3" t="str">
        <f t="shared" si="70"/>
        <v>Wednesday</v>
      </c>
      <c r="M1125" s="4" t="str">
        <f t="shared" si="71"/>
        <v>Normal Day</v>
      </c>
      <c r="N1125" s="4" t="str">
        <f>TEXT(CleanedData[[#This Row],[DAY]], "mmm yyyy")</f>
        <v>Sep 2024</v>
      </c>
    </row>
    <row r="1126" spans="1:14" x14ac:dyDescent="0.3">
      <c r="A1126" s="5">
        <v>45546</v>
      </c>
      <c r="B1126" s="12">
        <v>5229</v>
      </c>
      <c r="C1126" s="12">
        <v>15</v>
      </c>
      <c r="D1126" s="2" t="s">
        <v>9</v>
      </c>
      <c r="E1126" s="2" t="s">
        <v>8</v>
      </c>
      <c r="F1126" s="1">
        <v>3285</v>
      </c>
      <c r="G1126" s="13">
        <v>4531.59355112704</v>
      </c>
      <c r="H1126" s="14" t="b">
        <v>0</v>
      </c>
      <c r="I1126" s="15">
        <f t="shared" si="68"/>
        <v>5229</v>
      </c>
      <c r="J1126" s="15">
        <f t="shared" si="68"/>
        <v>15</v>
      </c>
      <c r="K1126" s="15">
        <f t="shared" si="69"/>
        <v>4532</v>
      </c>
      <c r="L1126" s="3" t="str">
        <f t="shared" si="70"/>
        <v>Wednesday</v>
      </c>
      <c r="M1126" s="4" t="str">
        <f t="shared" si="71"/>
        <v>Normal Day</v>
      </c>
      <c r="N1126" s="4" t="str">
        <f>TEXT(CleanedData[[#This Row],[DAY]], "mmm yyyy")</f>
        <v>Sep 2024</v>
      </c>
    </row>
    <row r="1127" spans="1:14" x14ac:dyDescent="0.3">
      <c r="A1127" s="5">
        <v>45547</v>
      </c>
      <c r="B1127" s="12">
        <v>417</v>
      </c>
      <c r="C1127" s="12">
        <v>16.5</v>
      </c>
      <c r="D1127" s="2" t="s">
        <v>6</v>
      </c>
      <c r="E1127" s="2" t="s">
        <v>7</v>
      </c>
      <c r="F1127" s="1">
        <v>163</v>
      </c>
      <c r="G1127" s="13">
        <v>391.86605673353938</v>
      </c>
      <c r="H1127" s="14" t="b">
        <v>0</v>
      </c>
      <c r="I1127" s="15">
        <f t="shared" si="68"/>
        <v>417</v>
      </c>
      <c r="J1127" s="15">
        <f t="shared" si="68"/>
        <v>17</v>
      </c>
      <c r="K1127" s="15">
        <f t="shared" si="69"/>
        <v>392</v>
      </c>
      <c r="L1127" s="3" t="str">
        <f t="shared" si="70"/>
        <v>Thursday</v>
      </c>
      <c r="M1127" s="4" t="str">
        <f t="shared" si="71"/>
        <v>Normal Day</v>
      </c>
      <c r="N1127" s="4" t="str">
        <f>TEXT(CleanedData[[#This Row],[DAY]], "mmm yyyy")</f>
        <v>Sep 2024</v>
      </c>
    </row>
    <row r="1128" spans="1:14" x14ac:dyDescent="0.3">
      <c r="A1128" s="5">
        <v>45547</v>
      </c>
      <c r="B1128" s="12">
        <v>483</v>
      </c>
      <c r="C1128" s="12">
        <v>16.5</v>
      </c>
      <c r="D1128" s="2" t="s">
        <v>6</v>
      </c>
      <c r="E1128" s="2" t="s">
        <v>8</v>
      </c>
      <c r="F1128" s="1">
        <v>300</v>
      </c>
      <c r="G1128" s="13">
        <v>407.45780650867914</v>
      </c>
      <c r="H1128" s="14" t="b">
        <v>0</v>
      </c>
      <c r="I1128" s="15">
        <f t="shared" si="68"/>
        <v>483</v>
      </c>
      <c r="J1128" s="15">
        <f t="shared" si="68"/>
        <v>17</v>
      </c>
      <c r="K1128" s="15">
        <f t="shared" si="69"/>
        <v>407</v>
      </c>
      <c r="L1128" s="3" t="str">
        <f t="shared" si="70"/>
        <v>Thursday</v>
      </c>
      <c r="M1128" s="4" t="str">
        <f t="shared" si="71"/>
        <v>Normal Day</v>
      </c>
      <c r="N1128" s="4" t="str">
        <f>TEXT(CleanedData[[#This Row],[DAY]], "mmm yyyy")</f>
        <v>Sep 2024</v>
      </c>
    </row>
    <row r="1129" spans="1:14" x14ac:dyDescent="0.3">
      <c r="A1129" s="5">
        <v>45547</v>
      </c>
      <c r="B1129" s="12">
        <v>3697.5</v>
      </c>
      <c r="C1129" s="12">
        <v>40.5</v>
      </c>
      <c r="D1129" s="2" t="s">
        <v>9</v>
      </c>
      <c r="E1129" s="2" t="s">
        <v>8</v>
      </c>
      <c r="F1129" s="1">
        <v>2104</v>
      </c>
      <c r="G1129" s="13">
        <v>3086.2369117426792</v>
      </c>
      <c r="H1129" s="14" t="b">
        <v>0</v>
      </c>
      <c r="I1129" s="15">
        <f t="shared" si="68"/>
        <v>3698</v>
      </c>
      <c r="J1129" s="15">
        <f t="shared" si="68"/>
        <v>41</v>
      </c>
      <c r="K1129" s="15">
        <f t="shared" si="69"/>
        <v>3086</v>
      </c>
      <c r="L1129" s="3" t="str">
        <f t="shared" si="70"/>
        <v>Thursday</v>
      </c>
      <c r="M1129" s="4" t="str">
        <f t="shared" si="71"/>
        <v>Normal Day</v>
      </c>
      <c r="N1129" s="4" t="str">
        <f>TEXT(CleanedData[[#This Row],[DAY]], "mmm yyyy")</f>
        <v>Sep 2024</v>
      </c>
    </row>
    <row r="1130" spans="1:14" x14ac:dyDescent="0.3">
      <c r="A1130" s="5">
        <v>45547</v>
      </c>
      <c r="B1130" s="12">
        <v>6136.5</v>
      </c>
      <c r="C1130" s="12">
        <v>228</v>
      </c>
      <c r="D1130" s="2" t="s">
        <v>10</v>
      </c>
      <c r="E1130" s="2" t="s">
        <v>7</v>
      </c>
      <c r="F1130" s="1">
        <v>1083</v>
      </c>
      <c r="G1130" s="13">
        <v>5665.6697869217378</v>
      </c>
      <c r="H1130" s="14" t="b">
        <v>0</v>
      </c>
      <c r="I1130" s="15">
        <f t="shared" si="68"/>
        <v>6137</v>
      </c>
      <c r="J1130" s="15">
        <f t="shared" si="68"/>
        <v>228</v>
      </c>
      <c r="K1130" s="15">
        <f t="shared" si="69"/>
        <v>5666</v>
      </c>
      <c r="L1130" s="3" t="str">
        <f t="shared" si="70"/>
        <v>Thursday</v>
      </c>
      <c r="M1130" s="4" t="str">
        <f t="shared" si="71"/>
        <v>Normal Day</v>
      </c>
      <c r="N1130" s="4" t="str">
        <f>TEXT(CleanedData[[#This Row],[DAY]], "mmm yyyy")</f>
        <v>Sep 2024</v>
      </c>
    </row>
    <row r="1131" spans="1:14" x14ac:dyDescent="0.3">
      <c r="A1131" s="5">
        <v>45548</v>
      </c>
      <c r="B1131" s="12">
        <v>1.5</v>
      </c>
      <c r="C1131" s="12">
        <v>1.5</v>
      </c>
      <c r="D1131" s="2" t="s">
        <v>10</v>
      </c>
      <c r="E1131" s="2" t="s">
        <v>8</v>
      </c>
      <c r="F1131" s="1">
        <v>1</v>
      </c>
      <c r="G1131" s="13">
        <v>2.4362670020661419</v>
      </c>
      <c r="H1131" s="14" t="b">
        <v>0</v>
      </c>
      <c r="I1131" s="15">
        <f t="shared" si="68"/>
        <v>2</v>
      </c>
      <c r="J1131" s="15">
        <f t="shared" si="68"/>
        <v>2</v>
      </c>
      <c r="K1131" s="15">
        <f t="shared" si="69"/>
        <v>2</v>
      </c>
      <c r="L1131" s="3" t="str">
        <f t="shared" si="70"/>
        <v>Friday</v>
      </c>
      <c r="M1131" s="4" t="str">
        <f t="shared" si="71"/>
        <v>Normal Day</v>
      </c>
      <c r="N1131" s="4" t="str">
        <f>TEXT(CleanedData[[#This Row],[DAY]], "mmm yyyy")</f>
        <v>Sep 2024</v>
      </c>
    </row>
    <row r="1132" spans="1:14" x14ac:dyDescent="0.3">
      <c r="A1132" s="5">
        <v>45548</v>
      </c>
      <c r="B1132" s="12">
        <v>267</v>
      </c>
      <c r="C1132" s="12">
        <v>19.5</v>
      </c>
      <c r="D1132" s="2" t="s">
        <v>6</v>
      </c>
      <c r="E1132" s="2" t="s">
        <v>8</v>
      </c>
      <c r="F1132" s="1">
        <v>78</v>
      </c>
      <c r="G1132" s="13">
        <v>254.12858611456861</v>
      </c>
      <c r="H1132" s="14" t="b">
        <v>0</v>
      </c>
      <c r="I1132" s="15">
        <f t="shared" si="68"/>
        <v>267</v>
      </c>
      <c r="J1132" s="15">
        <f t="shared" si="68"/>
        <v>20</v>
      </c>
      <c r="K1132" s="15">
        <f t="shared" si="69"/>
        <v>254</v>
      </c>
      <c r="L1132" s="3" t="str">
        <f t="shared" si="70"/>
        <v>Friday</v>
      </c>
      <c r="M1132" s="4" t="str">
        <f t="shared" si="71"/>
        <v>Normal Day</v>
      </c>
      <c r="N1132" s="4" t="str">
        <f>TEXT(CleanedData[[#This Row],[DAY]], "mmm yyyy")</f>
        <v>Sep 2024</v>
      </c>
    </row>
    <row r="1133" spans="1:14" x14ac:dyDescent="0.3">
      <c r="A1133" s="5">
        <v>45548</v>
      </c>
      <c r="B1133" s="12">
        <v>391.5</v>
      </c>
      <c r="C1133" s="12">
        <v>19.5</v>
      </c>
      <c r="D1133" s="2" t="s">
        <v>6</v>
      </c>
      <c r="E1133" s="2" t="s">
        <v>7</v>
      </c>
      <c r="F1133" s="1">
        <v>46</v>
      </c>
      <c r="G1133" s="13">
        <v>364.74271823834641</v>
      </c>
      <c r="H1133" s="14" t="b">
        <v>0</v>
      </c>
      <c r="I1133" s="15">
        <f t="shared" si="68"/>
        <v>392</v>
      </c>
      <c r="J1133" s="15">
        <f t="shared" si="68"/>
        <v>20</v>
      </c>
      <c r="K1133" s="15">
        <f t="shared" si="69"/>
        <v>365</v>
      </c>
      <c r="L1133" s="3" t="str">
        <f t="shared" si="70"/>
        <v>Friday</v>
      </c>
      <c r="M1133" s="4" t="str">
        <f t="shared" si="71"/>
        <v>Normal Day</v>
      </c>
      <c r="N1133" s="4" t="str">
        <f>TEXT(CleanedData[[#This Row],[DAY]], "mmm yyyy")</f>
        <v>Sep 2024</v>
      </c>
    </row>
    <row r="1134" spans="1:14" x14ac:dyDescent="0.3">
      <c r="A1134" s="5">
        <v>45548</v>
      </c>
      <c r="B1134" s="12">
        <v>6324</v>
      </c>
      <c r="C1134" s="12">
        <v>96</v>
      </c>
      <c r="D1134" s="2" t="s">
        <v>10</v>
      </c>
      <c r="E1134" s="2" t="s">
        <v>7</v>
      </c>
      <c r="F1134" s="1">
        <v>1515</v>
      </c>
      <c r="G1134" s="13">
        <v>6032.3840365010565</v>
      </c>
      <c r="H1134" s="14" t="b">
        <v>0</v>
      </c>
      <c r="I1134" s="15">
        <f t="shared" si="68"/>
        <v>6324</v>
      </c>
      <c r="J1134" s="15">
        <f t="shared" si="68"/>
        <v>96</v>
      </c>
      <c r="K1134" s="15">
        <f t="shared" si="69"/>
        <v>6032</v>
      </c>
      <c r="L1134" s="3" t="str">
        <f t="shared" si="70"/>
        <v>Friday</v>
      </c>
      <c r="M1134" s="4" t="str">
        <f t="shared" si="71"/>
        <v>Normal Day</v>
      </c>
      <c r="N1134" s="4" t="str">
        <f>TEXT(CleanedData[[#This Row],[DAY]], "mmm yyyy")</f>
        <v>Sep 2024</v>
      </c>
    </row>
    <row r="1135" spans="1:14" x14ac:dyDescent="0.3">
      <c r="A1135" s="5">
        <v>45548</v>
      </c>
      <c r="B1135" s="12">
        <v>6424.5</v>
      </c>
      <c r="C1135" s="12">
        <v>75</v>
      </c>
      <c r="D1135" s="2" t="s">
        <v>9</v>
      </c>
      <c r="E1135" s="2" t="s">
        <v>8</v>
      </c>
      <c r="F1135" s="1">
        <v>4069</v>
      </c>
      <c r="G1135" s="13">
        <v>5648.3581046122363</v>
      </c>
      <c r="H1135" s="14" t="b">
        <v>0</v>
      </c>
      <c r="I1135" s="15">
        <f t="shared" si="68"/>
        <v>6425</v>
      </c>
      <c r="J1135" s="15">
        <f t="shared" si="68"/>
        <v>75</v>
      </c>
      <c r="K1135" s="15">
        <f t="shared" si="69"/>
        <v>5648</v>
      </c>
      <c r="L1135" s="3" t="str">
        <f t="shared" si="70"/>
        <v>Friday</v>
      </c>
      <c r="M1135" s="4" t="str">
        <f t="shared" si="71"/>
        <v>Normal Day</v>
      </c>
      <c r="N1135" s="4" t="str">
        <f>TEXT(CleanedData[[#This Row],[DAY]], "mmm yyyy")</f>
        <v>Sep 2024</v>
      </c>
    </row>
    <row r="1136" spans="1:14" x14ac:dyDescent="0.3">
      <c r="A1136" s="5">
        <v>45549</v>
      </c>
      <c r="B1136" s="12">
        <v>1009.5</v>
      </c>
      <c r="C1136" s="12">
        <v>4.5</v>
      </c>
      <c r="D1136" s="2" t="s">
        <v>6</v>
      </c>
      <c r="E1136" s="2" t="s">
        <v>7</v>
      </c>
      <c r="F1136" s="1">
        <v>642</v>
      </c>
      <c r="G1136" s="13">
        <v>895.82824432233087</v>
      </c>
      <c r="H1136" s="14" t="b">
        <v>0</v>
      </c>
      <c r="I1136" s="15">
        <f t="shared" si="68"/>
        <v>1010</v>
      </c>
      <c r="J1136" s="15">
        <f t="shared" si="68"/>
        <v>5</v>
      </c>
      <c r="K1136" s="15">
        <f t="shared" si="69"/>
        <v>896</v>
      </c>
      <c r="L1136" s="3" t="str">
        <f t="shared" si="70"/>
        <v>Saturday</v>
      </c>
      <c r="M1136" s="4" t="str">
        <f t="shared" si="71"/>
        <v>Normal Day</v>
      </c>
      <c r="N1136" s="4" t="str">
        <f>TEXT(CleanedData[[#This Row],[DAY]], "mmm yyyy")</f>
        <v>Sep 2024</v>
      </c>
    </row>
    <row r="1137" spans="1:14" x14ac:dyDescent="0.3">
      <c r="A1137" s="5">
        <v>45549</v>
      </c>
      <c r="B1137" s="12">
        <v>1083</v>
      </c>
      <c r="C1137" s="12">
        <v>4.5</v>
      </c>
      <c r="D1137" s="2" t="s">
        <v>6</v>
      </c>
      <c r="E1137" s="2" t="s">
        <v>8</v>
      </c>
      <c r="F1137" s="1">
        <v>673</v>
      </c>
      <c r="G1137" s="13">
        <v>954.01032912388871</v>
      </c>
      <c r="H1137" s="14" t="b">
        <v>0</v>
      </c>
      <c r="I1137" s="15">
        <f t="shared" si="68"/>
        <v>1083</v>
      </c>
      <c r="J1137" s="15">
        <f t="shared" si="68"/>
        <v>5</v>
      </c>
      <c r="K1137" s="15">
        <f t="shared" si="69"/>
        <v>954</v>
      </c>
      <c r="L1137" s="3" t="str">
        <f t="shared" si="70"/>
        <v>Saturday</v>
      </c>
      <c r="M1137" s="4" t="str">
        <f t="shared" si="71"/>
        <v>Normal Day</v>
      </c>
      <c r="N1137" s="4" t="str">
        <f>TEXT(CleanedData[[#This Row],[DAY]], "mmm yyyy")</f>
        <v>Sep 2024</v>
      </c>
    </row>
    <row r="1138" spans="1:14" x14ac:dyDescent="0.3">
      <c r="A1138" s="5">
        <v>45549</v>
      </c>
      <c r="B1138" s="12">
        <v>4231.5</v>
      </c>
      <c r="C1138" s="12">
        <v>124.5</v>
      </c>
      <c r="D1138" s="2" t="s">
        <v>10</v>
      </c>
      <c r="E1138" s="2" t="s">
        <v>7</v>
      </c>
      <c r="F1138" s="1">
        <v>2740</v>
      </c>
      <c r="G1138" s="13">
        <v>3956.6522304951095</v>
      </c>
      <c r="H1138" s="14" t="b">
        <v>0</v>
      </c>
      <c r="I1138" s="15">
        <f t="shared" si="68"/>
        <v>4232</v>
      </c>
      <c r="J1138" s="15">
        <f t="shared" si="68"/>
        <v>125</v>
      </c>
      <c r="K1138" s="15">
        <f t="shared" si="69"/>
        <v>3957</v>
      </c>
      <c r="L1138" s="3" t="str">
        <f t="shared" si="70"/>
        <v>Saturday</v>
      </c>
      <c r="M1138" s="4" t="str">
        <f t="shared" si="71"/>
        <v>Normal Day</v>
      </c>
      <c r="N1138" s="4" t="str">
        <f>TEXT(CleanedData[[#This Row],[DAY]], "mmm yyyy")</f>
        <v>Sep 2024</v>
      </c>
    </row>
    <row r="1139" spans="1:14" x14ac:dyDescent="0.3">
      <c r="A1139" s="5">
        <v>45549</v>
      </c>
      <c r="B1139" s="12">
        <v>5364</v>
      </c>
      <c r="C1139" s="12">
        <v>159</v>
      </c>
      <c r="D1139" s="2" t="s">
        <v>9</v>
      </c>
      <c r="E1139" s="2" t="s">
        <v>8</v>
      </c>
      <c r="F1139" s="1">
        <v>229</v>
      </c>
      <c r="G1139" s="13">
        <v>4855.3369930403514</v>
      </c>
      <c r="H1139" s="14" t="b">
        <v>0</v>
      </c>
      <c r="I1139" s="15">
        <f t="shared" si="68"/>
        <v>5364</v>
      </c>
      <c r="J1139" s="15">
        <f t="shared" si="68"/>
        <v>159</v>
      </c>
      <c r="K1139" s="15">
        <f t="shared" si="69"/>
        <v>4855</v>
      </c>
      <c r="L1139" s="3" t="str">
        <f t="shared" si="70"/>
        <v>Saturday</v>
      </c>
      <c r="M1139" s="4" t="str">
        <f t="shared" si="71"/>
        <v>Normal Day</v>
      </c>
      <c r="N1139" s="4" t="str">
        <f>TEXT(CleanedData[[#This Row],[DAY]], "mmm yyyy")</f>
        <v>Sep 2024</v>
      </c>
    </row>
    <row r="1140" spans="1:14" x14ac:dyDescent="0.3">
      <c r="A1140" s="5">
        <v>45550</v>
      </c>
      <c r="B1140" s="12">
        <v>876</v>
      </c>
      <c r="C1140" s="12">
        <v>4.5</v>
      </c>
      <c r="D1140" s="2" t="s">
        <v>6</v>
      </c>
      <c r="E1140" s="2" t="s">
        <v>7</v>
      </c>
      <c r="F1140" s="1">
        <v>178</v>
      </c>
      <c r="G1140" s="13">
        <v>824.11608325121279</v>
      </c>
      <c r="H1140" s="14" t="b">
        <v>0</v>
      </c>
      <c r="I1140" s="15">
        <f t="shared" si="68"/>
        <v>876</v>
      </c>
      <c r="J1140" s="15">
        <f t="shared" si="68"/>
        <v>5</v>
      </c>
      <c r="K1140" s="15">
        <f t="shared" si="69"/>
        <v>824</v>
      </c>
      <c r="L1140" s="3" t="str">
        <f t="shared" si="70"/>
        <v>Sunday</v>
      </c>
      <c r="M1140" s="4" t="str">
        <f t="shared" si="71"/>
        <v>Normal Day</v>
      </c>
      <c r="N1140" s="4" t="str">
        <f>TEXT(CleanedData[[#This Row],[DAY]], "mmm yyyy")</f>
        <v>Sep 2024</v>
      </c>
    </row>
    <row r="1141" spans="1:14" x14ac:dyDescent="0.3">
      <c r="A1141" s="5">
        <v>45550</v>
      </c>
      <c r="B1141" s="12">
        <v>1044</v>
      </c>
      <c r="C1141" s="12">
        <v>4.5</v>
      </c>
      <c r="D1141" s="2" t="s">
        <v>6</v>
      </c>
      <c r="E1141" s="2" t="s">
        <v>8</v>
      </c>
      <c r="F1141" s="1">
        <v>654</v>
      </c>
      <c r="G1141" s="13">
        <v>866.61482811447354</v>
      </c>
      <c r="H1141" s="14" t="b">
        <v>0</v>
      </c>
      <c r="I1141" s="15">
        <f t="shared" si="68"/>
        <v>1044</v>
      </c>
      <c r="J1141" s="15">
        <f t="shared" si="68"/>
        <v>5</v>
      </c>
      <c r="K1141" s="15">
        <f t="shared" si="69"/>
        <v>867</v>
      </c>
      <c r="L1141" s="3" t="str">
        <f t="shared" si="70"/>
        <v>Sunday</v>
      </c>
      <c r="M1141" s="4" t="str">
        <f t="shared" si="71"/>
        <v>Normal Day</v>
      </c>
      <c r="N1141" s="4" t="str">
        <f>TEXT(CleanedData[[#This Row],[DAY]], "mmm yyyy")</f>
        <v>Sep 2024</v>
      </c>
    </row>
    <row r="1142" spans="1:14" x14ac:dyDescent="0.3">
      <c r="A1142" s="5">
        <v>45550</v>
      </c>
      <c r="B1142" s="12">
        <v>4777.5</v>
      </c>
      <c r="C1142" s="12">
        <v>60</v>
      </c>
      <c r="D1142" s="2" t="s">
        <v>10</v>
      </c>
      <c r="E1142" s="2" t="s">
        <v>7</v>
      </c>
      <c r="F1142" s="1">
        <v>990</v>
      </c>
      <c r="G1142" s="13">
        <v>4409.3224842879763</v>
      </c>
      <c r="H1142" s="14" t="b">
        <v>0</v>
      </c>
      <c r="I1142" s="15">
        <f t="shared" si="68"/>
        <v>4778</v>
      </c>
      <c r="J1142" s="15">
        <f t="shared" si="68"/>
        <v>60</v>
      </c>
      <c r="K1142" s="15">
        <f t="shared" si="69"/>
        <v>4409</v>
      </c>
      <c r="L1142" s="3" t="str">
        <f t="shared" si="70"/>
        <v>Sunday</v>
      </c>
      <c r="M1142" s="4" t="str">
        <f t="shared" si="71"/>
        <v>Normal Day</v>
      </c>
      <c r="N1142" s="4" t="str">
        <f>TEXT(CleanedData[[#This Row],[DAY]], "mmm yyyy")</f>
        <v>Sep 2024</v>
      </c>
    </row>
    <row r="1143" spans="1:14" x14ac:dyDescent="0.3">
      <c r="A1143" s="5">
        <v>45550</v>
      </c>
      <c r="B1143" s="12">
        <v>5044.5</v>
      </c>
      <c r="C1143" s="12">
        <v>54</v>
      </c>
      <c r="D1143" s="2" t="s">
        <v>9</v>
      </c>
      <c r="E1143" s="2" t="s">
        <v>8</v>
      </c>
      <c r="F1143" s="1">
        <v>2561</v>
      </c>
      <c r="G1143" s="13">
        <v>4515.2192946171472</v>
      </c>
      <c r="H1143" s="14" t="b">
        <v>0</v>
      </c>
      <c r="I1143" s="15">
        <f t="shared" si="68"/>
        <v>5045</v>
      </c>
      <c r="J1143" s="15">
        <f t="shared" si="68"/>
        <v>54</v>
      </c>
      <c r="K1143" s="15">
        <f t="shared" si="69"/>
        <v>4515</v>
      </c>
      <c r="L1143" s="3" t="str">
        <f t="shared" si="70"/>
        <v>Sunday</v>
      </c>
      <c r="M1143" s="4" t="str">
        <f t="shared" si="71"/>
        <v>Normal Day</v>
      </c>
      <c r="N1143" s="4" t="str">
        <f>TEXT(CleanedData[[#This Row],[DAY]], "mmm yyyy")</f>
        <v>Sep 2024</v>
      </c>
    </row>
    <row r="1144" spans="1:14" x14ac:dyDescent="0.3">
      <c r="A1144" s="5">
        <v>45551</v>
      </c>
      <c r="B1144" s="12">
        <v>823.5</v>
      </c>
      <c r="C1144" s="12">
        <v>49.5</v>
      </c>
      <c r="D1144" s="2" t="s">
        <v>6</v>
      </c>
      <c r="E1144" s="2" t="s">
        <v>8</v>
      </c>
      <c r="F1144" s="1">
        <v>535</v>
      </c>
      <c r="G1144" s="13">
        <v>752.34844556635085</v>
      </c>
      <c r="H1144" s="14" t="b">
        <v>0</v>
      </c>
      <c r="I1144" s="15">
        <f t="shared" si="68"/>
        <v>824</v>
      </c>
      <c r="J1144" s="15">
        <f t="shared" si="68"/>
        <v>50</v>
      </c>
      <c r="K1144" s="15">
        <f t="shared" si="69"/>
        <v>752</v>
      </c>
      <c r="L1144" s="3" t="str">
        <f t="shared" si="70"/>
        <v>Monday</v>
      </c>
      <c r="M1144" s="4" t="str">
        <f t="shared" si="71"/>
        <v>Normal Day</v>
      </c>
      <c r="N1144" s="4" t="str">
        <f>TEXT(CleanedData[[#This Row],[DAY]], "mmm yyyy")</f>
        <v>Sep 2024</v>
      </c>
    </row>
    <row r="1145" spans="1:14" x14ac:dyDescent="0.3">
      <c r="A1145" s="5">
        <v>45551</v>
      </c>
      <c r="B1145" s="12">
        <v>898.5</v>
      </c>
      <c r="C1145" s="12">
        <v>49.5</v>
      </c>
      <c r="D1145" s="2" t="s">
        <v>6</v>
      </c>
      <c r="E1145" s="2" t="s">
        <v>7</v>
      </c>
      <c r="F1145" s="1">
        <v>395</v>
      </c>
      <c r="G1145" s="13">
        <v>865.83817092740424</v>
      </c>
      <c r="H1145" s="14" t="b">
        <v>0</v>
      </c>
      <c r="I1145" s="15">
        <f t="shared" si="68"/>
        <v>899</v>
      </c>
      <c r="J1145" s="15">
        <f t="shared" si="68"/>
        <v>50</v>
      </c>
      <c r="K1145" s="15">
        <f t="shared" si="69"/>
        <v>866</v>
      </c>
      <c r="L1145" s="3" t="str">
        <f t="shared" si="70"/>
        <v>Monday</v>
      </c>
      <c r="M1145" s="4" t="str">
        <f t="shared" si="71"/>
        <v>Normal Day</v>
      </c>
      <c r="N1145" s="4" t="str">
        <f>TEXT(CleanedData[[#This Row],[DAY]], "mmm yyyy")</f>
        <v>Sep 2024</v>
      </c>
    </row>
    <row r="1146" spans="1:14" x14ac:dyDescent="0.3">
      <c r="A1146" s="5">
        <v>45551</v>
      </c>
      <c r="B1146" s="12">
        <v>4390.5</v>
      </c>
      <c r="C1146" s="12">
        <v>115.5</v>
      </c>
      <c r="D1146" s="2" t="s">
        <v>9</v>
      </c>
      <c r="E1146" s="2" t="s">
        <v>8</v>
      </c>
      <c r="F1146" s="1">
        <v>1807</v>
      </c>
      <c r="G1146" s="13">
        <v>3922.5106314703166</v>
      </c>
      <c r="H1146" s="14" t="b">
        <v>0</v>
      </c>
      <c r="I1146" s="15">
        <f t="shared" si="68"/>
        <v>4391</v>
      </c>
      <c r="J1146" s="15">
        <f t="shared" si="68"/>
        <v>116</v>
      </c>
      <c r="K1146" s="15">
        <f t="shared" si="69"/>
        <v>3923</v>
      </c>
      <c r="L1146" s="3" t="str">
        <f t="shared" si="70"/>
        <v>Monday</v>
      </c>
      <c r="M1146" s="4" t="str">
        <f t="shared" si="71"/>
        <v>Normal Day</v>
      </c>
      <c r="N1146" s="4" t="str">
        <f>TEXT(CleanedData[[#This Row],[DAY]], "mmm yyyy")</f>
        <v>Sep 2024</v>
      </c>
    </row>
    <row r="1147" spans="1:14" x14ac:dyDescent="0.3">
      <c r="A1147" s="5">
        <v>45551</v>
      </c>
      <c r="B1147" s="12">
        <v>4996.5</v>
      </c>
      <c r="C1147" s="12">
        <v>304.5</v>
      </c>
      <c r="D1147" s="2" t="s">
        <v>10</v>
      </c>
      <c r="E1147" s="2" t="s">
        <v>7</v>
      </c>
      <c r="F1147" s="1">
        <v>3275</v>
      </c>
      <c r="G1147" s="13">
        <v>4744.284663131747</v>
      </c>
      <c r="H1147" s="14" t="b">
        <v>0</v>
      </c>
      <c r="I1147" s="15">
        <f t="shared" si="68"/>
        <v>4997</v>
      </c>
      <c r="J1147" s="15">
        <f t="shared" si="68"/>
        <v>305</v>
      </c>
      <c r="K1147" s="15">
        <f t="shared" si="69"/>
        <v>4744</v>
      </c>
      <c r="L1147" s="3" t="str">
        <f t="shared" si="70"/>
        <v>Monday</v>
      </c>
      <c r="M1147" s="4" t="str">
        <f t="shared" si="71"/>
        <v>Normal Day</v>
      </c>
      <c r="N1147" s="4" t="str">
        <f>TEXT(CleanedData[[#This Row],[DAY]], "mmm yyyy")</f>
        <v>Sep 2024</v>
      </c>
    </row>
    <row r="1148" spans="1:14" x14ac:dyDescent="0.3">
      <c r="A1148" s="5">
        <v>45552</v>
      </c>
      <c r="B1148" s="12">
        <v>445.5</v>
      </c>
      <c r="C1148" s="12">
        <v>33</v>
      </c>
      <c r="D1148" s="2" t="s">
        <v>6</v>
      </c>
      <c r="E1148" s="2" t="s">
        <v>8</v>
      </c>
      <c r="F1148" s="1">
        <v>200</v>
      </c>
      <c r="G1148" s="13">
        <v>420.66973504732044</v>
      </c>
      <c r="H1148" s="14" t="b">
        <v>0</v>
      </c>
      <c r="I1148" s="15">
        <f t="shared" si="68"/>
        <v>446</v>
      </c>
      <c r="J1148" s="15">
        <f t="shared" si="68"/>
        <v>33</v>
      </c>
      <c r="K1148" s="15">
        <f t="shared" si="69"/>
        <v>421</v>
      </c>
      <c r="L1148" s="3" t="str">
        <f t="shared" si="70"/>
        <v>Tuesday</v>
      </c>
      <c r="M1148" s="4" t="str">
        <f t="shared" si="71"/>
        <v>Normal Day</v>
      </c>
      <c r="N1148" s="4" t="str">
        <f>TEXT(CleanedData[[#This Row],[DAY]], "mmm yyyy")</f>
        <v>Sep 2024</v>
      </c>
    </row>
    <row r="1149" spans="1:14" x14ac:dyDescent="0.3">
      <c r="A1149" s="5">
        <v>45552</v>
      </c>
      <c r="B1149" s="12">
        <v>664.5</v>
      </c>
      <c r="C1149" s="12">
        <v>33</v>
      </c>
      <c r="D1149" s="2" t="s">
        <v>6</v>
      </c>
      <c r="E1149" s="2" t="s">
        <v>7</v>
      </c>
      <c r="F1149" s="1">
        <v>255</v>
      </c>
      <c r="G1149" s="13">
        <v>615.65418460000478</v>
      </c>
      <c r="H1149" s="14" t="b">
        <v>0</v>
      </c>
      <c r="I1149" s="15">
        <f t="shared" si="68"/>
        <v>665</v>
      </c>
      <c r="J1149" s="15">
        <f t="shared" si="68"/>
        <v>33</v>
      </c>
      <c r="K1149" s="15">
        <f t="shared" si="69"/>
        <v>616</v>
      </c>
      <c r="L1149" s="3" t="str">
        <f t="shared" si="70"/>
        <v>Tuesday</v>
      </c>
      <c r="M1149" s="4" t="str">
        <f t="shared" si="71"/>
        <v>Normal Day</v>
      </c>
      <c r="N1149" s="4" t="str">
        <f>TEXT(CleanedData[[#This Row],[DAY]], "mmm yyyy")</f>
        <v>Sep 2024</v>
      </c>
    </row>
    <row r="1150" spans="1:14" x14ac:dyDescent="0.3">
      <c r="A1150" s="5">
        <v>45552</v>
      </c>
      <c r="B1150" s="12">
        <v>4480.5</v>
      </c>
      <c r="C1150" s="12">
        <v>202.5</v>
      </c>
      <c r="D1150" s="2" t="s">
        <v>10</v>
      </c>
      <c r="E1150" s="2" t="s">
        <v>7</v>
      </c>
      <c r="F1150" s="1">
        <v>2784</v>
      </c>
      <c r="G1150" s="13">
        <v>4316.032299912702</v>
      </c>
      <c r="H1150" s="14" t="b">
        <v>1</v>
      </c>
      <c r="I1150" s="15">
        <f t="shared" si="68"/>
        <v>4481</v>
      </c>
      <c r="J1150" s="15">
        <f t="shared" si="68"/>
        <v>203</v>
      </c>
      <c r="K1150" s="15">
        <f t="shared" si="69"/>
        <v>4316</v>
      </c>
      <c r="L1150" s="3" t="str">
        <f t="shared" si="70"/>
        <v>Tuesday</v>
      </c>
      <c r="M1150" s="4" t="str">
        <f t="shared" si="71"/>
        <v>Outage Day</v>
      </c>
      <c r="N1150" s="4" t="str">
        <f>TEXT(CleanedData[[#This Row],[DAY]], "mmm yyyy")</f>
        <v>Sep 2024</v>
      </c>
    </row>
    <row r="1151" spans="1:14" x14ac:dyDescent="0.3">
      <c r="A1151" s="5">
        <v>45552</v>
      </c>
      <c r="B1151" s="12">
        <v>5154</v>
      </c>
      <c r="C1151" s="12">
        <v>105</v>
      </c>
      <c r="D1151" s="2" t="s">
        <v>9</v>
      </c>
      <c r="E1151" s="2" t="s">
        <v>8</v>
      </c>
      <c r="F1151" s="1">
        <v>3309</v>
      </c>
      <c r="G1151" s="13">
        <v>4613.0957776335654</v>
      </c>
      <c r="H1151" s="14" t="b">
        <v>0</v>
      </c>
      <c r="I1151" s="15">
        <f t="shared" si="68"/>
        <v>5154</v>
      </c>
      <c r="J1151" s="15">
        <f t="shared" si="68"/>
        <v>105</v>
      </c>
      <c r="K1151" s="15">
        <f t="shared" si="69"/>
        <v>4613</v>
      </c>
      <c r="L1151" s="3" t="str">
        <f t="shared" si="70"/>
        <v>Tuesday</v>
      </c>
      <c r="M1151" s="4" t="str">
        <f t="shared" si="71"/>
        <v>Normal Day</v>
      </c>
      <c r="N1151" s="4" t="str">
        <f>TEXT(CleanedData[[#This Row],[DAY]], "mmm yyyy")</f>
        <v>Sep 2024</v>
      </c>
    </row>
    <row r="1152" spans="1:14" x14ac:dyDescent="0.3">
      <c r="A1152" s="5">
        <v>45553</v>
      </c>
      <c r="B1152" s="12">
        <v>589.5</v>
      </c>
      <c r="C1152" s="12">
        <v>28.5</v>
      </c>
      <c r="D1152" s="2" t="s">
        <v>6</v>
      </c>
      <c r="E1152" s="2" t="s">
        <v>7</v>
      </c>
      <c r="F1152" s="1">
        <v>126</v>
      </c>
      <c r="G1152" s="13">
        <v>544.04257747461179</v>
      </c>
      <c r="H1152" s="14" t="b">
        <v>0</v>
      </c>
      <c r="I1152" s="15">
        <f t="shared" si="68"/>
        <v>590</v>
      </c>
      <c r="J1152" s="15">
        <f t="shared" si="68"/>
        <v>29</v>
      </c>
      <c r="K1152" s="15">
        <f t="shared" si="69"/>
        <v>544</v>
      </c>
      <c r="L1152" s="3" t="str">
        <f t="shared" si="70"/>
        <v>Wednesday</v>
      </c>
      <c r="M1152" s="4" t="str">
        <f t="shared" si="71"/>
        <v>Normal Day</v>
      </c>
      <c r="N1152" s="4" t="str">
        <f>TEXT(CleanedData[[#This Row],[DAY]], "mmm yyyy")</f>
        <v>Sep 2024</v>
      </c>
    </row>
    <row r="1153" spans="1:14" x14ac:dyDescent="0.3">
      <c r="A1153" s="5">
        <v>45553</v>
      </c>
      <c r="B1153" s="12">
        <v>1090.5</v>
      </c>
      <c r="C1153" s="12">
        <v>28.5</v>
      </c>
      <c r="D1153" s="2" t="s">
        <v>6</v>
      </c>
      <c r="E1153" s="2" t="s">
        <v>8</v>
      </c>
      <c r="F1153" s="1">
        <v>416</v>
      </c>
      <c r="G1153" s="13">
        <v>963.7668969690078</v>
      </c>
      <c r="H1153" s="14" t="b">
        <v>0</v>
      </c>
      <c r="I1153" s="15">
        <f t="shared" si="68"/>
        <v>1091</v>
      </c>
      <c r="J1153" s="15">
        <f t="shared" si="68"/>
        <v>29</v>
      </c>
      <c r="K1153" s="15">
        <f t="shared" si="69"/>
        <v>964</v>
      </c>
      <c r="L1153" s="3" t="str">
        <f t="shared" si="70"/>
        <v>Wednesday</v>
      </c>
      <c r="M1153" s="4" t="str">
        <f t="shared" si="71"/>
        <v>Normal Day</v>
      </c>
      <c r="N1153" s="4" t="str">
        <f>TEXT(CleanedData[[#This Row],[DAY]], "mmm yyyy")</f>
        <v>Sep 2024</v>
      </c>
    </row>
    <row r="1154" spans="1:14" x14ac:dyDescent="0.3">
      <c r="A1154" s="5">
        <v>45553</v>
      </c>
      <c r="B1154" s="12">
        <v>3552</v>
      </c>
      <c r="C1154" s="12">
        <v>51</v>
      </c>
      <c r="D1154" s="2" t="s">
        <v>9</v>
      </c>
      <c r="E1154" s="2" t="s">
        <v>8</v>
      </c>
      <c r="F1154" s="1">
        <v>1562</v>
      </c>
      <c r="G1154" s="13">
        <v>2915.8153241400673</v>
      </c>
      <c r="H1154" s="14" t="b">
        <v>0</v>
      </c>
      <c r="I1154" s="15">
        <f t="shared" ref="I1154:J1217" si="72">ROUND(B1154, 0)</f>
        <v>3552</v>
      </c>
      <c r="J1154" s="15">
        <f t="shared" si="72"/>
        <v>51</v>
      </c>
      <c r="K1154" s="15">
        <f t="shared" ref="K1154:K1217" si="73">ROUND(G1154, 0)</f>
        <v>2916</v>
      </c>
      <c r="L1154" s="3" t="str">
        <f t="shared" si="70"/>
        <v>Wednesday</v>
      </c>
      <c r="M1154" s="4" t="str">
        <f t="shared" si="71"/>
        <v>Normal Day</v>
      </c>
      <c r="N1154" s="4" t="str">
        <f>TEXT(CleanedData[[#This Row],[DAY]], "mmm yyyy")</f>
        <v>Sep 2024</v>
      </c>
    </row>
    <row r="1155" spans="1:14" x14ac:dyDescent="0.3">
      <c r="A1155" s="5">
        <v>45553</v>
      </c>
      <c r="B1155" s="12">
        <v>5269.5</v>
      </c>
      <c r="C1155" s="12">
        <v>273</v>
      </c>
      <c r="D1155" s="2" t="s">
        <v>10</v>
      </c>
      <c r="E1155" s="2" t="s">
        <v>7</v>
      </c>
      <c r="F1155" s="1">
        <v>2946</v>
      </c>
      <c r="G1155" s="13">
        <v>4917.3724193947246</v>
      </c>
      <c r="H1155" s="14" t="b">
        <v>0</v>
      </c>
      <c r="I1155" s="15">
        <f t="shared" si="72"/>
        <v>5270</v>
      </c>
      <c r="J1155" s="15">
        <f t="shared" si="72"/>
        <v>273</v>
      </c>
      <c r="K1155" s="15">
        <f t="shared" si="73"/>
        <v>4917</v>
      </c>
      <c r="L1155" s="3" t="str">
        <f t="shared" ref="L1155:L1218" si="74">TEXT(A1155,"dddd")</f>
        <v>Wednesday</v>
      </c>
      <c r="M1155" s="4" t="str">
        <f t="shared" ref="M1155:M1218" si="75">IF(H1155=TRUE, "Outage Day", "Normal Day")</f>
        <v>Normal Day</v>
      </c>
      <c r="N1155" s="4" t="str">
        <f>TEXT(CleanedData[[#This Row],[DAY]], "mmm yyyy")</f>
        <v>Sep 2024</v>
      </c>
    </row>
    <row r="1156" spans="1:14" x14ac:dyDescent="0.3">
      <c r="A1156" s="5">
        <v>45554</v>
      </c>
      <c r="B1156" s="12">
        <v>1087.5</v>
      </c>
      <c r="C1156" s="12">
        <v>34.5</v>
      </c>
      <c r="D1156" s="2" t="s">
        <v>6</v>
      </c>
      <c r="E1156" s="2" t="s">
        <v>7</v>
      </c>
      <c r="F1156" s="1">
        <v>442</v>
      </c>
      <c r="G1156" s="13">
        <v>1006.062827223516</v>
      </c>
      <c r="H1156" s="14" t="b">
        <v>0</v>
      </c>
      <c r="I1156" s="15">
        <f t="shared" si="72"/>
        <v>1088</v>
      </c>
      <c r="J1156" s="15">
        <f t="shared" si="72"/>
        <v>35</v>
      </c>
      <c r="K1156" s="15">
        <f t="shared" si="73"/>
        <v>1006</v>
      </c>
      <c r="L1156" s="3" t="str">
        <f t="shared" si="74"/>
        <v>Thursday</v>
      </c>
      <c r="M1156" s="4" t="str">
        <f t="shared" si="75"/>
        <v>Normal Day</v>
      </c>
      <c r="N1156" s="4" t="str">
        <f>TEXT(CleanedData[[#This Row],[DAY]], "mmm yyyy")</f>
        <v>Sep 2024</v>
      </c>
    </row>
    <row r="1157" spans="1:14" x14ac:dyDescent="0.3">
      <c r="A1157" s="5">
        <v>45554</v>
      </c>
      <c r="B1157" s="12">
        <v>1459.5</v>
      </c>
      <c r="C1157" s="12">
        <v>34.5</v>
      </c>
      <c r="D1157" s="2" t="s">
        <v>6</v>
      </c>
      <c r="E1157" s="2" t="s">
        <v>8</v>
      </c>
      <c r="F1157" s="1">
        <v>256</v>
      </c>
      <c r="G1157" s="13">
        <v>1317.7357934829481</v>
      </c>
      <c r="H1157" s="14" t="b">
        <v>0</v>
      </c>
      <c r="I1157" s="15">
        <f t="shared" si="72"/>
        <v>1460</v>
      </c>
      <c r="J1157" s="15">
        <f t="shared" si="72"/>
        <v>35</v>
      </c>
      <c r="K1157" s="15">
        <f t="shared" si="73"/>
        <v>1318</v>
      </c>
      <c r="L1157" s="3" t="str">
        <f t="shared" si="74"/>
        <v>Thursday</v>
      </c>
      <c r="M1157" s="4" t="str">
        <f t="shared" si="75"/>
        <v>Normal Day</v>
      </c>
      <c r="N1157" s="4" t="str">
        <f>TEXT(CleanedData[[#This Row],[DAY]], "mmm yyyy")</f>
        <v>Sep 2024</v>
      </c>
    </row>
    <row r="1158" spans="1:14" x14ac:dyDescent="0.3">
      <c r="A1158" s="5">
        <v>45554</v>
      </c>
      <c r="B1158" s="12">
        <v>2851.5</v>
      </c>
      <c r="C1158" s="12">
        <v>102</v>
      </c>
      <c r="D1158" s="2" t="s">
        <v>9</v>
      </c>
      <c r="E1158" s="2" t="s">
        <v>8</v>
      </c>
      <c r="F1158" s="1">
        <v>1747</v>
      </c>
      <c r="G1158" s="13">
        <v>2401.496901675449</v>
      </c>
      <c r="H1158" s="14" t="b">
        <v>0</v>
      </c>
      <c r="I1158" s="15">
        <f t="shared" si="72"/>
        <v>2852</v>
      </c>
      <c r="J1158" s="15">
        <f t="shared" si="72"/>
        <v>102</v>
      </c>
      <c r="K1158" s="15">
        <f t="shared" si="73"/>
        <v>2401</v>
      </c>
      <c r="L1158" s="3" t="str">
        <f t="shared" si="74"/>
        <v>Thursday</v>
      </c>
      <c r="M1158" s="4" t="str">
        <f t="shared" si="75"/>
        <v>Normal Day</v>
      </c>
      <c r="N1158" s="4" t="str">
        <f>TEXT(CleanedData[[#This Row],[DAY]], "mmm yyyy")</f>
        <v>Sep 2024</v>
      </c>
    </row>
    <row r="1159" spans="1:14" x14ac:dyDescent="0.3">
      <c r="A1159" s="5">
        <v>45554</v>
      </c>
      <c r="B1159" s="12">
        <v>4267.5</v>
      </c>
      <c r="C1159" s="12">
        <v>156</v>
      </c>
      <c r="D1159" s="2" t="s">
        <v>10</v>
      </c>
      <c r="E1159" s="2" t="s">
        <v>7</v>
      </c>
      <c r="F1159" s="1">
        <v>1085</v>
      </c>
      <c r="G1159" s="13">
        <v>3968.0574501930896</v>
      </c>
      <c r="H1159" s="14" t="b">
        <v>0</v>
      </c>
      <c r="I1159" s="15">
        <f t="shared" si="72"/>
        <v>4268</v>
      </c>
      <c r="J1159" s="15">
        <f t="shared" si="72"/>
        <v>156</v>
      </c>
      <c r="K1159" s="15">
        <f t="shared" si="73"/>
        <v>3968</v>
      </c>
      <c r="L1159" s="3" t="str">
        <f t="shared" si="74"/>
        <v>Thursday</v>
      </c>
      <c r="M1159" s="4" t="str">
        <f t="shared" si="75"/>
        <v>Normal Day</v>
      </c>
      <c r="N1159" s="4" t="str">
        <f>TEXT(CleanedData[[#This Row],[DAY]], "mmm yyyy")</f>
        <v>Sep 2024</v>
      </c>
    </row>
    <row r="1160" spans="1:14" x14ac:dyDescent="0.3">
      <c r="A1160" s="5">
        <v>45555</v>
      </c>
      <c r="B1160" s="12">
        <v>250.5</v>
      </c>
      <c r="C1160" s="12">
        <v>34.5</v>
      </c>
      <c r="D1160" s="2" t="s">
        <v>6</v>
      </c>
      <c r="E1160" s="2" t="s">
        <v>8</v>
      </c>
      <c r="F1160" s="1">
        <v>145</v>
      </c>
      <c r="G1160" s="13">
        <v>231.6878298840592</v>
      </c>
      <c r="H1160" s="14" t="b">
        <v>0</v>
      </c>
      <c r="I1160" s="15">
        <f t="shared" si="72"/>
        <v>251</v>
      </c>
      <c r="J1160" s="15">
        <f t="shared" si="72"/>
        <v>35</v>
      </c>
      <c r="K1160" s="15">
        <f t="shared" si="73"/>
        <v>232</v>
      </c>
      <c r="L1160" s="3" t="str">
        <f t="shared" si="74"/>
        <v>Friday</v>
      </c>
      <c r="M1160" s="4" t="str">
        <f t="shared" si="75"/>
        <v>Normal Day</v>
      </c>
      <c r="N1160" s="4" t="str">
        <f>TEXT(CleanedData[[#This Row],[DAY]], "mmm yyyy")</f>
        <v>Sep 2024</v>
      </c>
    </row>
    <row r="1161" spans="1:14" x14ac:dyDescent="0.3">
      <c r="A1161" s="5">
        <v>45555</v>
      </c>
      <c r="B1161" s="12">
        <v>594</v>
      </c>
      <c r="C1161" s="12">
        <v>34.5</v>
      </c>
      <c r="D1161" s="2" t="s">
        <v>6</v>
      </c>
      <c r="E1161" s="2" t="s">
        <v>7</v>
      </c>
      <c r="F1161" s="1">
        <v>334</v>
      </c>
      <c r="G1161" s="13">
        <v>583.71360812268108</v>
      </c>
      <c r="H1161" s="14" t="b">
        <v>0</v>
      </c>
      <c r="I1161" s="15">
        <f t="shared" si="72"/>
        <v>594</v>
      </c>
      <c r="J1161" s="15">
        <f t="shared" si="72"/>
        <v>35</v>
      </c>
      <c r="K1161" s="15">
        <f t="shared" si="73"/>
        <v>584</v>
      </c>
      <c r="L1161" s="3" t="str">
        <f t="shared" si="74"/>
        <v>Friday</v>
      </c>
      <c r="M1161" s="4" t="str">
        <f t="shared" si="75"/>
        <v>Normal Day</v>
      </c>
      <c r="N1161" s="4" t="str">
        <f>TEXT(CleanedData[[#This Row],[DAY]], "mmm yyyy")</f>
        <v>Sep 2024</v>
      </c>
    </row>
    <row r="1162" spans="1:14" x14ac:dyDescent="0.3">
      <c r="A1162" s="5">
        <v>45555</v>
      </c>
      <c r="B1162" s="12">
        <v>4695</v>
      </c>
      <c r="C1162" s="12">
        <v>163.5</v>
      </c>
      <c r="D1162" s="2" t="s">
        <v>9</v>
      </c>
      <c r="E1162" s="2" t="s">
        <v>8</v>
      </c>
      <c r="F1162" s="1">
        <v>331</v>
      </c>
      <c r="G1162" s="13">
        <v>3958.2711847742489</v>
      </c>
      <c r="H1162" s="14" t="b">
        <v>0</v>
      </c>
      <c r="I1162" s="15">
        <f t="shared" si="72"/>
        <v>4695</v>
      </c>
      <c r="J1162" s="15">
        <f t="shared" si="72"/>
        <v>164</v>
      </c>
      <c r="K1162" s="15">
        <f t="shared" si="73"/>
        <v>3958</v>
      </c>
      <c r="L1162" s="3" t="str">
        <f t="shared" si="74"/>
        <v>Friday</v>
      </c>
      <c r="M1162" s="4" t="str">
        <f t="shared" si="75"/>
        <v>Normal Day</v>
      </c>
      <c r="N1162" s="4" t="str">
        <f>TEXT(CleanedData[[#This Row],[DAY]], "mmm yyyy")</f>
        <v>Sep 2024</v>
      </c>
    </row>
    <row r="1163" spans="1:14" x14ac:dyDescent="0.3">
      <c r="A1163" s="5">
        <v>45555</v>
      </c>
      <c r="B1163" s="12">
        <v>5802</v>
      </c>
      <c r="C1163" s="12">
        <v>43.5</v>
      </c>
      <c r="D1163" s="2" t="s">
        <v>10</v>
      </c>
      <c r="E1163" s="2" t="s">
        <v>7</v>
      </c>
      <c r="F1163" s="1">
        <v>1829</v>
      </c>
      <c r="G1163" s="13">
        <v>5385.7476872701327</v>
      </c>
      <c r="H1163" s="14" t="b">
        <v>0</v>
      </c>
      <c r="I1163" s="15">
        <f t="shared" si="72"/>
        <v>5802</v>
      </c>
      <c r="J1163" s="15">
        <f t="shared" si="72"/>
        <v>44</v>
      </c>
      <c r="K1163" s="15">
        <f t="shared" si="73"/>
        <v>5386</v>
      </c>
      <c r="L1163" s="3" t="str">
        <f t="shared" si="74"/>
        <v>Friday</v>
      </c>
      <c r="M1163" s="4" t="str">
        <f t="shared" si="75"/>
        <v>Normal Day</v>
      </c>
      <c r="N1163" s="4" t="str">
        <f>TEXT(CleanedData[[#This Row],[DAY]], "mmm yyyy")</f>
        <v>Sep 2024</v>
      </c>
    </row>
    <row r="1164" spans="1:14" x14ac:dyDescent="0.3">
      <c r="A1164" s="5">
        <v>45556</v>
      </c>
      <c r="B1164" s="12">
        <v>360</v>
      </c>
      <c r="C1164" s="12">
        <v>7.5</v>
      </c>
      <c r="D1164" s="2" t="s">
        <v>6</v>
      </c>
      <c r="E1164" s="2" t="s">
        <v>8</v>
      </c>
      <c r="F1164" s="1">
        <v>158</v>
      </c>
      <c r="G1164" s="13">
        <v>296.73281047415998</v>
      </c>
      <c r="H1164" s="14" t="b">
        <v>0</v>
      </c>
      <c r="I1164" s="15">
        <f t="shared" si="72"/>
        <v>360</v>
      </c>
      <c r="J1164" s="15">
        <f t="shared" si="72"/>
        <v>8</v>
      </c>
      <c r="K1164" s="15">
        <f t="shared" si="73"/>
        <v>297</v>
      </c>
      <c r="L1164" s="3" t="str">
        <f t="shared" si="74"/>
        <v>Saturday</v>
      </c>
      <c r="M1164" s="4" t="str">
        <f t="shared" si="75"/>
        <v>Normal Day</v>
      </c>
      <c r="N1164" s="4" t="str">
        <f>TEXT(CleanedData[[#This Row],[DAY]], "mmm yyyy")</f>
        <v>Sep 2024</v>
      </c>
    </row>
    <row r="1165" spans="1:14" x14ac:dyDescent="0.3">
      <c r="A1165" s="5">
        <v>45556</v>
      </c>
      <c r="B1165" s="12">
        <v>541.5</v>
      </c>
      <c r="C1165" s="12">
        <v>7.5</v>
      </c>
      <c r="D1165" s="2" t="s">
        <v>6</v>
      </c>
      <c r="E1165" s="2" t="s">
        <v>7</v>
      </c>
      <c r="F1165" s="1">
        <v>150</v>
      </c>
      <c r="G1165" s="13">
        <v>503.56801759183082</v>
      </c>
      <c r="H1165" s="14" t="b">
        <v>0</v>
      </c>
      <c r="I1165" s="15">
        <f t="shared" si="72"/>
        <v>542</v>
      </c>
      <c r="J1165" s="15">
        <f t="shared" si="72"/>
        <v>8</v>
      </c>
      <c r="K1165" s="15">
        <f t="shared" si="73"/>
        <v>504</v>
      </c>
      <c r="L1165" s="3" t="str">
        <f t="shared" si="74"/>
        <v>Saturday</v>
      </c>
      <c r="M1165" s="4" t="str">
        <f t="shared" si="75"/>
        <v>Normal Day</v>
      </c>
      <c r="N1165" s="4" t="str">
        <f>TEXT(CleanedData[[#This Row],[DAY]], "mmm yyyy")</f>
        <v>Sep 2024</v>
      </c>
    </row>
    <row r="1166" spans="1:14" x14ac:dyDescent="0.3">
      <c r="A1166" s="5">
        <v>45556</v>
      </c>
      <c r="B1166" s="12">
        <v>5256</v>
      </c>
      <c r="C1166" s="12">
        <v>258</v>
      </c>
      <c r="D1166" s="2" t="s">
        <v>9</v>
      </c>
      <c r="E1166" s="2" t="s">
        <v>8</v>
      </c>
      <c r="F1166" s="1">
        <v>2169</v>
      </c>
      <c r="G1166" s="13">
        <v>4435.1596225825779</v>
      </c>
      <c r="H1166" s="14" t="b">
        <v>1</v>
      </c>
      <c r="I1166" s="15">
        <f t="shared" si="72"/>
        <v>5256</v>
      </c>
      <c r="J1166" s="15">
        <f t="shared" si="72"/>
        <v>258</v>
      </c>
      <c r="K1166" s="15">
        <f t="shared" si="73"/>
        <v>4435</v>
      </c>
      <c r="L1166" s="3" t="str">
        <f t="shared" si="74"/>
        <v>Saturday</v>
      </c>
      <c r="M1166" s="4" t="str">
        <f t="shared" si="75"/>
        <v>Outage Day</v>
      </c>
      <c r="N1166" s="4" t="str">
        <f>TEXT(CleanedData[[#This Row],[DAY]], "mmm yyyy")</f>
        <v>Sep 2024</v>
      </c>
    </row>
    <row r="1167" spans="1:14" x14ac:dyDescent="0.3">
      <c r="A1167" s="5">
        <v>45556</v>
      </c>
      <c r="B1167" s="12">
        <v>5293.5</v>
      </c>
      <c r="C1167" s="12">
        <v>307.5</v>
      </c>
      <c r="D1167" s="2" t="s">
        <v>10</v>
      </c>
      <c r="E1167" s="2" t="s">
        <v>7</v>
      </c>
      <c r="F1167" s="1">
        <v>1460</v>
      </c>
      <c r="G1167" s="13">
        <v>4934.0428429836784</v>
      </c>
      <c r="H1167" s="14" t="b">
        <v>0</v>
      </c>
      <c r="I1167" s="15">
        <f t="shared" si="72"/>
        <v>5294</v>
      </c>
      <c r="J1167" s="15">
        <f t="shared" si="72"/>
        <v>308</v>
      </c>
      <c r="K1167" s="15">
        <f t="shared" si="73"/>
        <v>4934</v>
      </c>
      <c r="L1167" s="3" t="str">
        <f t="shared" si="74"/>
        <v>Saturday</v>
      </c>
      <c r="M1167" s="4" t="str">
        <f t="shared" si="75"/>
        <v>Normal Day</v>
      </c>
      <c r="N1167" s="4" t="str">
        <f>TEXT(CleanedData[[#This Row],[DAY]], "mmm yyyy")</f>
        <v>Sep 2024</v>
      </c>
    </row>
    <row r="1168" spans="1:14" x14ac:dyDescent="0.3">
      <c r="A1168" s="5">
        <v>45557</v>
      </c>
      <c r="B1168" s="12">
        <v>1023</v>
      </c>
      <c r="C1168" s="12">
        <v>4.5</v>
      </c>
      <c r="D1168" s="2" t="s">
        <v>6</v>
      </c>
      <c r="E1168" s="2" t="s">
        <v>7</v>
      </c>
      <c r="F1168" s="1">
        <v>243</v>
      </c>
      <c r="G1168" s="13">
        <v>963.40489888118145</v>
      </c>
      <c r="H1168" s="14" t="b">
        <v>0</v>
      </c>
      <c r="I1168" s="15">
        <f t="shared" si="72"/>
        <v>1023</v>
      </c>
      <c r="J1168" s="15">
        <f t="shared" si="72"/>
        <v>5</v>
      </c>
      <c r="K1168" s="15">
        <f t="shared" si="73"/>
        <v>963</v>
      </c>
      <c r="L1168" s="3" t="str">
        <f t="shared" si="74"/>
        <v>Sunday</v>
      </c>
      <c r="M1168" s="4" t="str">
        <f t="shared" si="75"/>
        <v>Normal Day</v>
      </c>
      <c r="N1168" s="4" t="str">
        <f>TEXT(CleanedData[[#This Row],[DAY]], "mmm yyyy")</f>
        <v>Sep 2024</v>
      </c>
    </row>
    <row r="1169" spans="1:14" x14ac:dyDescent="0.3">
      <c r="A1169" s="5">
        <v>45557</v>
      </c>
      <c r="B1169" s="12">
        <v>1105.5</v>
      </c>
      <c r="C1169" s="12">
        <v>4.5</v>
      </c>
      <c r="D1169" s="2" t="s">
        <v>6</v>
      </c>
      <c r="E1169" s="2" t="s">
        <v>8</v>
      </c>
      <c r="F1169" s="1">
        <v>33</v>
      </c>
      <c r="G1169" s="13">
        <v>952.65650651915303</v>
      </c>
      <c r="H1169" s="14" t="b">
        <v>0</v>
      </c>
      <c r="I1169" s="15">
        <f t="shared" si="72"/>
        <v>1106</v>
      </c>
      <c r="J1169" s="15">
        <f t="shared" si="72"/>
        <v>5</v>
      </c>
      <c r="K1169" s="15">
        <f t="shared" si="73"/>
        <v>953</v>
      </c>
      <c r="L1169" s="3" t="str">
        <f t="shared" si="74"/>
        <v>Sunday</v>
      </c>
      <c r="M1169" s="4" t="str">
        <f t="shared" si="75"/>
        <v>Normal Day</v>
      </c>
      <c r="N1169" s="4" t="str">
        <f>TEXT(CleanedData[[#This Row],[DAY]], "mmm yyyy")</f>
        <v>Sep 2024</v>
      </c>
    </row>
    <row r="1170" spans="1:14" x14ac:dyDescent="0.3">
      <c r="A1170" s="5">
        <v>45557</v>
      </c>
      <c r="B1170" s="12">
        <v>3723</v>
      </c>
      <c r="C1170" s="12">
        <v>66</v>
      </c>
      <c r="D1170" s="2" t="s">
        <v>9</v>
      </c>
      <c r="E1170" s="2" t="s">
        <v>8</v>
      </c>
      <c r="F1170" s="1">
        <v>1090</v>
      </c>
      <c r="G1170" s="13">
        <v>3123.9032356054199</v>
      </c>
      <c r="H1170" s="14" t="b">
        <v>0</v>
      </c>
      <c r="I1170" s="15">
        <f t="shared" si="72"/>
        <v>3723</v>
      </c>
      <c r="J1170" s="15">
        <f t="shared" si="72"/>
        <v>66</v>
      </c>
      <c r="K1170" s="15">
        <f t="shared" si="73"/>
        <v>3124</v>
      </c>
      <c r="L1170" s="3" t="str">
        <f t="shared" si="74"/>
        <v>Sunday</v>
      </c>
      <c r="M1170" s="4" t="str">
        <f t="shared" si="75"/>
        <v>Normal Day</v>
      </c>
      <c r="N1170" s="4" t="str">
        <f>TEXT(CleanedData[[#This Row],[DAY]], "mmm yyyy")</f>
        <v>Sep 2024</v>
      </c>
    </row>
    <row r="1171" spans="1:14" x14ac:dyDescent="0.3">
      <c r="A1171" s="5">
        <v>45557</v>
      </c>
      <c r="B1171" s="12">
        <v>5521.5</v>
      </c>
      <c r="C1171" s="12">
        <v>192</v>
      </c>
      <c r="D1171" s="2" t="s">
        <v>10</v>
      </c>
      <c r="E1171" s="2" t="s">
        <v>7</v>
      </c>
      <c r="F1171" s="1">
        <v>874</v>
      </c>
      <c r="G1171" s="13">
        <v>5180.8725205178707</v>
      </c>
      <c r="H1171" s="14" t="b">
        <v>0</v>
      </c>
      <c r="I1171" s="15">
        <f t="shared" si="72"/>
        <v>5522</v>
      </c>
      <c r="J1171" s="15">
        <f t="shared" si="72"/>
        <v>192</v>
      </c>
      <c r="K1171" s="15">
        <f t="shared" si="73"/>
        <v>5181</v>
      </c>
      <c r="L1171" s="3" t="str">
        <f t="shared" si="74"/>
        <v>Sunday</v>
      </c>
      <c r="M1171" s="4" t="str">
        <f t="shared" si="75"/>
        <v>Normal Day</v>
      </c>
      <c r="N1171" s="4" t="str">
        <f>TEXT(CleanedData[[#This Row],[DAY]], "mmm yyyy")</f>
        <v>Sep 2024</v>
      </c>
    </row>
    <row r="1172" spans="1:14" x14ac:dyDescent="0.3">
      <c r="A1172" s="5">
        <v>45558</v>
      </c>
      <c r="B1172" s="12">
        <v>730.5</v>
      </c>
      <c r="C1172" s="12">
        <v>13.5</v>
      </c>
      <c r="D1172" s="2" t="s">
        <v>6</v>
      </c>
      <c r="E1172" s="2" t="s">
        <v>8</v>
      </c>
      <c r="F1172" s="1">
        <v>481</v>
      </c>
      <c r="G1172" s="13">
        <v>618.301454630639</v>
      </c>
      <c r="H1172" s="14" t="b">
        <v>0</v>
      </c>
      <c r="I1172" s="15">
        <f t="shared" si="72"/>
        <v>731</v>
      </c>
      <c r="J1172" s="15">
        <f t="shared" si="72"/>
        <v>14</v>
      </c>
      <c r="K1172" s="15">
        <f t="shared" si="73"/>
        <v>618</v>
      </c>
      <c r="L1172" s="3" t="str">
        <f t="shared" si="74"/>
        <v>Monday</v>
      </c>
      <c r="M1172" s="4" t="str">
        <f t="shared" si="75"/>
        <v>Normal Day</v>
      </c>
      <c r="N1172" s="4" t="str">
        <f>TEXT(CleanedData[[#This Row],[DAY]], "mmm yyyy")</f>
        <v>Sep 2024</v>
      </c>
    </row>
    <row r="1173" spans="1:14" x14ac:dyDescent="0.3">
      <c r="A1173" s="5">
        <v>45558</v>
      </c>
      <c r="B1173" s="12">
        <v>897</v>
      </c>
      <c r="C1173" s="12">
        <v>13.5</v>
      </c>
      <c r="D1173" s="2" t="s">
        <v>6</v>
      </c>
      <c r="E1173" s="2" t="s">
        <v>7</v>
      </c>
      <c r="F1173" s="1">
        <v>589</v>
      </c>
      <c r="G1173" s="13">
        <v>836.7988895259042</v>
      </c>
      <c r="H1173" s="14" t="b">
        <v>0</v>
      </c>
      <c r="I1173" s="15">
        <f t="shared" si="72"/>
        <v>897</v>
      </c>
      <c r="J1173" s="15">
        <f t="shared" si="72"/>
        <v>14</v>
      </c>
      <c r="K1173" s="15">
        <f t="shared" si="73"/>
        <v>837</v>
      </c>
      <c r="L1173" s="3" t="str">
        <f t="shared" si="74"/>
        <v>Monday</v>
      </c>
      <c r="M1173" s="4" t="str">
        <f t="shared" si="75"/>
        <v>Normal Day</v>
      </c>
      <c r="N1173" s="4" t="str">
        <f>TEXT(CleanedData[[#This Row],[DAY]], "mmm yyyy")</f>
        <v>Sep 2024</v>
      </c>
    </row>
    <row r="1174" spans="1:14" x14ac:dyDescent="0.3">
      <c r="A1174" s="5">
        <v>45558</v>
      </c>
      <c r="B1174" s="12">
        <v>4362</v>
      </c>
      <c r="C1174" s="12">
        <v>159</v>
      </c>
      <c r="D1174" s="2" t="s">
        <v>9</v>
      </c>
      <c r="E1174" s="2" t="s">
        <v>8</v>
      </c>
      <c r="F1174" s="1">
        <v>130</v>
      </c>
      <c r="G1174" s="13">
        <v>3828.3064517220346</v>
      </c>
      <c r="H1174" s="14" t="b">
        <v>0</v>
      </c>
      <c r="I1174" s="15">
        <f t="shared" si="72"/>
        <v>4362</v>
      </c>
      <c r="J1174" s="15">
        <f t="shared" si="72"/>
        <v>159</v>
      </c>
      <c r="K1174" s="15">
        <f t="shared" si="73"/>
        <v>3828</v>
      </c>
      <c r="L1174" s="3" t="str">
        <f t="shared" si="74"/>
        <v>Monday</v>
      </c>
      <c r="M1174" s="4" t="str">
        <f t="shared" si="75"/>
        <v>Normal Day</v>
      </c>
      <c r="N1174" s="4" t="str">
        <f>TEXT(CleanedData[[#This Row],[DAY]], "mmm yyyy")</f>
        <v>Sep 2024</v>
      </c>
    </row>
    <row r="1175" spans="1:14" x14ac:dyDescent="0.3">
      <c r="A1175" s="5">
        <v>45558</v>
      </c>
      <c r="B1175" s="12">
        <v>4590</v>
      </c>
      <c r="C1175" s="12">
        <v>46.5</v>
      </c>
      <c r="D1175" s="2" t="s">
        <v>10</v>
      </c>
      <c r="E1175" s="2" t="s">
        <v>7</v>
      </c>
      <c r="F1175" s="1">
        <v>600</v>
      </c>
      <c r="G1175" s="13">
        <v>4336.0600038939547</v>
      </c>
      <c r="H1175" s="14" t="b">
        <v>0</v>
      </c>
      <c r="I1175" s="15">
        <f t="shared" si="72"/>
        <v>4590</v>
      </c>
      <c r="J1175" s="15">
        <f t="shared" si="72"/>
        <v>47</v>
      </c>
      <c r="K1175" s="15">
        <f t="shared" si="73"/>
        <v>4336</v>
      </c>
      <c r="L1175" s="3" t="str">
        <f t="shared" si="74"/>
        <v>Monday</v>
      </c>
      <c r="M1175" s="4" t="str">
        <f t="shared" si="75"/>
        <v>Normal Day</v>
      </c>
      <c r="N1175" s="4" t="str">
        <f>TEXT(CleanedData[[#This Row],[DAY]], "mmm yyyy")</f>
        <v>Sep 2024</v>
      </c>
    </row>
    <row r="1176" spans="1:14" x14ac:dyDescent="0.3">
      <c r="A1176" s="5">
        <v>45559</v>
      </c>
      <c r="B1176" s="12">
        <v>553.5</v>
      </c>
      <c r="C1176" s="12">
        <v>19.5</v>
      </c>
      <c r="D1176" s="2" t="s">
        <v>6</v>
      </c>
      <c r="E1176" s="2" t="s">
        <v>8</v>
      </c>
      <c r="F1176" s="1">
        <v>324</v>
      </c>
      <c r="G1176" s="13">
        <v>473.85400985053201</v>
      </c>
      <c r="H1176" s="14" t="b">
        <v>0</v>
      </c>
      <c r="I1176" s="15">
        <f t="shared" si="72"/>
        <v>554</v>
      </c>
      <c r="J1176" s="15">
        <f t="shared" si="72"/>
        <v>20</v>
      </c>
      <c r="K1176" s="15">
        <f t="shared" si="73"/>
        <v>474</v>
      </c>
      <c r="L1176" s="3" t="str">
        <f t="shared" si="74"/>
        <v>Tuesday</v>
      </c>
      <c r="M1176" s="4" t="str">
        <f t="shared" si="75"/>
        <v>Normal Day</v>
      </c>
      <c r="N1176" s="4" t="str">
        <f>TEXT(CleanedData[[#This Row],[DAY]], "mmm yyyy")</f>
        <v>Sep 2024</v>
      </c>
    </row>
    <row r="1177" spans="1:14" x14ac:dyDescent="0.3">
      <c r="A1177" s="5">
        <v>45559</v>
      </c>
      <c r="B1177" s="12">
        <v>1138.5</v>
      </c>
      <c r="C1177" s="12">
        <v>19.5</v>
      </c>
      <c r="D1177" s="2" t="s">
        <v>6</v>
      </c>
      <c r="E1177" s="2" t="s">
        <v>7</v>
      </c>
      <c r="F1177" s="1">
        <v>317</v>
      </c>
      <c r="G1177" s="13">
        <v>1052.2161331334951</v>
      </c>
      <c r="H1177" s="14" t="b">
        <v>0</v>
      </c>
      <c r="I1177" s="15">
        <f t="shared" si="72"/>
        <v>1139</v>
      </c>
      <c r="J1177" s="15">
        <f t="shared" si="72"/>
        <v>20</v>
      </c>
      <c r="K1177" s="15">
        <f t="shared" si="73"/>
        <v>1052</v>
      </c>
      <c r="L1177" s="3" t="str">
        <f t="shared" si="74"/>
        <v>Tuesday</v>
      </c>
      <c r="M1177" s="4" t="str">
        <f t="shared" si="75"/>
        <v>Normal Day</v>
      </c>
      <c r="N1177" s="4" t="str">
        <f>TEXT(CleanedData[[#This Row],[DAY]], "mmm yyyy")</f>
        <v>Sep 2024</v>
      </c>
    </row>
    <row r="1178" spans="1:14" x14ac:dyDescent="0.3">
      <c r="A1178" s="5">
        <v>45559</v>
      </c>
      <c r="B1178" s="12">
        <v>4390.5</v>
      </c>
      <c r="C1178" s="12">
        <v>231</v>
      </c>
      <c r="D1178" s="2" t="s">
        <v>10</v>
      </c>
      <c r="E1178" s="2" t="s">
        <v>7</v>
      </c>
      <c r="F1178" s="1">
        <v>747</v>
      </c>
      <c r="G1178" s="13">
        <v>4161.363804555278</v>
      </c>
      <c r="H1178" s="14" t="b">
        <v>0</v>
      </c>
      <c r="I1178" s="15">
        <f t="shared" si="72"/>
        <v>4391</v>
      </c>
      <c r="J1178" s="15">
        <f t="shared" si="72"/>
        <v>231</v>
      </c>
      <c r="K1178" s="15">
        <f t="shared" si="73"/>
        <v>4161</v>
      </c>
      <c r="L1178" s="3" t="str">
        <f t="shared" si="74"/>
        <v>Tuesday</v>
      </c>
      <c r="M1178" s="4" t="str">
        <f t="shared" si="75"/>
        <v>Normal Day</v>
      </c>
      <c r="N1178" s="4" t="str">
        <f>TEXT(CleanedData[[#This Row],[DAY]], "mmm yyyy")</f>
        <v>Sep 2024</v>
      </c>
    </row>
    <row r="1179" spans="1:14" x14ac:dyDescent="0.3">
      <c r="A1179" s="5">
        <v>45559</v>
      </c>
      <c r="B1179" s="12">
        <v>5065.5</v>
      </c>
      <c r="C1179" s="12">
        <v>6</v>
      </c>
      <c r="D1179" s="2" t="s">
        <v>9</v>
      </c>
      <c r="E1179" s="2" t="s">
        <v>8</v>
      </c>
      <c r="F1179" s="1">
        <v>3206</v>
      </c>
      <c r="G1179" s="13">
        <v>4096.3053680796338</v>
      </c>
      <c r="H1179" s="14" t="b">
        <v>1</v>
      </c>
      <c r="I1179" s="15">
        <f t="shared" si="72"/>
        <v>5066</v>
      </c>
      <c r="J1179" s="15">
        <f t="shared" si="72"/>
        <v>6</v>
      </c>
      <c r="K1179" s="15">
        <f t="shared" si="73"/>
        <v>4096</v>
      </c>
      <c r="L1179" s="3" t="str">
        <f t="shared" si="74"/>
        <v>Tuesday</v>
      </c>
      <c r="M1179" s="4" t="str">
        <f t="shared" si="75"/>
        <v>Outage Day</v>
      </c>
      <c r="N1179" s="4" t="str">
        <f>TEXT(CleanedData[[#This Row],[DAY]], "mmm yyyy")</f>
        <v>Sep 2024</v>
      </c>
    </row>
    <row r="1180" spans="1:14" x14ac:dyDescent="0.3">
      <c r="A1180" s="5">
        <v>45560</v>
      </c>
      <c r="B1180" s="12">
        <v>1.5</v>
      </c>
      <c r="C1180" s="12">
        <v>1.5</v>
      </c>
      <c r="D1180" s="2" t="s">
        <v>10</v>
      </c>
      <c r="E1180" s="2" t="s">
        <v>8</v>
      </c>
      <c r="F1180" s="1">
        <v>1</v>
      </c>
      <c r="G1180" s="13">
        <v>2.5225992392953533</v>
      </c>
      <c r="H1180" s="14" t="b">
        <v>0</v>
      </c>
      <c r="I1180" s="15">
        <f t="shared" si="72"/>
        <v>2</v>
      </c>
      <c r="J1180" s="15">
        <f t="shared" si="72"/>
        <v>2</v>
      </c>
      <c r="K1180" s="15">
        <f t="shared" si="73"/>
        <v>3</v>
      </c>
      <c r="L1180" s="3" t="str">
        <f t="shared" si="74"/>
        <v>Wednesday</v>
      </c>
      <c r="M1180" s="4" t="str">
        <f t="shared" si="75"/>
        <v>Normal Day</v>
      </c>
      <c r="N1180" s="4" t="str">
        <f>TEXT(CleanedData[[#This Row],[DAY]], "mmm yyyy")</f>
        <v>Sep 2024</v>
      </c>
    </row>
    <row r="1181" spans="1:14" x14ac:dyDescent="0.3">
      <c r="A1181" s="5">
        <v>45560</v>
      </c>
      <c r="B1181" s="12">
        <v>535.5</v>
      </c>
      <c r="C1181" s="12">
        <v>1.5</v>
      </c>
      <c r="D1181" s="2" t="s">
        <v>6</v>
      </c>
      <c r="E1181" s="2" t="s">
        <v>8</v>
      </c>
      <c r="F1181" s="1">
        <v>302</v>
      </c>
      <c r="G1181" s="13">
        <v>455.67184448865493</v>
      </c>
      <c r="H1181" s="14" t="b">
        <v>0</v>
      </c>
      <c r="I1181" s="15">
        <f t="shared" si="72"/>
        <v>536</v>
      </c>
      <c r="J1181" s="15">
        <f t="shared" si="72"/>
        <v>2</v>
      </c>
      <c r="K1181" s="15">
        <f t="shared" si="73"/>
        <v>456</v>
      </c>
      <c r="L1181" s="3" t="str">
        <f t="shared" si="74"/>
        <v>Wednesday</v>
      </c>
      <c r="M1181" s="4" t="str">
        <f t="shared" si="75"/>
        <v>Normal Day</v>
      </c>
      <c r="N1181" s="4" t="str">
        <f>TEXT(CleanedData[[#This Row],[DAY]], "mmm yyyy")</f>
        <v>Sep 2024</v>
      </c>
    </row>
    <row r="1182" spans="1:14" x14ac:dyDescent="0.3">
      <c r="A1182" s="5">
        <v>45560</v>
      </c>
      <c r="B1182" s="12">
        <v>712.5</v>
      </c>
      <c r="C1182" s="12">
        <v>1.5</v>
      </c>
      <c r="D1182" s="2" t="s">
        <v>6</v>
      </c>
      <c r="E1182" s="2" t="s">
        <v>7</v>
      </c>
      <c r="F1182" s="1">
        <v>402</v>
      </c>
      <c r="G1182" s="13">
        <v>647.04063440579182</v>
      </c>
      <c r="H1182" s="14" t="b">
        <v>0</v>
      </c>
      <c r="I1182" s="15">
        <f t="shared" si="72"/>
        <v>713</v>
      </c>
      <c r="J1182" s="15">
        <f t="shared" si="72"/>
        <v>2</v>
      </c>
      <c r="K1182" s="15">
        <f t="shared" si="73"/>
        <v>647</v>
      </c>
      <c r="L1182" s="3" t="str">
        <f t="shared" si="74"/>
        <v>Wednesday</v>
      </c>
      <c r="M1182" s="4" t="str">
        <f t="shared" si="75"/>
        <v>Normal Day</v>
      </c>
      <c r="N1182" s="4" t="str">
        <f>TEXT(CleanedData[[#This Row],[DAY]], "mmm yyyy")</f>
        <v>Sep 2024</v>
      </c>
    </row>
    <row r="1183" spans="1:14" x14ac:dyDescent="0.3">
      <c r="A1183" s="5">
        <v>45560</v>
      </c>
      <c r="B1183" s="12">
        <v>4920</v>
      </c>
      <c r="C1183" s="12">
        <v>228</v>
      </c>
      <c r="D1183" s="2" t="s">
        <v>9</v>
      </c>
      <c r="E1183" s="2" t="s">
        <v>8</v>
      </c>
      <c r="F1183" s="1">
        <v>1171</v>
      </c>
      <c r="G1183" s="13">
        <v>4522.3989773401045</v>
      </c>
      <c r="H1183" s="14" t="b">
        <v>0</v>
      </c>
      <c r="I1183" s="15">
        <f t="shared" si="72"/>
        <v>4920</v>
      </c>
      <c r="J1183" s="15">
        <f t="shared" si="72"/>
        <v>228</v>
      </c>
      <c r="K1183" s="15">
        <f t="shared" si="73"/>
        <v>4522</v>
      </c>
      <c r="L1183" s="3" t="str">
        <f t="shared" si="74"/>
        <v>Wednesday</v>
      </c>
      <c r="M1183" s="4" t="str">
        <f t="shared" si="75"/>
        <v>Normal Day</v>
      </c>
      <c r="N1183" s="4" t="str">
        <f>TEXT(CleanedData[[#This Row],[DAY]], "mmm yyyy")</f>
        <v>Sep 2024</v>
      </c>
    </row>
    <row r="1184" spans="1:14" x14ac:dyDescent="0.3">
      <c r="A1184" s="5">
        <v>45560</v>
      </c>
      <c r="B1184" s="12">
        <v>6204</v>
      </c>
      <c r="C1184" s="12">
        <v>91.5</v>
      </c>
      <c r="D1184" s="2" t="s">
        <v>10</v>
      </c>
      <c r="E1184" s="2" t="s">
        <v>7</v>
      </c>
      <c r="F1184" s="1">
        <v>1176</v>
      </c>
      <c r="G1184" s="13">
        <v>5844.6238180305154</v>
      </c>
      <c r="H1184" s="14" t="b">
        <v>0</v>
      </c>
      <c r="I1184" s="15">
        <f t="shared" si="72"/>
        <v>6204</v>
      </c>
      <c r="J1184" s="15">
        <f t="shared" si="72"/>
        <v>92</v>
      </c>
      <c r="K1184" s="15">
        <f t="shared" si="73"/>
        <v>5845</v>
      </c>
      <c r="L1184" s="3" t="str">
        <f t="shared" si="74"/>
        <v>Wednesday</v>
      </c>
      <c r="M1184" s="4" t="str">
        <f t="shared" si="75"/>
        <v>Normal Day</v>
      </c>
      <c r="N1184" s="4" t="str">
        <f>TEXT(CleanedData[[#This Row],[DAY]], "mmm yyyy")</f>
        <v>Sep 2024</v>
      </c>
    </row>
    <row r="1185" spans="1:14" x14ac:dyDescent="0.3">
      <c r="A1185" s="5">
        <v>45561</v>
      </c>
      <c r="B1185" s="12">
        <v>1132.5</v>
      </c>
      <c r="C1185" s="12">
        <v>9</v>
      </c>
      <c r="D1185" s="2" t="s">
        <v>6</v>
      </c>
      <c r="E1185" s="2" t="s">
        <v>8</v>
      </c>
      <c r="F1185" s="1">
        <v>703</v>
      </c>
      <c r="G1185" s="13">
        <v>942.33326873143471</v>
      </c>
      <c r="H1185" s="14" t="b">
        <v>0</v>
      </c>
      <c r="I1185" s="15">
        <f t="shared" si="72"/>
        <v>1133</v>
      </c>
      <c r="J1185" s="15">
        <f t="shared" si="72"/>
        <v>9</v>
      </c>
      <c r="K1185" s="15">
        <f t="shared" si="73"/>
        <v>942</v>
      </c>
      <c r="L1185" s="3" t="str">
        <f t="shared" si="74"/>
        <v>Thursday</v>
      </c>
      <c r="M1185" s="4" t="str">
        <f t="shared" si="75"/>
        <v>Normal Day</v>
      </c>
      <c r="N1185" s="4" t="str">
        <f>TEXT(CleanedData[[#This Row],[DAY]], "mmm yyyy")</f>
        <v>Sep 2024</v>
      </c>
    </row>
    <row r="1186" spans="1:14" x14ac:dyDescent="0.3">
      <c r="A1186" s="5">
        <v>45561</v>
      </c>
      <c r="B1186" s="12">
        <v>1492.5</v>
      </c>
      <c r="C1186" s="12">
        <v>9</v>
      </c>
      <c r="D1186" s="2" t="s">
        <v>6</v>
      </c>
      <c r="E1186" s="2" t="s">
        <v>7</v>
      </c>
      <c r="F1186" s="1">
        <v>282</v>
      </c>
      <c r="G1186" s="13">
        <v>1382.3346231662106</v>
      </c>
      <c r="H1186" s="14" t="b">
        <v>0</v>
      </c>
      <c r="I1186" s="15">
        <f t="shared" si="72"/>
        <v>1493</v>
      </c>
      <c r="J1186" s="15">
        <f t="shared" si="72"/>
        <v>9</v>
      </c>
      <c r="K1186" s="15">
        <f t="shared" si="73"/>
        <v>1382</v>
      </c>
      <c r="L1186" s="3" t="str">
        <f t="shared" si="74"/>
        <v>Thursday</v>
      </c>
      <c r="M1186" s="4" t="str">
        <f t="shared" si="75"/>
        <v>Normal Day</v>
      </c>
      <c r="N1186" s="4" t="str">
        <f>TEXT(CleanedData[[#This Row],[DAY]], "mmm yyyy")</f>
        <v>Sep 2024</v>
      </c>
    </row>
    <row r="1187" spans="1:14" x14ac:dyDescent="0.3">
      <c r="A1187" s="5">
        <v>45561</v>
      </c>
      <c r="B1187" s="12">
        <v>4750.5</v>
      </c>
      <c r="C1187" s="12">
        <v>42</v>
      </c>
      <c r="D1187" s="2" t="s">
        <v>10</v>
      </c>
      <c r="E1187" s="2" t="s">
        <v>7</v>
      </c>
      <c r="F1187" s="1">
        <v>2439</v>
      </c>
      <c r="G1187" s="13">
        <v>4445.1737815251772</v>
      </c>
      <c r="H1187" s="14" t="b">
        <v>0</v>
      </c>
      <c r="I1187" s="15">
        <f t="shared" si="72"/>
        <v>4751</v>
      </c>
      <c r="J1187" s="15">
        <f t="shared" si="72"/>
        <v>42</v>
      </c>
      <c r="K1187" s="15">
        <f t="shared" si="73"/>
        <v>4445</v>
      </c>
      <c r="L1187" s="3" t="str">
        <f t="shared" si="74"/>
        <v>Thursday</v>
      </c>
      <c r="M1187" s="4" t="str">
        <f t="shared" si="75"/>
        <v>Normal Day</v>
      </c>
      <c r="N1187" s="4" t="str">
        <f>TEXT(CleanedData[[#This Row],[DAY]], "mmm yyyy")</f>
        <v>Sep 2024</v>
      </c>
    </row>
    <row r="1188" spans="1:14" x14ac:dyDescent="0.3">
      <c r="A1188" s="5">
        <v>45561</v>
      </c>
      <c r="B1188" s="12">
        <v>5196</v>
      </c>
      <c r="C1188" s="12">
        <v>241.5</v>
      </c>
      <c r="D1188" s="2" t="s">
        <v>9</v>
      </c>
      <c r="E1188" s="2" t="s">
        <v>8</v>
      </c>
      <c r="F1188" s="1">
        <v>1256</v>
      </c>
      <c r="G1188" s="13">
        <v>4694.0916989438192</v>
      </c>
      <c r="H1188" s="14" t="b">
        <v>1</v>
      </c>
      <c r="I1188" s="15">
        <f t="shared" si="72"/>
        <v>5196</v>
      </c>
      <c r="J1188" s="15">
        <f t="shared" si="72"/>
        <v>242</v>
      </c>
      <c r="K1188" s="15">
        <f t="shared" si="73"/>
        <v>4694</v>
      </c>
      <c r="L1188" s="3" t="str">
        <f t="shared" si="74"/>
        <v>Thursday</v>
      </c>
      <c r="M1188" s="4" t="str">
        <f t="shared" si="75"/>
        <v>Outage Day</v>
      </c>
      <c r="N1188" s="4" t="str">
        <f>TEXT(CleanedData[[#This Row],[DAY]], "mmm yyyy")</f>
        <v>Sep 2024</v>
      </c>
    </row>
    <row r="1189" spans="1:14" x14ac:dyDescent="0.3">
      <c r="A1189" s="5">
        <v>45562</v>
      </c>
      <c r="B1189" s="12">
        <v>870</v>
      </c>
      <c r="C1189" s="12">
        <v>9</v>
      </c>
      <c r="D1189" s="2" t="s">
        <v>6</v>
      </c>
      <c r="E1189" s="2" t="s">
        <v>8</v>
      </c>
      <c r="F1189" s="1">
        <v>95</v>
      </c>
      <c r="G1189" s="13">
        <v>724.63662835059563</v>
      </c>
      <c r="H1189" s="14" t="b">
        <v>0</v>
      </c>
      <c r="I1189" s="15">
        <f t="shared" si="72"/>
        <v>870</v>
      </c>
      <c r="J1189" s="15">
        <f t="shared" si="72"/>
        <v>9</v>
      </c>
      <c r="K1189" s="15">
        <f t="shared" si="73"/>
        <v>725</v>
      </c>
      <c r="L1189" s="3" t="str">
        <f t="shared" si="74"/>
        <v>Friday</v>
      </c>
      <c r="M1189" s="4" t="str">
        <f t="shared" si="75"/>
        <v>Normal Day</v>
      </c>
      <c r="N1189" s="4" t="str">
        <f>TEXT(CleanedData[[#This Row],[DAY]], "mmm yyyy")</f>
        <v>Sep 2024</v>
      </c>
    </row>
    <row r="1190" spans="1:14" x14ac:dyDescent="0.3">
      <c r="A1190" s="5">
        <v>45562</v>
      </c>
      <c r="B1190" s="12">
        <v>958.5</v>
      </c>
      <c r="C1190" s="12">
        <v>9</v>
      </c>
      <c r="D1190" s="2" t="s">
        <v>6</v>
      </c>
      <c r="E1190" s="2" t="s">
        <v>7</v>
      </c>
      <c r="F1190" s="1">
        <v>124</v>
      </c>
      <c r="G1190" s="13">
        <v>859.7630421193038</v>
      </c>
      <c r="H1190" s="14" t="b">
        <v>0</v>
      </c>
      <c r="I1190" s="15">
        <f t="shared" si="72"/>
        <v>959</v>
      </c>
      <c r="J1190" s="15">
        <f t="shared" si="72"/>
        <v>9</v>
      </c>
      <c r="K1190" s="15">
        <f t="shared" si="73"/>
        <v>860</v>
      </c>
      <c r="L1190" s="3" t="str">
        <f t="shared" si="74"/>
        <v>Friday</v>
      </c>
      <c r="M1190" s="4" t="str">
        <f t="shared" si="75"/>
        <v>Normal Day</v>
      </c>
      <c r="N1190" s="4" t="str">
        <f>TEXT(CleanedData[[#This Row],[DAY]], "mmm yyyy")</f>
        <v>Sep 2024</v>
      </c>
    </row>
    <row r="1191" spans="1:14" x14ac:dyDescent="0.3">
      <c r="A1191" s="5">
        <v>45562</v>
      </c>
      <c r="B1191" s="12">
        <v>5220</v>
      </c>
      <c r="C1191" s="12">
        <v>285</v>
      </c>
      <c r="D1191" s="2" t="s">
        <v>10</v>
      </c>
      <c r="E1191" s="2" t="s">
        <v>7</v>
      </c>
      <c r="F1191" s="1">
        <v>15</v>
      </c>
      <c r="G1191" s="13">
        <v>4933.5505448105787</v>
      </c>
      <c r="H1191" s="14" t="b">
        <v>0</v>
      </c>
      <c r="I1191" s="15">
        <f t="shared" si="72"/>
        <v>5220</v>
      </c>
      <c r="J1191" s="15">
        <f t="shared" si="72"/>
        <v>285</v>
      </c>
      <c r="K1191" s="15">
        <f t="shared" si="73"/>
        <v>4934</v>
      </c>
      <c r="L1191" s="3" t="str">
        <f t="shared" si="74"/>
        <v>Friday</v>
      </c>
      <c r="M1191" s="4" t="str">
        <f t="shared" si="75"/>
        <v>Normal Day</v>
      </c>
      <c r="N1191" s="4" t="str">
        <f>TEXT(CleanedData[[#This Row],[DAY]], "mmm yyyy")</f>
        <v>Sep 2024</v>
      </c>
    </row>
    <row r="1192" spans="1:14" x14ac:dyDescent="0.3">
      <c r="A1192" s="5">
        <v>45562</v>
      </c>
      <c r="B1192" s="12">
        <v>5589</v>
      </c>
      <c r="C1192" s="12">
        <v>201</v>
      </c>
      <c r="D1192" s="2" t="s">
        <v>9</v>
      </c>
      <c r="E1192" s="2" t="s">
        <v>8</v>
      </c>
      <c r="F1192" s="1">
        <v>2640</v>
      </c>
      <c r="G1192" s="13">
        <v>4795.6472633725944</v>
      </c>
      <c r="H1192" s="14" t="b">
        <v>0</v>
      </c>
      <c r="I1192" s="15">
        <f t="shared" si="72"/>
        <v>5589</v>
      </c>
      <c r="J1192" s="15">
        <f t="shared" si="72"/>
        <v>201</v>
      </c>
      <c r="K1192" s="15">
        <f t="shared" si="73"/>
        <v>4796</v>
      </c>
      <c r="L1192" s="3" t="str">
        <f t="shared" si="74"/>
        <v>Friday</v>
      </c>
      <c r="M1192" s="4" t="str">
        <f t="shared" si="75"/>
        <v>Normal Day</v>
      </c>
      <c r="N1192" s="4" t="str">
        <f>TEXT(CleanedData[[#This Row],[DAY]], "mmm yyyy")</f>
        <v>Sep 2024</v>
      </c>
    </row>
    <row r="1193" spans="1:14" x14ac:dyDescent="0.3">
      <c r="A1193" s="5">
        <v>45563</v>
      </c>
      <c r="B1193" s="12">
        <v>3</v>
      </c>
      <c r="C1193" s="12">
        <v>0</v>
      </c>
      <c r="D1193" s="2" t="s">
        <v>9</v>
      </c>
      <c r="E1193" s="2" t="s">
        <v>7</v>
      </c>
      <c r="F1193" s="1">
        <v>2</v>
      </c>
      <c r="G1193" s="13">
        <v>2.6411168487095549</v>
      </c>
      <c r="H1193" s="14" t="b">
        <v>0</v>
      </c>
      <c r="I1193" s="15">
        <f t="shared" si="72"/>
        <v>3</v>
      </c>
      <c r="J1193" s="15">
        <f t="shared" si="72"/>
        <v>0</v>
      </c>
      <c r="K1193" s="15">
        <f t="shared" si="73"/>
        <v>3</v>
      </c>
      <c r="L1193" s="3" t="str">
        <f t="shared" si="74"/>
        <v>Saturday</v>
      </c>
      <c r="M1193" s="4" t="str">
        <f t="shared" si="75"/>
        <v>Normal Day</v>
      </c>
      <c r="N1193" s="4" t="str">
        <f>TEXT(CleanedData[[#This Row],[DAY]], "mmm yyyy")</f>
        <v>Sep 2024</v>
      </c>
    </row>
    <row r="1194" spans="1:14" x14ac:dyDescent="0.3">
      <c r="A1194" s="5">
        <v>45563</v>
      </c>
      <c r="B1194" s="12">
        <v>936</v>
      </c>
      <c r="C1194" s="12">
        <v>52.5</v>
      </c>
      <c r="D1194" s="2" t="s">
        <v>6</v>
      </c>
      <c r="E1194" s="2" t="s">
        <v>7</v>
      </c>
      <c r="F1194" s="1">
        <v>606</v>
      </c>
      <c r="G1194" s="13">
        <v>874.05537448921893</v>
      </c>
      <c r="H1194" s="14" t="b">
        <v>0</v>
      </c>
      <c r="I1194" s="15">
        <f t="shared" si="72"/>
        <v>936</v>
      </c>
      <c r="J1194" s="15">
        <f t="shared" si="72"/>
        <v>53</v>
      </c>
      <c r="K1194" s="15">
        <f t="shared" si="73"/>
        <v>874</v>
      </c>
      <c r="L1194" s="3" t="str">
        <f t="shared" si="74"/>
        <v>Saturday</v>
      </c>
      <c r="M1194" s="4" t="str">
        <f t="shared" si="75"/>
        <v>Normal Day</v>
      </c>
      <c r="N1194" s="4" t="str">
        <f>TEXT(CleanedData[[#This Row],[DAY]], "mmm yyyy")</f>
        <v>Sep 2024</v>
      </c>
    </row>
    <row r="1195" spans="1:14" x14ac:dyDescent="0.3">
      <c r="A1195" s="5">
        <v>45563</v>
      </c>
      <c r="B1195" s="12">
        <v>1843.5</v>
      </c>
      <c r="C1195" s="12">
        <v>52.5</v>
      </c>
      <c r="D1195" s="2" t="s">
        <v>6</v>
      </c>
      <c r="E1195" s="2" t="s">
        <v>8</v>
      </c>
      <c r="F1195" s="1">
        <v>995</v>
      </c>
      <c r="G1195" s="13">
        <v>1569.0282386378942</v>
      </c>
      <c r="H1195" s="14" t="b">
        <v>0</v>
      </c>
      <c r="I1195" s="15">
        <f t="shared" si="72"/>
        <v>1844</v>
      </c>
      <c r="J1195" s="15">
        <f t="shared" si="72"/>
        <v>53</v>
      </c>
      <c r="K1195" s="15">
        <f t="shared" si="73"/>
        <v>1569</v>
      </c>
      <c r="L1195" s="3" t="str">
        <f t="shared" si="74"/>
        <v>Saturday</v>
      </c>
      <c r="M1195" s="4" t="str">
        <f t="shared" si="75"/>
        <v>Normal Day</v>
      </c>
      <c r="N1195" s="4" t="str">
        <f>TEXT(CleanedData[[#This Row],[DAY]], "mmm yyyy")</f>
        <v>Sep 2024</v>
      </c>
    </row>
    <row r="1196" spans="1:14" x14ac:dyDescent="0.3">
      <c r="A1196" s="5">
        <v>45563</v>
      </c>
      <c r="B1196" s="12">
        <v>5146.5</v>
      </c>
      <c r="C1196" s="12">
        <v>118.5</v>
      </c>
      <c r="D1196" s="2" t="s">
        <v>9</v>
      </c>
      <c r="E1196" s="2" t="s">
        <v>8</v>
      </c>
      <c r="F1196" s="1">
        <v>28</v>
      </c>
      <c r="G1196" s="13">
        <v>4559.8657665335868</v>
      </c>
      <c r="H1196" s="14" t="b">
        <v>0</v>
      </c>
      <c r="I1196" s="15">
        <f t="shared" si="72"/>
        <v>5147</v>
      </c>
      <c r="J1196" s="15">
        <f t="shared" si="72"/>
        <v>119</v>
      </c>
      <c r="K1196" s="15">
        <f t="shared" si="73"/>
        <v>4560</v>
      </c>
      <c r="L1196" s="3" t="str">
        <f t="shared" si="74"/>
        <v>Saturday</v>
      </c>
      <c r="M1196" s="4" t="str">
        <f t="shared" si="75"/>
        <v>Normal Day</v>
      </c>
      <c r="N1196" s="4" t="str">
        <f>TEXT(CleanedData[[#This Row],[DAY]], "mmm yyyy")</f>
        <v>Sep 2024</v>
      </c>
    </row>
    <row r="1197" spans="1:14" x14ac:dyDescent="0.3">
      <c r="A1197" s="5">
        <v>45563</v>
      </c>
      <c r="B1197" s="12">
        <v>6565.5</v>
      </c>
      <c r="C1197" s="12">
        <v>426</v>
      </c>
      <c r="D1197" s="2" t="s">
        <v>10</v>
      </c>
      <c r="E1197" s="2" t="s">
        <v>7</v>
      </c>
      <c r="F1197" s="1">
        <v>1855</v>
      </c>
      <c r="G1197" s="13">
        <v>6249.1196985896213</v>
      </c>
      <c r="H1197" s="14" t="b">
        <v>0</v>
      </c>
      <c r="I1197" s="15">
        <f t="shared" si="72"/>
        <v>6566</v>
      </c>
      <c r="J1197" s="15">
        <f t="shared" si="72"/>
        <v>426</v>
      </c>
      <c r="K1197" s="15">
        <f t="shared" si="73"/>
        <v>6249</v>
      </c>
      <c r="L1197" s="3" t="str">
        <f t="shared" si="74"/>
        <v>Saturday</v>
      </c>
      <c r="M1197" s="4" t="str">
        <f t="shared" si="75"/>
        <v>Normal Day</v>
      </c>
      <c r="N1197" s="4" t="str">
        <f>TEXT(CleanedData[[#This Row],[DAY]], "mmm yyyy")</f>
        <v>Sep 2024</v>
      </c>
    </row>
    <row r="1198" spans="1:14" x14ac:dyDescent="0.3">
      <c r="A1198" s="5">
        <v>45564</v>
      </c>
      <c r="B1198" s="12">
        <v>1048.5</v>
      </c>
      <c r="C1198" s="12">
        <v>1.5</v>
      </c>
      <c r="D1198" s="2" t="s">
        <v>6</v>
      </c>
      <c r="E1198" s="2" t="s">
        <v>7</v>
      </c>
      <c r="F1198" s="1">
        <v>271</v>
      </c>
      <c r="G1198" s="13">
        <v>968.47947092171103</v>
      </c>
      <c r="H1198" s="14" t="b">
        <v>0</v>
      </c>
      <c r="I1198" s="15">
        <f t="shared" si="72"/>
        <v>1049</v>
      </c>
      <c r="J1198" s="15">
        <f t="shared" si="72"/>
        <v>2</v>
      </c>
      <c r="K1198" s="15">
        <f t="shared" si="73"/>
        <v>968</v>
      </c>
      <c r="L1198" s="3" t="str">
        <f t="shared" si="74"/>
        <v>Sunday</v>
      </c>
      <c r="M1198" s="4" t="str">
        <f t="shared" si="75"/>
        <v>Normal Day</v>
      </c>
      <c r="N1198" s="4" t="str">
        <f>TEXT(CleanedData[[#This Row],[DAY]], "mmm yyyy")</f>
        <v>Sep 2024</v>
      </c>
    </row>
    <row r="1199" spans="1:14" x14ac:dyDescent="0.3">
      <c r="A1199" s="5">
        <v>45564</v>
      </c>
      <c r="B1199" s="12">
        <v>1981.5</v>
      </c>
      <c r="C1199" s="12">
        <v>1.5</v>
      </c>
      <c r="D1199" s="2" t="s">
        <v>6</v>
      </c>
      <c r="E1199" s="2" t="s">
        <v>8</v>
      </c>
      <c r="F1199" s="1">
        <v>368</v>
      </c>
      <c r="G1199" s="13">
        <v>1595.872854263431</v>
      </c>
      <c r="H1199" s="14" t="b">
        <v>0</v>
      </c>
      <c r="I1199" s="15">
        <f t="shared" si="72"/>
        <v>1982</v>
      </c>
      <c r="J1199" s="15">
        <f t="shared" si="72"/>
        <v>2</v>
      </c>
      <c r="K1199" s="15">
        <f t="shared" si="73"/>
        <v>1596</v>
      </c>
      <c r="L1199" s="3" t="str">
        <f t="shared" si="74"/>
        <v>Sunday</v>
      </c>
      <c r="M1199" s="4" t="str">
        <f t="shared" si="75"/>
        <v>Normal Day</v>
      </c>
      <c r="N1199" s="4" t="str">
        <f>TEXT(CleanedData[[#This Row],[DAY]], "mmm yyyy")</f>
        <v>Sep 2024</v>
      </c>
    </row>
    <row r="1200" spans="1:14" x14ac:dyDescent="0.3">
      <c r="A1200" s="5">
        <v>45564</v>
      </c>
      <c r="B1200" s="12">
        <v>5922</v>
      </c>
      <c r="C1200" s="12">
        <v>201</v>
      </c>
      <c r="D1200" s="2" t="s">
        <v>9</v>
      </c>
      <c r="E1200" s="2" t="s">
        <v>8</v>
      </c>
      <c r="F1200" s="1">
        <v>575</v>
      </c>
      <c r="G1200" s="13">
        <v>5384.5779573362643</v>
      </c>
      <c r="H1200" s="14" t="b">
        <v>0</v>
      </c>
      <c r="I1200" s="15">
        <f t="shared" si="72"/>
        <v>5922</v>
      </c>
      <c r="J1200" s="15">
        <f t="shared" si="72"/>
        <v>201</v>
      </c>
      <c r="K1200" s="15">
        <f t="shared" si="73"/>
        <v>5385</v>
      </c>
      <c r="L1200" s="3" t="str">
        <f t="shared" si="74"/>
        <v>Sunday</v>
      </c>
      <c r="M1200" s="4" t="str">
        <f t="shared" si="75"/>
        <v>Normal Day</v>
      </c>
      <c r="N1200" s="4" t="str">
        <f>TEXT(CleanedData[[#This Row],[DAY]], "mmm yyyy")</f>
        <v>Sep 2024</v>
      </c>
    </row>
    <row r="1201" spans="1:14" x14ac:dyDescent="0.3">
      <c r="A1201" s="5">
        <v>45564</v>
      </c>
      <c r="B1201" s="12">
        <v>6222</v>
      </c>
      <c r="C1201" s="12">
        <v>88.5</v>
      </c>
      <c r="D1201" s="2" t="s">
        <v>10</v>
      </c>
      <c r="E1201" s="2" t="s">
        <v>7</v>
      </c>
      <c r="F1201" s="1">
        <v>1425</v>
      </c>
      <c r="G1201" s="13">
        <v>5634.7667084568475</v>
      </c>
      <c r="H1201" s="14" t="b">
        <v>0</v>
      </c>
      <c r="I1201" s="15">
        <f t="shared" si="72"/>
        <v>6222</v>
      </c>
      <c r="J1201" s="15">
        <f t="shared" si="72"/>
        <v>89</v>
      </c>
      <c r="K1201" s="15">
        <f t="shared" si="73"/>
        <v>5635</v>
      </c>
      <c r="L1201" s="3" t="str">
        <f t="shared" si="74"/>
        <v>Sunday</v>
      </c>
      <c r="M1201" s="4" t="str">
        <f t="shared" si="75"/>
        <v>Normal Day</v>
      </c>
      <c r="N1201" s="4" t="str">
        <f>TEXT(CleanedData[[#This Row],[DAY]], "mmm yyyy")</f>
        <v>Sep 2024</v>
      </c>
    </row>
    <row r="1202" spans="1:14" x14ac:dyDescent="0.3">
      <c r="A1202" s="5">
        <v>45565</v>
      </c>
      <c r="B1202" s="12">
        <v>1125</v>
      </c>
      <c r="C1202" s="12">
        <v>93</v>
      </c>
      <c r="D1202" s="2" t="s">
        <v>6</v>
      </c>
      <c r="E1202" s="2" t="s">
        <v>8</v>
      </c>
      <c r="F1202" s="1">
        <v>318</v>
      </c>
      <c r="G1202" s="13">
        <v>1028.6326339135246</v>
      </c>
      <c r="H1202" s="14" t="b">
        <v>0</v>
      </c>
      <c r="I1202" s="15">
        <f t="shared" si="72"/>
        <v>1125</v>
      </c>
      <c r="J1202" s="15">
        <f t="shared" si="72"/>
        <v>93</v>
      </c>
      <c r="K1202" s="15">
        <f t="shared" si="73"/>
        <v>1029</v>
      </c>
      <c r="L1202" s="3" t="str">
        <f t="shared" si="74"/>
        <v>Monday</v>
      </c>
      <c r="M1202" s="4" t="str">
        <f t="shared" si="75"/>
        <v>Normal Day</v>
      </c>
      <c r="N1202" s="4" t="str">
        <f>TEXT(CleanedData[[#This Row],[DAY]], "mmm yyyy")</f>
        <v>Sep 2024</v>
      </c>
    </row>
    <row r="1203" spans="1:14" x14ac:dyDescent="0.3">
      <c r="A1203" s="5">
        <v>45565</v>
      </c>
      <c r="B1203" s="12">
        <v>1336.5</v>
      </c>
      <c r="C1203" s="12">
        <v>93</v>
      </c>
      <c r="D1203" s="2" t="s">
        <v>6</v>
      </c>
      <c r="E1203" s="2" t="s">
        <v>7</v>
      </c>
      <c r="F1203" s="1">
        <v>552</v>
      </c>
      <c r="G1203" s="13">
        <v>1331.7128537807439</v>
      </c>
      <c r="H1203" s="14" t="b">
        <v>0</v>
      </c>
      <c r="I1203" s="15">
        <f t="shared" si="72"/>
        <v>1337</v>
      </c>
      <c r="J1203" s="15">
        <f t="shared" si="72"/>
        <v>93</v>
      </c>
      <c r="K1203" s="15">
        <f t="shared" si="73"/>
        <v>1332</v>
      </c>
      <c r="L1203" s="3" t="str">
        <f t="shared" si="74"/>
        <v>Monday</v>
      </c>
      <c r="M1203" s="4" t="str">
        <f t="shared" si="75"/>
        <v>Normal Day</v>
      </c>
      <c r="N1203" s="4" t="str">
        <f>TEXT(CleanedData[[#This Row],[DAY]], "mmm yyyy")</f>
        <v>Sep 2024</v>
      </c>
    </row>
    <row r="1204" spans="1:14" x14ac:dyDescent="0.3">
      <c r="A1204" s="5">
        <v>45565</v>
      </c>
      <c r="B1204" s="12">
        <v>5020.5</v>
      </c>
      <c r="C1204" s="12">
        <v>93</v>
      </c>
      <c r="D1204" s="2" t="s">
        <v>9</v>
      </c>
      <c r="E1204" s="2" t="s">
        <v>8</v>
      </c>
      <c r="F1204" s="1">
        <v>1177</v>
      </c>
      <c r="G1204" s="13">
        <v>4238.3304997946452</v>
      </c>
      <c r="H1204" s="14" t="b">
        <v>0</v>
      </c>
      <c r="I1204" s="15">
        <f t="shared" si="72"/>
        <v>5021</v>
      </c>
      <c r="J1204" s="15">
        <f t="shared" si="72"/>
        <v>93</v>
      </c>
      <c r="K1204" s="15">
        <f t="shared" si="73"/>
        <v>4238</v>
      </c>
      <c r="L1204" s="3" t="str">
        <f t="shared" si="74"/>
        <v>Monday</v>
      </c>
      <c r="M1204" s="4" t="str">
        <f t="shared" si="75"/>
        <v>Normal Day</v>
      </c>
      <c r="N1204" s="4" t="str">
        <f>TEXT(CleanedData[[#This Row],[DAY]], "mmm yyyy")</f>
        <v>Sep 2024</v>
      </c>
    </row>
    <row r="1205" spans="1:14" x14ac:dyDescent="0.3">
      <c r="A1205" s="5">
        <v>45565</v>
      </c>
      <c r="B1205" s="12">
        <v>5517</v>
      </c>
      <c r="C1205" s="12">
        <v>78</v>
      </c>
      <c r="D1205" s="2" t="s">
        <v>10</v>
      </c>
      <c r="E1205" s="2" t="s">
        <v>7</v>
      </c>
      <c r="F1205" s="1">
        <v>1490</v>
      </c>
      <c r="G1205" s="13">
        <v>5130.552810560559</v>
      </c>
      <c r="H1205" s="14" t="b">
        <v>0</v>
      </c>
      <c r="I1205" s="15">
        <f t="shared" si="72"/>
        <v>5517</v>
      </c>
      <c r="J1205" s="15">
        <f t="shared" si="72"/>
        <v>78</v>
      </c>
      <c r="K1205" s="15">
        <f t="shared" si="73"/>
        <v>5131</v>
      </c>
      <c r="L1205" s="3" t="str">
        <f t="shared" si="74"/>
        <v>Monday</v>
      </c>
      <c r="M1205" s="4" t="str">
        <f t="shared" si="75"/>
        <v>Normal Day</v>
      </c>
      <c r="N1205" s="4" t="str">
        <f>TEXT(CleanedData[[#This Row],[DAY]], "mmm yyyy")</f>
        <v>Sep 2024</v>
      </c>
    </row>
    <row r="1206" spans="1:14" x14ac:dyDescent="0.3">
      <c r="A1206" s="5">
        <v>45566</v>
      </c>
      <c r="B1206" s="12">
        <v>1213.5</v>
      </c>
      <c r="C1206" s="12">
        <v>3</v>
      </c>
      <c r="D1206" s="2" t="s">
        <v>6</v>
      </c>
      <c r="E1206" s="2" t="s">
        <v>8</v>
      </c>
      <c r="F1206" s="1">
        <v>630</v>
      </c>
      <c r="G1206" s="13">
        <v>1029.3388574376575</v>
      </c>
      <c r="H1206" s="14" t="b">
        <v>0</v>
      </c>
      <c r="I1206" s="15">
        <f t="shared" si="72"/>
        <v>1214</v>
      </c>
      <c r="J1206" s="15">
        <f t="shared" si="72"/>
        <v>3</v>
      </c>
      <c r="K1206" s="15">
        <f t="shared" si="73"/>
        <v>1029</v>
      </c>
      <c r="L1206" s="3" t="str">
        <f t="shared" si="74"/>
        <v>Tuesday</v>
      </c>
      <c r="M1206" s="4" t="str">
        <f t="shared" si="75"/>
        <v>Normal Day</v>
      </c>
      <c r="N1206" s="4" t="str">
        <f>TEXT(CleanedData[[#This Row],[DAY]], "mmm yyyy")</f>
        <v>Oct 2024</v>
      </c>
    </row>
    <row r="1207" spans="1:14" x14ac:dyDescent="0.3">
      <c r="A1207" s="5">
        <v>45566</v>
      </c>
      <c r="B1207" s="12">
        <v>1278</v>
      </c>
      <c r="C1207" s="12">
        <v>3</v>
      </c>
      <c r="D1207" s="2" t="s">
        <v>6</v>
      </c>
      <c r="E1207" s="2" t="s">
        <v>7</v>
      </c>
      <c r="F1207" s="1">
        <v>383</v>
      </c>
      <c r="G1207" s="13">
        <v>1166.2082535259838</v>
      </c>
      <c r="H1207" s="14" t="b">
        <v>0</v>
      </c>
      <c r="I1207" s="15">
        <f t="shared" si="72"/>
        <v>1278</v>
      </c>
      <c r="J1207" s="15">
        <f t="shared" si="72"/>
        <v>3</v>
      </c>
      <c r="K1207" s="15">
        <f t="shared" si="73"/>
        <v>1166</v>
      </c>
      <c r="L1207" s="3" t="str">
        <f t="shared" si="74"/>
        <v>Tuesday</v>
      </c>
      <c r="M1207" s="4" t="str">
        <f t="shared" si="75"/>
        <v>Normal Day</v>
      </c>
      <c r="N1207" s="4" t="str">
        <f>TEXT(CleanedData[[#This Row],[DAY]], "mmm yyyy")</f>
        <v>Oct 2024</v>
      </c>
    </row>
    <row r="1208" spans="1:14" x14ac:dyDescent="0.3">
      <c r="A1208" s="5">
        <v>45566</v>
      </c>
      <c r="B1208" s="12">
        <v>4966.5</v>
      </c>
      <c r="C1208" s="12">
        <v>106.5</v>
      </c>
      <c r="D1208" s="2" t="s">
        <v>9</v>
      </c>
      <c r="E1208" s="2" t="s">
        <v>8</v>
      </c>
      <c r="F1208" s="1">
        <v>3021</v>
      </c>
      <c r="G1208" s="13">
        <v>4375.0842438395302</v>
      </c>
      <c r="H1208" s="14" t="b">
        <v>0</v>
      </c>
      <c r="I1208" s="15">
        <f t="shared" si="72"/>
        <v>4967</v>
      </c>
      <c r="J1208" s="15">
        <f t="shared" si="72"/>
        <v>107</v>
      </c>
      <c r="K1208" s="15">
        <f t="shared" si="73"/>
        <v>4375</v>
      </c>
      <c r="L1208" s="3" t="str">
        <f t="shared" si="74"/>
        <v>Tuesday</v>
      </c>
      <c r="M1208" s="4" t="str">
        <f t="shared" si="75"/>
        <v>Normal Day</v>
      </c>
      <c r="N1208" s="4" t="str">
        <f>TEXT(CleanedData[[#This Row],[DAY]], "mmm yyyy")</f>
        <v>Oct 2024</v>
      </c>
    </row>
    <row r="1209" spans="1:14" x14ac:dyDescent="0.3">
      <c r="A1209" s="5">
        <v>45566</v>
      </c>
      <c r="B1209" s="12">
        <v>5485.5</v>
      </c>
      <c r="C1209" s="12">
        <v>75</v>
      </c>
      <c r="D1209" s="2" t="s">
        <v>10</v>
      </c>
      <c r="E1209" s="2" t="s">
        <v>7</v>
      </c>
      <c r="F1209" s="1">
        <v>3567</v>
      </c>
      <c r="G1209" s="13">
        <v>5053.6121865855757</v>
      </c>
      <c r="H1209" s="14" t="b">
        <v>0</v>
      </c>
      <c r="I1209" s="15">
        <f t="shared" si="72"/>
        <v>5486</v>
      </c>
      <c r="J1209" s="15">
        <f t="shared" si="72"/>
        <v>75</v>
      </c>
      <c r="K1209" s="15">
        <f t="shared" si="73"/>
        <v>5054</v>
      </c>
      <c r="L1209" s="3" t="str">
        <f t="shared" si="74"/>
        <v>Tuesday</v>
      </c>
      <c r="M1209" s="4" t="str">
        <f t="shared" si="75"/>
        <v>Normal Day</v>
      </c>
      <c r="N1209" s="4" t="str">
        <f>TEXT(CleanedData[[#This Row],[DAY]], "mmm yyyy")</f>
        <v>Oct 2024</v>
      </c>
    </row>
    <row r="1210" spans="1:14" x14ac:dyDescent="0.3">
      <c r="A1210" s="5">
        <v>45567</v>
      </c>
      <c r="B1210" s="12">
        <v>715.5</v>
      </c>
      <c r="C1210" s="12">
        <v>42</v>
      </c>
      <c r="D1210" s="2" t="s">
        <v>6</v>
      </c>
      <c r="E1210" s="2" t="s">
        <v>8</v>
      </c>
      <c r="F1210" s="1">
        <v>79</v>
      </c>
      <c r="G1210" s="13">
        <v>635.64162228932366</v>
      </c>
      <c r="H1210" s="14" t="b">
        <v>0</v>
      </c>
      <c r="I1210" s="15">
        <f t="shared" si="72"/>
        <v>716</v>
      </c>
      <c r="J1210" s="15">
        <f t="shared" si="72"/>
        <v>42</v>
      </c>
      <c r="K1210" s="15">
        <f t="shared" si="73"/>
        <v>636</v>
      </c>
      <c r="L1210" s="3" t="str">
        <f t="shared" si="74"/>
        <v>Wednesday</v>
      </c>
      <c r="M1210" s="4" t="str">
        <f t="shared" si="75"/>
        <v>Normal Day</v>
      </c>
      <c r="N1210" s="4" t="str">
        <f>TEXT(CleanedData[[#This Row],[DAY]], "mmm yyyy")</f>
        <v>Oct 2024</v>
      </c>
    </row>
    <row r="1211" spans="1:14" x14ac:dyDescent="0.3">
      <c r="A1211" s="5">
        <v>45567</v>
      </c>
      <c r="B1211" s="12">
        <v>1542</v>
      </c>
      <c r="C1211" s="12">
        <v>42</v>
      </c>
      <c r="D1211" s="2" t="s">
        <v>6</v>
      </c>
      <c r="E1211" s="2" t="s">
        <v>7</v>
      </c>
      <c r="F1211" s="1">
        <v>797</v>
      </c>
      <c r="G1211" s="13">
        <v>1481.3858456687442</v>
      </c>
      <c r="H1211" s="14" t="b">
        <v>0</v>
      </c>
      <c r="I1211" s="15">
        <f t="shared" si="72"/>
        <v>1542</v>
      </c>
      <c r="J1211" s="15">
        <f t="shared" si="72"/>
        <v>42</v>
      </c>
      <c r="K1211" s="15">
        <f t="shared" si="73"/>
        <v>1481</v>
      </c>
      <c r="L1211" s="3" t="str">
        <f t="shared" si="74"/>
        <v>Wednesday</v>
      </c>
      <c r="M1211" s="4" t="str">
        <f t="shared" si="75"/>
        <v>Normal Day</v>
      </c>
      <c r="N1211" s="4" t="str">
        <f>TEXT(CleanedData[[#This Row],[DAY]], "mmm yyyy")</f>
        <v>Oct 2024</v>
      </c>
    </row>
    <row r="1212" spans="1:14" x14ac:dyDescent="0.3">
      <c r="A1212" s="5">
        <v>45567</v>
      </c>
      <c r="B1212" s="12">
        <v>4299</v>
      </c>
      <c r="C1212" s="12">
        <v>135</v>
      </c>
      <c r="D1212" s="2" t="s">
        <v>9</v>
      </c>
      <c r="E1212" s="2" t="s">
        <v>8</v>
      </c>
      <c r="F1212" s="1">
        <v>125</v>
      </c>
      <c r="G1212" s="13">
        <v>3581.7376871908205</v>
      </c>
      <c r="H1212" s="14" t="b">
        <v>1</v>
      </c>
      <c r="I1212" s="15">
        <f t="shared" si="72"/>
        <v>4299</v>
      </c>
      <c r="J1212" s="15">
        <f t="shared" si="72"/>
        <v>135</v>
      </c>
      <c r="K1212" s="15">
        <f t="shared" si="73"/>
        <v>3582</v>
      </c>
      <c r="L1212" s="3" t="str">
        <f t="shared" si="74"/>
        <v>Wednesday</v>
      </c>
      <c r="M1212" s="4" t="str">
        <f t="shared" si="75"/>
        <v>Outage Day</v>
      </c>
      <c r="N1212" s="4" t="str">
        <f>TEXT(CleanedData[[#This Row],[DAY]], "mmm yyyy")</f>
        <v>Oct 2024</v>
      </c>
    </row>
    <row r="1213" spans="1:14" x14ac:dyDescent="0.3">
      <c r="A1213" s="5">
        <v>45567</v>
      </c>
      <c r="B1213" s="12">
        <v>5304</v>
      </c>
      <c r="C1213" s="12">
        <v>123</v>
      </c>
      <c r="D1213" s="2" t="s">
        <v>10</v>
      </c>
      <c r="E1213" s="2" t="s">
        <v>7</v>
      </c>
      <c r="F1213" s="1">
        <v>1626</v>
      </c>
      <c r="G1213" s="13">
        <v>5027.503215992434</v>
      </c>
      <c r="H1213" s="14" t="b">
        <v>0</v>
      </c>
      <c r="I1213" s="15">
        <f t="shared" si="72"/>
        <v>5304</v>
      </c>
      <c r="J1213" s="15">
        <f t="shared" si="72"/>
        <v>123</v>
      </c>
      <c r="K1213" s="15">
        <f t="shared" si="73"/>
        <v>5028</v>
      </c>
      <c r="L1213" s="3" t="str">
        <f t="shared" si="74"/>
        <v>Wednesday</v>
      </c>
      <c r="M1213" s="4" t="str">
        <f t="shared" si="75"/>
        <v>Normal Day</v>
      </c>
      <c r="N1213" s="4" t="str">
        <f>TEXT(CleanedData[[#This Row],[DAY]], "mmm yyyy")</f>
        <v>Oct 2024</v>
      </c>
    </row>
    <row r="1214" spans="1:14" x14ac:dyDescent="0.3">
      <c r="A1214" s="5">
        <v>45568</v>
      </c>
      <c r="B1214" s="12">
        <v>895.5</v>
      </c>
      <c r="C1214" s="12">
        <v>1.5</v>
      </c>
      <c r="D1214" s="2" t="s">
        <v>6</v>
      </c>
      <c r="E1214" s="2" t="s">
        <v>8</v>
      </c>
      <c r="F1214" s="1">
        <v>443</v>
      </c>
      <c r="G1214" s="13">
        <v>793.81256623092258</v>
      </c>
      <c r="H1214" s="14" t="b">
        <v>0</v>
      </c>
      <c r="I1214" s="15">
        <f t="shared" si="72"/>
        <v>896</v>
      </c>
      <c r="J1214" s="15">
        <f t="shared" si="72"/>
        <v>2</v>
      </c>
      <c r="K1214" s="15">
        <f t="shared" si="73"/>
        <v>794</v>
      </c>
      <c r="L1214" s="3" t="str">
        <f t="shared" si="74"/>
        <v>Thursday</v>
      </c>
      <c r="M1214" s="4" t="str">
        <f t="shared" si="75"/>
        <v>Normal Day</v>
      </c>
      <c r="N1214" s="4" t="str">
        <f>TEXT(CleanedData[[#This Row],[DAY]], "mmm yyyy")</f>
        <v>Oct 2024</v>
      </c>
    </row>
    <row r="1215" spans="1:14" x14ac:dyDescent="0.3">
      <c r="A1215" s="5">
        <v>45568</v>
      </c>
      <c r="B1215" s="12">
        <v>1263</v>
      </c>
      <c r="C1215" s="12">
        <v>1.5</v>
      </c>
      <c r="D1215" s="2" t="s">
        <v>6</v>
      </c>
      <c r="E1215" s="2" t="s">
        <v>7</v>
      </c>
      <c r="F1215" s="1">
        <v>789</v>
      </c>
      <c r="G1215" s="13">
        <v>1132.0887443557478</v>
      </c>
      <c r="H1215" s="14" t="b">
        <v>0</v>
      </c>
      <c r="I1215" s="15">
        <f t="shared" si="72"/>
        <v>1263</v>
      </c>
      <c r="J1215" s="15">
        <f t="shared" si="72"/>
        <v>2</v>
      </c>
      <c r="K1215" s="15">
        <f t="shared" si="73"/>
        <v>1132</v>
      </c>
      <c r="L1215" s="3" t="str">
        <f t="shared" si="74"/>
        <v>Thursday</v>
      </c>
      <c r="M1215" s="4" t="str">
        <f t="shared" si="75"/>
        <v>Normal Day</v>
      </c>
      <c r="N1215" s="4" t="str">
        <f>TEXT(CleanedData[[#This Row],[DAY]], "mmm yyyy")</f>
        <v>Oct 2024</v>
      </c>
    </row>
    <row r="1216" spans="1:14" x14ac:dyDescent="0.3">
      <c r="A1216" s="5">
        <v>45568</v>
      </c>
      <c r="B1216" s="12">
        <v>4476</v>
      </c>
      <c r="C1216" s="12">
        <v>37.5</v>
      </c>
      <c r="D1216" s="2" t="s">
        <v>9</v>
      </c>
      <c r="E1216" s="2" t="s">
        <v>8</v>
      </c>
      <c r="F1216" s="1">
        <v>957</v>
      </c>
      <c r="G1216" s="13">
        <v>3942.208289721249</v>
      </c>
      <c r="H1216" s="14" t="b">
        <v>0</v>
      </c>
      <c r="I1216" s="15">
        <f t="shared" si="72"/>
        <v>4476</v>
      </c>
      <c r="J1216" s="15">
        <f t="shared" si="72"/>
        <v>38</v>
      </c>
      <c r="K1216" s="15">
        <f t="shared" si="73"/>
        <v>3942</v>
      </c>
      <c r="L1216" s="3" t="str">
        <f t="shared" si="74"/>
        <v>Thursday</v>
      </c>
      <c r="M1216" s="4" t="str">
        <f t="shared" si="75"/>
        <v>Normal Day</v>
      </c>
      <c r="N1216" s="4" t="str">
        <f>TEXT(CleanedData[[#This Row],[DAY]], "mmm yyyy")</f>
        <v>Oct 2024</v>
      </c>
    </row>
    <row r="1217" spans="1:14" x14ac:dyDescent="0.3">
      <c r="A1217" s="5">
        <v>45568</v>
      </c>
      <c r="B1217" s="12">
        <v>5251.5</v>
      </c>
      <c r="C1217" s="12">
        <v>127.5</v>
      </c>
      <c r="D1217" s="2" t="s">
        <v>10</v>
      </c>
      <c r="E1217" s="2" t="s">
        <v>7</v>
      </c>
      <c r="F1217" s="1">
        <v>1448</v>
      </c>
      <c r="G1217" s="13">
        <v>4868.5108795471278</v>
      </c>
      <c r="H1217" s="14" t="b">
        <v>0</v>
      </c>
      <c r="I1217" s="15">
        <f t="shared" si="72"/>
        <v>5252</v>
      </c>
      <c r="J1217" s="15">
        <f t="shared" si="72"/>
        <v>128</v>
      </c>
      <c r="K1217" s="15">
        <f t="shared" si="73"/>
        <v>4869</v>
      </c>
      <c r="L1217" s="3" t="str">
        <f t="shared" si="74"/>
        <v>Thursday</v>
      </c>
      <c r="M1217" s="4" t="str">
        <f t="shared" si="75"/>
        <v>Normal Day</v>
      </c>
      <c r="N1217" s="4" t="str">
        <f>TEXT(CleanedData[[#This Row],[DAY]], "mmm yyyy")</f>
        <v>Oct 2024</v>
      </c>
    </row>
    <row r="1218" spans="1:14" x14ac:dyDescent="0.3">
      <c r="A1218" s="5">
        <v>45569</v>
      </c>
      <c r="B1218" s="12">
        <v>1167</v>
      </c>
      <c r="C1218" s="12">
        <v>58.5</v>
      </c>
      <c r="D1218" s="2" t="s">
        <v>6</v>
      </c>
      <c r="E1218" s="2" t="s">
        <v>8</v>
      </c>
      <c r="F1218" s="1">
        <v>546</v>
      </c>
      <c r="G1218" s="13">
        <v>981.23141179914558</v>
      </c>
      <c r="H1218" s="14" t="b">
        <v>0</v>
      </c>
      <c r="I1218" s="15">
        <f t="shared" ref="I1218:J1281" si="76">ROUND(B1218, 0)</f>
        <v>1167</v>
      </c>
      <c r="J1218" s="15">
        <f t="shared" si="76"/>
        <v>59</v>
      </c>
      <c r="K1218" s="15">
        <f t="shared" ref="K1218:K1281" si="77">ROUND(G1218, 0)</f>
        <v>981</v>
      </c>
      <c r="L1218" s="3" t="str">
        <f t="shared" si="74"/>
        <v>Friday</v>
      </c>
      <c r="M1218" s="4" t="str">
        <f t="shared" si="75"/>
        <v>Normal Day</v>
      </c>
      <c r="N1218" s="4" t="str">
        <f>TEXT(CleanedData[[#This Row],[DAY]], "mmm yyyy")</f>
        <v>Oct 2024</v>
      </c>
    </row>
    <row r="1219" spans="1:14" x14ac:dyDescent="0.3">
      <c r="A1219" s="5">
        <v>45569</v>
      </c>
      <c r="B1219" s="12">
        <v>1704</v>
      </c>
      <c r="C1219" s="12">
        <v>58.5</v>
      </c>
      <c r="D1219" s="2" t="s">
        <v>6</v>
      </c>
      <c r="E1219" s="2" t="s">
        <v>7</v>
      </c>
      <c r="F1219" s="1">
        <v>395</v>
      </c>
      <c r="G1219" s="13">
        <v>1554.9774725241259</v>
      </c>
      <c r="H1219" s="14" t="b">
        <v>0</v>
      </c>
      <c r="I1219" s="15">
        <f t="shared" si="76"/>
        <v>1704</v>
      </c>
      <c r="J1219" s="15">
        <f t="shared" si="76"/>
        <v>59</v>
      </c>
      <c r="K1219" s="15">
        <f t="shared" si="77"/>
        <v>1555</v>
      </c>
      <c r="L1219" s="3" t="str">
        <f t="shared" ref="L1219:L1282" si="78">TEXT(A1219,"dddd")</f>
        <v>Friday</v>
      </c>
      <c r="M1219" s="4" t="str">
        <f t="shared" ref="M1219:M1282" si="79">IF(H1219=TRUE, "Outage Day", "Normal Day")</f>
        <v>Normal Day</v>
      </c>
      <c r="N1219" s="4" t="str">
        <f>TEXT(CleanedData[[#This Row],[DAY]], "mmm yyyy")</f>
        <v>Oct 2024</v>
      </c>
    </row>
    <row r="1220" spans="1:14" x14ac:dyDescent="0.3">
      <c r="A1220" s="5">
        <v>45569</v>
      </c>
      <c r="B1220" s="12">
        <v>4848</v>
      </c>
      <c r="C1220" s="12">
        <v>115.5</v>
      </c>
      <c r="D1220" s="2" t="s">
        <v>10</v>
      </c>
      <c r="E1220" s="2" t="s">
        <v>7</v>
      </c>
      <c r="F1220" s="1">
        <v>83</v>
      </c>
      <c r="G1220" s="13">
        <v>4499.3199025232771</v>
      </c>
      <c r="H1220" s="14" t="b">
        <v>0</v>
      </c>
      <c r="I1220" s="15">
        <f t="shared" si="76"/>
        <v>4848</v>
      </c>
      <c r="J1220" s="15">
        <f t="shared" si="76"/>
        <v>116</v>
      </c>
      <c r="K1220" s="15">
        <f t="shared" si="77"/>
        <v>4499</v>
      </c>
      <c r="L1220" s="3" t="str">
        <f t="shared" si="78"/>
        <v>Friday</v>
      </c>
      <c r="M1220" s="4" t="str">
        <f t="shared" si="79"/>
        <v>Normal Day</v>
      </c>
      <c r="N1220" s="4" t="str">
        <f>TEXT(CleanedData[[#This Row],[DAY]], "mmm yyyy")</f>
        <v>Oct 2024</v>
      </c>
    </row>
    <row r="1221" spans="1:14" x14ac:dyDescent="0.3">
      <c r="A1221" s="5">
        <v>45569</v>
      </c>
      <c r="B1221" s="12">
        <v>5238</v>
      </c>
      <c r="C1221" s="12">
        <v>144</v>
      </c>
      <c r="D1221" s="2" t="s">
        <v>9</v>
      </c>
      <c r="E1221" s="2" t="s">
        <v>8</v>
      </c>
      <c r="F1221" s="1">
        <v>3108</v>
      </c>
      <c r="G1221" s="13">
        <v>4753.3262639507439</v>
      </c>
      <c r="H1221" s="14" t="b">
        <v>0</v>
      </c>
      <c r="I1221" s="15">
        <f t="shared" si="76"/>
        <v>5238</v>
      </c>
      <c r="J1221" s="15">
        <f t="shared" si="76"/>
        <v>144</v>
      </c>
      <c r="K1221" s="15">
        <f t="shared" si="77"/>
        <v>4753</v>
      </c>
      <c r="L1221" s="3" t="str">
        <f t="shared" si="78"/>
        <v>Friday</v>
      </c>
      <c r="M1221" s="4" t="str">
        <f t="shared" si="79"/>
        <v>Normal Day</v>
      </c>
      <c r="N1221" s="4" t="str">
        <f>TEXT(CleanedData[[#This Row],[DAY]], "mmm yyyy")</f>
        <v>Oct 2024</v>
      </c>
    </row>
    <row r="1222" spans="1:14" x14ac:dyDescent="0.3">
      <c r="A1222" s="5">
        <v>45570</v>
      </c>
      <c r="B1222" s="12">
        <v>1.5</v>
      </c>
      <c r="C1222" s="12">
        <v>0</v>
      </c>
      <c r="D1222" s="2" t="s">
        <v>10</v>
      </c>
      <c r="E1222" s="2" t="s">
        <v>8</v>
      </c>
      <c r="F1222" s="1">
        <v>1</v>
      </c>
      <c r="G1222" s="13">
        <v>1.3195673537289854</v>
      </c>
      <c r="H1222" s="14" t="b">
        <v>0</v>
      </c>
      <c r="I1222" s="15">
        <f t="shared" si="76"/>
        <v>2</v>
      </c>
      <c r="J1222" s="15">
        <f t="shared" si="76"/>
        <v>0</v>
      </c>
      <c r="K1222" s="15">
        <f t="shared" si="77"/>
        <v>1</v>
      </c>
      <c r="L1222" s="3" t="str">
        <f t="shared" si="78"/>
        <v>Saturday</v>
      </c>
      <c r="M1222" s="4" t="str">
        <f t="shared" si="79"/>
        <v>Normal Day</v>
      </c>
      <c r="N1222" s="4" t="str">
        <f>TEXT(CleanedData[[#This Row],[DAY]], "mmm yyyy")</f>
        <v>Oct 2024</v>
      </c>
    </row>
    <row r="1223" spans="1:14" x14ac:dyDescent="0.3">
      <c r="A1223" s="5">
        <v>45570</v>
      </c>
      <c r="B1223" s="12">
        <v>1468.5</v>
      </c>
      <c r="C1223" s="12">
        <v>78</v>
      </c>
      <c r="D1223" s="2" t="s">
        <v>6</v>
      </c>
      <c r="E1223" s="2" t="s">
        <v>8</v>
      </c>
      <c r="F1223" s="1">
        <v>948</v>
      </c>
      <c r="G1223" s="13">
        <v>1356.3912142194631</v>
      </c>
      <c r="H1223" s="14" t="b">
        <v>0</v>
      </c>
      <c r="I1223" s="15">
        <f t="shared" si="76"/>
        <v>1469</v>
      </c>
      <c r="J1223" s="15">
        <f t="shared" si="76"/>
        <v>78</v>
      </c>
      <c r="K1223" s="15">
        <f t="shared" si="77"/>
        <v>1356</v>
      </c>
      <c r="L1223" s="3" t="str">
        <f t="shared" si="78"/>
        <v>Saturday</v>
      </c>
      <c r="M1223" s="4" t="str">
        <f t="shared" si="79"/>
        <v>Normal Day</v>
      </c>
      <c r="N1223" s="4" t="str">
        <f>TEXT(CleanedData[[#This Row],[DAY]], "mmm yyyy")</f>
        <v>Oct 2024</v>
      </c>
    </row>
    <row r="1224" spans="1:14" x14ac:dyDescent="0.3">
      <c r="A1224" s="5">
        <v>45570</v>
      </c>
      <c r="B1224" s="12">
        <v>1476</v>
      </c>
      <c r="C1224" s="12">
        <v>78</v>
      </c>
      <c r="D1224" s="2" t="s">
        <v>6</v>
      </c>
      <c r="E1224" s="2" t="s">
        <v>7</v>
      </c>
      <c r="F1224" s="1">
        <v>913</v>
      </c>
      <c r="G1224" s="13">
        <v>1370.3202302852603</v>
      </c>
      <c r="H1224" s="14" t="b">
        <v>0</v>
      </c>
      <c r="I1224" s="15">
        <f t="shared" si="76"/>
        <v>1476</v>
      </c>
      <c r="J1224" s="15">
        <f t="shared" si="76"/>
        <v>78</v>
      </c>
      <c r="K1224" s="15">
        <f t="shared" si="77"/>
        <v>1370</v>
      </c>
      <c r="L1224" s="3" t="str">
        <f t="shared" si="78"/>
        <v>Saturday</v>
      </c>
      <c r="M1224" s="4" t="str">
        <f t="shared" si="79"/>
        <v>Normal Day</v>
      </c>
      <c r="N1224" s="4" t="str">
        <f>TEXT(CleanedData[[#This Row],[DAY]], "mmm yyyy")</f>
        <v>Oct 2024</v>
      </c>
    </row>
    <row r="1225" spans="1:14" x14ac:dyDescent="0.3">
      <c r="A1225" s="5">
        <v>45570</v>
      </c>
      <c r="B1225" s="12">
        <v>4860</v>
      </c>
      <c r="C1225" s="12">
        <v>99</v>
      </c>
      <c r="D1225" s="2" t="s">
        <v>9</v>
      </c>
      <c r="E1225" s="2" t="s">
        <v>8</v>
      </c>
      <c r="F1225" s="1">
        <v>3201</v>
      </c>
      <c r="G1225" s="13">
        <v>4190.504002090438</v>
      </c>
      <c r="H1225" s="14" t="b">
        <v>0</v>
      </c>
      <c r="I1225" s="15">
        <f t="shared" si="76"/>
        <v>4860</v>
      </c>
      <c r="J1225" s="15">
        <f t="shared" si="76"/>
        <v>99</v>
      </c>
      <c r="K1225" s="15">
        <f t="shared" si="77"/>
        <v>4191</v>
      </c>
      <c r="L1225" s="3" t="str">
        <f t="shared" si="78"/>
        <v>Saturday</v>
      </c>
      <c r="M1225" s="4" t="str">
        <f t="shared" si="79"/>
        <v>Normal Day</v>
      </c>
      <c r="N1225" s="4" t="str">
        <f>TEXT(CleanedData[[#This Row],[DAY]], "mmm yyyy")</f>
        <v>Oct 2024</v>
      </c>
    </row>
    <row r="1226" spans="1:14" x14ac:dyDescent="0.3">
      <c r="A1226" s="5">
        <v>45570</v>
      </c>
      <c r="B1226" s="12">
        <v>5497.5</v>
      </c>
      <c r="C1226" s="12">
        <v>355.5</v>
      </c>
      <c r="D1226" s="2" t="s">
        <v>10</v>
      </c>
      <c r="E1226" s="2" t="s">
        <v>7</v>
      </c>
      <c r="F1226" s="1">
        <v>1433</v>
      </c>
      <c r="G1226" s="13">
        <v>5492.5916325441713</v>
      </c>
      <c r="H1226" s="14" t="b">
        <v>0</v>
      </c>
      <c r="I1226" s="15">
        <f t="shared" si="76"/>
        <v>5498</v>
      </c>
      <c r="J1226" s="15">
        <f t="shared" si="76"/>
        <v>356</v>
      </c>
      <c r="K1226" s="15">
        <f t="shared" si="77"/>
        <v>5493</v>
      </c>
      <c r="L1226" s="3" t="str">
        <f t="shared" si="78"/>
        <v>Saturday</v>
      </c>
      <c r="M1226" s="4" t="str">
        <f t="shared" si="79"/>
        <v>Normal Day</v>
      </c>
      <c r="N1226" s="4" t="str">
        <f>TEXT(CleanedData[[#This Row],[DAY]], "mmm yyyy")</f>
        <v>Oct 2024</v>
      </c>
    </row>
    <row r="1227" spans="1:14" x14ac:dyDescent="0.3">
      <c r="A1227" s="5">
        <v>45571</v>
      </c>
      <c r="B1227" s="12">
        <v>1.5</v>
      </c>
      <c r="C1227" s="12">
        <v>0</v>
      </c>
      <c r="D1227" s="2" t="s">
        <v>10</v>
      </c>
      <c r="E1227" s="2" t="s">
        <v>8</v>
      </c>
      <c r="F1227" s="1">
        <v>1</v>
      </c>
      <c r="G1227" s="13">
        <v>1.2720730337389186</v>
      </c>
      <c r="H1227" s="14" t="b">
        <v>0</v>
      </c>
      <c r="I1227" s="15">
        <f t="shared" si="76"/>
        <v>2</v>
      </c>
      <c r="J1227" s="15">
        <f t="shared" si="76"/>
        <v>0</v>
      </c>
      <c r="K1227" s="15">
        <f t="shared" si="77"/>
        <v>1</v>
      </c>
      <c r="L1227" s="3" t="str">
        <f t="shared" si="78"/>
        <v>Sunday</v>
      </c>
      <c r="M1227" s="4" t="str">
        <f t="shared" si="79"/>
        <v>Normal Day</v>
      </c>
      <c r="N1227" s="4" t="str">
        <f>TEXT(CleanedData[[#This Row],[DAY]], "mmm yyyy")</f>
        <v>Oct 2024</v>
      </c>
    </row>
    <row r="1228" spans="1:14" x14ac:dyDescent="0.3">
      <c r="A1228" s="5">
        <v>45571</v>
      </c>
      <c r="B1228" s="12">
        <v>1467</v>
      </c>
      <c r="C1228" s="12">
        <v>4.5</v>
      </c>
      <c r="D1228" s="2" t="s">
        <v>6</v>
      </c>
      <c r="E1228" s="2" t="s">
        <v>7</v>
      </c>
      <c r="F1228" s="1">
        <v>449</v>
      </c>
      <c r="G1228" s="13">
        <v>1360.3203873092234</v>
      </c>
      <c r="H1228" s="14" t="b">
        <v>0</v>
      </c>
      <c r="I1228" s="15">
        <f t="shared" si="76"/>
        <v>1467</v>
      </c>
      <c r="J1228" s="15">
        <f t="shared" si="76"/>
        <v>5</v>
      </c>
      <c r="K1228" s="15">
        <f t="shared" si="77"/>
        <v>1360</v>
      </c>
      <c r="L1228" s="3" t="str">
        <f t="shared" si="78"/>
        <v>Sunday</v>
      </c>
      <c r="M1228" s="4" t="str">
        <f t="shared" si="79"/>
        <v>Normal Day</v>
      </c>
      <c r="N1228" s="4" t="str">
        <f>TEXT(CleanedData[[#This Row],[DAY]], "mmm yyyy")</f>
        <v>Oct 2024</v>
      </c>
    </row>
    <row r="1229" spans="1:14" x14ac:dyDescent="0.3">
      <c r="A1229" s="5">
        <v>45571</v>
      </c>
      <c r="B1229" s="12">
        <v>2358</v>
      </c>
      <c r="C1229" s="12">
        <v>4.5</v>
      </c>
      <c r="D1229" s="2" t="s">
        <v>6</v>
      </c>
      <c r="E1229" s="2" t="s">
        <v>8</v>
      </c>
      <c r="F1229" s="1">
        <v>351</v>
      </c>
      <c r="G1229" s="13">
        <v>2001.1483208432405</v>
      </c>
      <c r="H1229" s="14" t="b">
        <v>0</v>
      </c>
      <c r="I1229" s="15">
        <f t="shared" si="76"/>
        <v>2358</v>
      </c>
      <c r="J1229" s="15">
        <f t="shared" si="76"/>
        <v>5</v>
      </c>
      <c r="K1229" s="15">
        <f t="shared" si="77"/>
        <v>2001</v>
      </c>
      <c r="L1229" s="3" t="str">
        <f t="shared" si="78"/>
        <v>Sunday</v>
      </c>
      <c r="M1229" s="4" t="str">
        <f t="shared" si="79"/>
        <v>Normal Day</v>
      </c>
      <c r="N1229" s="4" t="str">
        <f>TEXT(CleanedData[[#This Row],[DAY]], "mmm yyyy")</f>
        <v>Oct 2024</v>
      </c>
    </row>
    <row r="1230" spans="1:14" x14ac:dyDescent="0.3">
      <c r="A1230" s="5">
        <v>45571</v>
      </c>
      <c r="B1230" s="12">
        <v>4279.5</v>
      </c>
      <c r="C1230" s="12">
        <v>7.5</v>
      </c>
      <c r="D1230" s="2" t="s">
        <v>9</v>
      </c>
      <c r="E1230" s="2" t="s">
        <v>8</v>
      </c>
      <c r="F1230" s="1">
        <v>2400</v>
      </c>
      <c r="G1230" s="13">
        <v>3604.5244963348528</v>
      </c>
      <c r="H1230" s="14" t="b">
        <v>0</v>
      </c>
      <c r="I1230" s="15">
        <f t="shared" si="76"/>
        <v>4280</v>
      </c>
      <c r="J1230" s="15">
        <f t="shared" si="76"/>
        <v>8</v>
      </c>
      <c r="K1230" s="15">
        <f t="shared" si="77"/>
        <v>3605</v>
      </c>
      <c r="L1230" s="3" t="str">
        <f t="shared" si="78"/>
        <v>Sunday</v>
      </c>
      <c r="M1230" s="4" t="str">
        <f t="shared" si="79"/>
        <v>Normal Day</v>
      </c>
      <c r="N1230" s="4" t="str">
        <f>TEXT(CleanedData[[#This Row],[DAY]], "mmm yyyy")</f>
        <v>Oct 2024</v>
      </c>
    </row>
    <row r="1231" spans="1:14" x14ac:dyDescent="0.3">
      <c r="A1231" s="5">
        <v>45571</v>
      </c>
      <c r="B1231" s="12">
        <v>5301</v>
      </c>
      <c r="C1231" s="12">
        <v>247.5</v>
      </c>
      <c r="D1231" s="2" t="s">
        <v>10</v>
      </c>
      <c r="E1231" s="2" t="s">
        <v>7</v>
      </c>
      <c r="F1231" s="1">
        <v>249</v>
      </c>
      <c r="G1231" s="13">
        <v>4954.0278851876847</v>
      </c>
      <c r="H1231" s="14" t="b">
        <v>0</v>
      </c>
      <c r="I1231" s="15">
        <f t="shared" si="76"/>
        <v>5301</v>
      </c>
      <c r="J1231" s="15">
        <f t="shared" si="76"/>
        <v>248</v>
      </c>
      <c r="K1231" s="15">
        <f t="shared" si="77"/>
        <v>4954</v>
      </c>
      <c r="L1231" s="3" t="str">
        <f t="shared" si="78"/>
        <v>Sunday</v>
      </c>
      <c r="M1231" s="4" t="str">
        <f t="shared" si="79"/>
        <v>Normal Day</v>
      </c>
      <c r="N1231" s="4" t="str">
        <f>TEXT(CleanedData[[#This Row],[DAY]], "mmm yyyy")</f>
        <v>Oct 2024</v>
      </c>
    </row>
    <row r="1232" spans="1:14" x14ac:dyDescent="0.3">
      <c r="A1232" s="5">
        <v>45572</v>
      </c>
      <c r="B1232" s="12">
        <v>1177.5</v>
      </c>
      <c r="C1232" s="12">
        <v>87</v>
      </c>
      <c r="D1232" s="2" t="s">
        <v>6</v>
      </c>
      <c r="E1232" s="2" t="s">
        <v>8</v>
      </c>
      <c r="F1232" s="1">
        <v>417</v>
      </c>
      <c r="G1232" s="13">
        <v>1014.2716733745361</v>
      </c>
      <c r="H1232" s="14" t="b">
        <v>0</v>
      </c>
      <c r="I1232" s="15">
        <f t="shared" si="76"/>
        <v>1178</v>
      </c>
      <c r="J1232" s="15">
        <f t="shared" si="76"/>
        <v>87</v>
      </c>
      <c r="K1232" s="15">
        <f t="shared" si="77"/>
        <v>1014</v>
      </c>
      <c r="L1232" s="3" t="str">
        <f t="shared" si="78"/>
        <v>Monday</v>
      </c>
      <c r="M1232" s="4" t="str">
        <f t="shared" si="79"/>
        <v>Normal Day</v>
      </c>
      <c r="N1232" s="4" t="str">
        <f>TEXT(CleanedData[[#This Row],[DAY]], "mmm yyyy")</f>
        <v>Oct 2024</v>
      </c>
    </row>
    <row r="1233" spans="1:14" x14ac:dyDescent="0.3">
      <c r="A1233" s="5">
        <v>45572</v>
      </c>
      <c r="B1233" s="12">
        <v>1290</v>
      </c>
      <c r="C1233" s="12">
        <v>87</v>
      </c>
      <c r="D1233" s="2" t="s">
        <v>6</v>
      </c>
      <c r="E1233" s="2" t="s">
        <v>7</v>
      </c>
      <c r="F1233" s="1">
        <v>199</v>
      </c>
      <c r="G1233" s="13">
        <v>1277.3138153767645</v>
      </c>
      <c r="H1233" s="14" t="b">
        <v>0</v>
      </c>
      <c r="I1233" s="15">
        <f t="shared" si="76"/>
        <v>1290</v>
      </c>
      <c r="J1233" s="15">
        <f t="shared" si="76"/>
        <v>87</v>
      </c>
      <c r="K1233" s="15">
        <f t="shared" si="77"/>
        <v>1277</v>
      </c>
      <c r="L1233" s="3" t="str">
        <f t="shared" si="78"/>
        <v>Monday</v>
      </c>
      <c r="M1233" s="4" t="str">
        <f t="shared" si="79"/>
        <v>Normal Day</v>
      </c>
      <c r="N1233" s="4" t="str">
        <f>TEXT(CleanedData[[#This Row],[DAY]], "mmm yyyy")</f>
        <v>Oct 2024</v>
      </c>
    </row>
    <row r="1234" spans="1:14" x14ac:dyDescent="0.3">
      <c r="A1234" s="5">
        <v>45572</v>
      </c>
      <c r="B1234" s="12">
        <v>4659</v>
      </c>
      <c r="C1234" s="12">
        <v>87</v>
      </c>
      <c r="D1234" s="2" t="s">
        <v>9</v>
      </c>
      <c r="E1234" s="2" t="s">
        <v>8</v>
      </c>
      <c r="F1234" s="1">
        <v>2525</v>
      </c>
      <c r="G1234" s="13">
        <v>3890.4373924231563</v>
      </c>
      <c r="H1234" s="14" t="b">
        <v>0</v>
      </c>
      <c r="I1234" s="15">
        <f t="shared" si="76"/>
        <v>4659</v>
      </c>
      <c r="J1234" s="15">
        <f t="shared" si="76"/>
        <v>87</v>
      </c>
      <c r="K1234" s="15">
        <f t="shared" si="77"/>
        <v>3890</v>
      </c>
      <c r="L1234" s="3" t="str">
        <f t="shared" si="78"/>
        <v>Monday</v>
      </c>
      <c r="M1234" s="4" t="str">
        <f t="shared" si="79"/>
        <v>Normal Day</v>
      </c>
      <c r="N1234" s="4" t="str">
        <f>TEXT(CleanedData[[#This Row],[DAY]], "mmm yyyy")</f>
        <v>Oct 2024</v>
      </c>
    </row>
    <row r="1235" spans="1:14" x14ac:dyDescent="0.3">
      <c r="A1235" s="5">
        <v>45572</v>
      </c>
      <c r="B1235" s="12">
        <v>5235</v>
      </c>
      <c r="C1235" s="12">
        <v>243</v>
      </c>
      <c r="D1235" s="2" t="s">
        <v>10</v>
      </c>
      <c r="E1235" s="2" t="s">
        <v>7</v>
      </c>
      <c r="F1235" s="1">
        <v>3321</v>
      </c>
      <c r="G1235" s="13">
        <v>4791.6659891664231</v>
      </c>
      <c r="H1235" s="14" t="b">
        <v>0</v>
      </c>
      <c r="I1235" s="15">
        <f t="shared" si="76"/>
        <v>5235</v>
      </c>
      <c r="J1235" s="15">
        <f t="shared" si="76"/>
        <v>243</v>
      </c>
      <c r="K1235" s="15">
        <f t="shared" si="77"/>
        <v>4792</v>
      </c>
      <c r="L1235" s="3" t="str">
        <f t="shared" si="78"/>
        <v>Monday</v>
      </c>
      <c r="M1235" s="4" t="str">
        <f t="shared" si="79"/>
        <v>Normal Day</v>
      </c>
      <c r="N1235" s="4" t="str">
        <f>TEXT(CleanedData[[#This Row],[DAY]], "mmm yyyy")</f>
        <v>Oct 2024</v>
      </c>
    </row>
    <row r="1236" spans="1:14" x14ac:dyDescent="0.3">
      <c r="A1236" s="5">
        <v>45573</v>
      </c>
      <c r="B1236" s="12">
        <v>1.5</v>
      </c>
      <c r="C1236" s="12">
        <v>0</v>
      </c>
      <c r="D1236" s="2" t="s">
        <v>10</v>
      </c>
      <c r="E1236" s="2" t="s">
        <v>8</v>
      </c>
      <c r="F1236" s="1">
        <v>1</v>
      </c>
      <c r="G1236" s="13">
        <v>1.2021540371216566</v>
      </c>
      <c r="H1236" s="14" t="b">
        <v>1</v>
      </c>
      <c r="I1236" s="15">
        <f t="shared" si="76"/>
        <v>2</v>
      </c>
      <c r="J1236" s="15">
        <f t="shared" si="76"/>
        <v>0</v>
      </c>
      <c r="K1236" s="15">
        <f t="shared" si="77"/>
        <v>1</v>
      </c>
      <c r="L1236" s="3" t="str">
        <f t="shared" si="78"/>
        <v>Tuesday</v>
      </c>
      <c r="M1236" s="4" t="str">
        <f t="shared" si="79"/>
        <v>Outage Day</v>
      </c>
      <c r="N1236" s="4" t="str">
        <f>TEXT(CleanedData[[#This Row],[DAY]], "mmm yyyy")</f>
        <v>Oct 2024</v>
      </c>
    </row>
    <row r="1237" spans="1:14" x14ac:dyDescent="0.3">
      <c r="A1237" s="5">
        <v>45573</v>
      </c>
      <c r="B1237" s="12">
        <v>801</v>
      </c>
      <c r="C1237" s="12">
        <v>34.5</v>
      </c>
      <c r="D1237" s="2" t="s">
        <v>6</v>
      </c>
      <c r="E1237" s="2" t="s">
        <v>7</v>
      </c>
      <c r="F1237" s="1">
        <v>153</v>
      </c>
      <c r="G1237" s="13">
        <v>766.68275067927448</v>
      </c>
      <c r="H1237" s="14" t="b">
        <v>0</v>
      </c>
      <c r="I1237" s="15">
        <f t="shared" si="76"/>
        <v>801</v>
      </c>
      <c r="J1237" s="15">
        <f t="shared" si="76"/>
        <v>35</v>
      </c>
      <c r="K1237" s="15">
        <f t="shared" si="77"/>
        <v>767</v>
      </c>
      <c r="L1237" s="3" t="str">
        <f t="shared" si="78"/>
        <v>Tuesday</v>
      </c>
      <c r="M1237" s="4" t="str">
        <f t="shared" si="79"/>
        <v>Normal Day</v>
      </c>
      <c r="N1237" s="4" t="str">
        <f>TEXT(CleanedData[[#This Row],[DAY]], "mmm yyyy")</f>
        <v>Oct 2024</v>
      </c>
    </row>
    <row r="1238" spans="1:14" x14ac:dyDescent="0.3">
      <c r="A1238" s="5">
        <v>45573</v>
      </c>
      <c r="B1238" s="12">
        <v>1153.5</v>
      </c>
      <c r="C1238" s="12">
        <v>34.5</v>
      </c>
      <c r="D1238" s="2" t="s">
        <v>6</v>
      </c>
      <c r="E1238" s="2" t="s">
        <v>8</v>
      </c>
      <c r="F1238" s="1">
        <v>138</v>
      </c>
      <c r="G1238" s="13">
        <v>1000.3405261531203</v>
      </c>
      <c r="H1238" s="14" t="b">
        <v>0</v>
      </c>
      <c r="I1238" s="15">
        <f t="shared" si="76"/>
        <v>1154</v>
      </c>
      <c r="J1238" s="15">
        <f t="shared" si="76"/>
        <v>35</v>
      </c>
      <c r="K1238" s="15">
        <f t="shared" si="77"/>
        <v>1000</v>
      </c>
      <c r="L1238" s="3" t="str">
        <f t="shared" si="78"/>
        <v>Tuesday</v>
      </c>
      <c r="M1238" s="4" t="str">
        <f t="shared" si="79"/>
        <v>Normal Day</v>
      </c>
      <c r="N1238" s="4" t="str">
        <f>TEXT(CleanedData[[#This Row],[DAY]], "mmm yyyy")</f>
        <v>Oct 2024</v>
      </c>
    </row>
    <row r="1239" spans="1:14" x14ac:dyDescent="0.3">
      <c r="A1239" s="5">
        <v>45573</v>
      </c>
      <c r="B1239" s="12">
        <v>4335</v>
      </c>
      <c r="C1239" s="12">
        <v>36</v>
      </c>
      <c r="D1239" s="2" t="s">
        <v>9</v>
      </c>
      <c r="E1239" s="2" t="s">
        <v>8</v>
      </c>
      <c r="F1239" s="1">
        <v>2861</v>
      </c>
      <c r="G1239" s="13">
        <v>3885.0044558643235</v>
      </c>
      <c r="H1239" s="14" t="b">
        <v>0</v>
      </c>
      <c r="I1239" s="15">
        <f t="shared" si="76"/>
        <v>4335</v>
      </c>
      <c r="J1239" s="15">
        <f t="shared" si="76"/>
        <v>36</v>
      </c>
      <c r="K1239" s="15">
        <f t="shared" si="77"/>
        <v>3885</v>
      </c>
      <c r="L1239" s="3" t="str">
        <f t="shared" si="78"/>
        <v>Tuesday</v>
      </c>
      <c r="M1239" s="4" t="str">
        <f t="shared" si="79"/>
        <v>Normal Day</v>
      </c>
      <c r="N1239" s="4" t="str">
        <f>TEXT(CleanedData[[#This Row],[DAY]], "mmm yyyy")</f>
        <v>Oct 2024</v>
      </c>
    </row>
    <row r="1240" spans="1:14" x14ac:dyDescent="0.3">
      <c r="A1240" s="5">
        <v>45573</v>
      </c>
      <c r="B1240" s="12">
        <v>4389</v>
      </c>
      <c r="C1240" s="12">
        <v>258</v>
      </c>
      <c r="D1240" s="2" t="s">
        <v>10</v>
      </c>
      <c r="E1240" s="2" t="s">
        <v>7</v>
      </c>
      <c r="F1240" s="1">
        <v>2731</v>
      </c>
      <c r="G1240" s="13">
        <v>4181.5868772929489</v>
      </c>
      <c r="H1240" s="14" t="b">
        <v>0</v>
      </c>
      <c r="I1240" s="15">
        <f t="shared" si="76"/>
        <v>4389</v>
      </c>
      <c r="J1240" s="15">
        <f t="shared" si="76"/>
        <v>258</v>
      </c>
      <c r="K1240" s="15">
        <f t="shared" si="77"/>
        <v>4182</v>
      </c>
      <c r="L1240" s="3" t="str">
        <f t="shared" si="78"/>
        <v>Tuesday</v>
      </c>
      <c r="M1240" s="4" t="str">
        <f t="shared" si="79"/>
        <v>Normal Day</v>
      </c>
      <c r="N1240" s="4" t="str">
        <f>TEXT(CleanedData[[#This Row],[DAY]], "mmm yyyy")</f>
        <v>Oct 2024</v>
      </c>
    </row>
    <row r="1241" spans="1:14" x14ac:dyDescent="0.3">
      <c r="A1241" s="5">
        <v>45574</v>
      </c>
      <c r="B1241" s="12">
        <v>646.5</v>
      </c>
      <c r="C1241" s="12">
        <v>24</v>
      </c>
      <c r="D1241" s="2" t="s">
        <v>6</v>
      </c>
      <c r="E1241" s="2" t="s">
        <v>7</v>
      </c>
      <c r="F1241" s="1">
        <v>395</v>
      </c>
      <c r="G1241" s="13">
        <v>620.93241452484187</v>
      </c>
      <c r="H1241" s="14" t="b">
        <v>0</v>
      </c>
      <c r="I1241" s="15">
        <f t="shared" si="76"/>
        <v>647</v>
      </c>
      <c r="J1241" s="15">
        <f t="shared" si="76"/>
        <v>24</v>
      </c>
      <c r="K1241" s="15">
        <f t="shared" si="77"/>
        <v>621</v>
      </c>
      <c r="L1241" s="3" t="str">
        <f t="shared" si="78"/>
        <v>Wednesday</v>
      </c>
      <c r="M1241" s="4" t="str">
        <f t="shared" si="79"/>
        <v>Normal Day</v>
      </c>
      <c r="N1241" s="4" t="str">
        <f>TEXT(CleanedData[[#This Row],[DAY]], "mmm yyyy")</f>
        <v>Oct 2024</v>
      </c>
    </row>
    <row r="1242" spans="1:14" x14ac:dyDescent="0.3">
      <c r="A1242" s="5">
        <v>45574</v>
      </c>
      <c r="B1242" s="12">
        <v>700.5</v>
      </c>
      <c r="C1242" s="12">
        <v>24</v>
      </c>
      <c r="D1242" s="2" t="s">
        <v>6</v>
      </c>
      <c r="E1242" s="2" t="s">
        <v>8</v>
      </c>
      <c r="F1242" s="1">
        <v>279</v>
      </c>
      <c r="G1242" s="13">
        <v>590.48959808151449</v>
      </c>
      <c r="H1242" s="14" t="b">
        <v>0</v>
      </c>
      <c r="I1242" s="15">
        <f t="shared" si="76"/>
        <v>701</v>
      </c>
      <c r="J1242" s="15">
        <f t="shared" si="76"/>
        <v>24</v>
      </c>
      <c r="K1242" s="15">
        <f t="shared" si="77"/>
        <v>590</v>
      </c>
      <c r="L1242" s="3" t="str">
        <f t="shared" si="78"/>
        <v>Wednesday</v>
      </c>
      <c r="M1242" s="4" t="str">
        <f t="shared" si="79"/>
        <v>Normal Day</v>
      </c>
      <c r="N1242" s="4" t="str">
        <f>TEXT(CleanedData[[#This Row],[DAY]], "mmm yyyy")</f>
        <v>Oct 2024</v>
      </c>
    </row>
    <row r="1243" spans="1:14" x14ac:dyDescent="0.3">
      <c r="A1243" s="5">
        <v>45574</v>
      </c>
      <c r="B1243" s="12">
        <v>4182</v>
      </c>
      <c r="C1243" s="12">
        <v>168</v>
      </c>
      <c r="D1243" s="2" t="s">
        <v>9</v>
      </c>
      <c r="E1243" s="2" t="s">
        <v>8</v>
      </c>
      <c r="F1243" s="1">
        <v>2018</v>
      </c>
      <c r="G1243" s="13">
        <v>3722.5051347139974</v>
      </c>
      <c r="H1243" s="14" t="b">
        <v>0</v>
      </c>
      <c r="I1243" s="15">
        <f t="shared" si="76"/>
        <v>4182</v>
      </c>
      <c r="J1243" s="15">
        <f t="shared" si="76"/>
        <v>168</v>
      </c>
      <c r="K1243" s="15">
        <f t="shared" si="77"/>
        <v>3723</v>
      </c>
      <c r="L1243" s="3" t="str">
        <f t="shared" si="78"/>
        <v>Wednesday</v>
      </c>
      <c r="M1243" s="4" t="str">
        <f t="shared" si="79"/>
        <v>Normal Day</v>
      </c>
      <c r="N1243" s="4" t="str">
        <f>TEXT(CleanedData[[#This Row],[DAY]], "mmm yyyy")</f>
        <v>Oct 2024</v>
      </c>
    </row>
    <row r="1244" spans="1:14" x14ac:dyDescent="0.3">
      <c r="A1244" s="5">
        <v>45574</v>
      </c>
      <c r="B1244" s="12">
        <v>5923.5</v>
      </c>
      <c r="C1244" s="12">
        <v>66</v>
      </c>
      <c r="D1244" s="2" t="s">
        <v>10</v>
      </c>
      <c r="E1244" s="2" t="s">
        <v>7</v>
      </c>
      <c r="F1244" s="1">
        <v>3060</v>
      </c>
      <c r="G1244" s="13">
        <v>5556.5883747074713</v>
      </c>
      <c r="H1244" s="14" t="b">
        <v>0</v>
      </c>
      <c r="I1244" s="15">
        <f t="shared" si="76"/>
        <v>5924</v>
      </c>
      <c r="J1244" s="15">
        <f t="shared" si="76"/>
        <v>66</v>
      </c>
      <c r="K1244" s="15">
        <f t="shared" si="77"/>
        <v>5557</v>
      </c>
      <c r="L1244" s="3" t="str">
        <f t="shared" si="78"/>
        <v>Wednesday</v>
      </c>
      <c r="M1244" s="4" t="str">
        <f t="shared" si="79"/>
        <v>Normal Day</v>
      </c>
      <c r="N1244" s="4" t="str">
        <f>TEXT(CleanedData[[#This Row],[DAY]], "mmm yyyy")</f>
        <v>Oct 2024</v>
      </c>
    </row>
    <row r="1245" spans="1:14" x14ac:dyDescent="0.3">
      <c r="A1245" s="5">
        <v>45575</v>
      </c>
      <c r="B1245" s="12">
        <v>465</v>
      </c>
      <c r="C1245" s="12">
        <v>30</v>
      </c>
      <c r="D1245" s="2" t="s">
        <v>6</v>
      </c>
      <c r="E1245" s="2" t="s">
        <v>8</v>
      </c>
      <c r="F1245" s="1">
        <v>106</v>
      </c>
      <c r="G1245" s="13">
        <v>412.97690241879644</v>
      </c>
      <c r="H1245" s="14" t="b">
        <v>0</v>
      </c>
      <c r="I1245" s="15">
        <f t="shared" si="76"/>
        <v>465</v>
      </c>
      <c r="J1245" s="15">
        <f t="shared" si="76"/>
        <v>30</v>
      </c>
      <c r="K1245" s="15">
        <f t="shared" si="77"/>
        <v>413</v>
      </c>
      <c r="L1245" s="3" t="str">
        <f t="shared" si="78"/>
        <v>Thursday</v>
      </c>
      <c r="M1245" s="4" t="str">
        <f t="shared" si="79"/>
        <v>Normal Day</v>
      </c>
      <c r="N1245" s="4" t="str">
        <f>TEXT(CleanedData[[#This Row],[DAY]], "mmm yyyy")</f>
        <v>Oct 2024</v>
      </c>
    </row>
    <row r="1246" spans="1:14" x14ac:dyDescent="0.3">
      <c r="A1246" s="5">
        <v>45575</v>
      </c>
      <c r="B1246" s="12">
        <v>708</v>
      </c>
      <c r="C1246" s="12">
        <v>30</v>
      </c>
      <c r="D1246" s="2" t="s">
        <v>6</v>
      </c>
      <c r="E1246" s="2" t="s">
        <v>7</v>
      </c>
      <c r="F1246" s="1">
        <v>331</v>
      </c>
      <c r="G1246" s="13">
        <v>643.17682907381902</v>
      </c>
      <c r="H1246" s="14" t="b">
        <v>0</v>
      </c>
      <c r="I1246" s="15">
        <f t="shared" si="76"/>
        <v>708</v>
      </c>
      <c r="J1246" s="15">
        <f t="shared" si="76"/>
        <v>30</v>
      </c>
      <c r="K1246" s="15">
        <f t="shared" si="77"/>
        <v>643</v>
      </c>
      <c r="L1246" s="3" t="str">
        <f t="shared" si="78"/>
        <v>Thursday</v>
      </c>
      <c r="M1246" s="4" t="str">
        <f t="shared" si="79"/>
        <v>Normal Day</v>
      </c>
      <c r="N1246" s="4" t="str">
        <f>TEXT(CleanedData[[#This Row],[DAY]], "mmm yyyy")</f>
        <v>Oct 2024</v>
      </c>
    </row>
    <row r="1247" spans="1:14" x14ac:dyDescent="0.3">
      <c r="A1247" s="5">
        <v>45575</v>
      </c>
      <c r="B1247" s="12">
        <v>3888</v>
      </c>
      <c r="C1247" s="12">
        <v>165</v>
      </c>
      <c r="D1247" s="2" t="s">
        <v>9</v>
      </c>
      <c r="E1247" s="2" t="s">
        <v>8</v>
      </c>
      <c r="F1247" s="1">
        <v>2008</v>
      </c>
      <c r="G1247" s="13">
        <v>3466.2057039803581</v>
      </c>
      <c r="H1247" s="14" t="b">
        <v>0</v>
      </c>
      <c r="I1247" s="15">
        <f t="shared" si="76"/>
        <v>3888</v>
      </c>
      <c r="J1247" s="15">
        <f t="shared" si="76"/>
        <v>165</v>
      </c>
      <c r="K1247" s="15">
        <f t="shared" si="77"/>
        <v>3466</v>
      </c>
      <c r="L1247" s="3" t="str">
        <f t="shared" si="78"/>
        <v>Thursday</v>
      </c>
      <c r="M1247" s="4" t="str">
        <f t="shared" si="79"/>
        <v>Normal Day</v>
      </c>
      <c r="N1247" s="4" t="str">
        <f>TEXT(CleanedData[[#This Row],[DAY]], "mmm yyyy")</f>
        <v>Oct 2024</v>
      </c>
    </row>
    <row r="1248" spans="1:14" x14ac:dyDescent="0.3">
      <c r="A1248" s="5">
        <v>45575</v>
      </c>
      <c r="B1248" s="12">
        <v>5631</v>
      </c>
      <c r="C1248" s="12">
        <v>379.5</v>
      </c>
      <c r="D1248" s="2" t="s">
        <v>10</v>
      </c>
      <c r="E1248" s="2" t="s">
        <v>7</v>
      </c>
      <c r="F1248" s="1">
        <v>763</v>
      </c>
      <c r="G1248" s="13">
        <v>5558.195445935663</v>
      </c>
      <c r="H1248" s="14" t="b">
        <v>0</v>
      </c>
      <c r="I1248" s="15">
        <f t="shared" si="76"/>
        <v>5631</v>
      </c>
      <c r="J1248" s="15">
        <f t="shared" si="76"/>
        <v>380</v>
      </c>
      <c r="K1248" s="15">
        <f t="shared" si="77"/>
        <v>5558</v>
      </c>
      <c r="L1248" s="3" t="str">
        <f t="shared" si="78"/>
        <v>Thursday</v>
      </c>
      <c r="M1248" s="4" t="str">
        <f t="shared" si="79"/>
        <v>Normal Day</v>
      </c>
      <c r="N1248" s="4" t="str">
        <f>TEXT(CleanedData[[#This Row],[DAY]], "mmm yyyy")</f>
        <v>Oct 2024</v>
      </c>
    </row>
    <row r="1249" spans="1:14" x14ac:dyDescent="0.3">
      <c r="A1249" s="5">
        <v>45576</v>
      </c>
      <c r="B1249" s="12">
        <v>1.5</v>
      </c>
      <c r="C1249" s="12">
        <v>0</v>
      </c>
      <c r="D1249" s="2" t="s">
        <v>10</v>
      </c>
      <c r="E1249" s="2" t="s">
        <v>8</v>
      </c>
      <c r="F1249" s="1">
        <v>1</v>
      </c>
      <c r="G1249" s="13">
        <v>1.3184252503006513</v>
      </c>
      <c r="H1249" s="14" t="b">
        <v>0</v>
      </c>
      <c r="I1249" s="15">
        <f t="shared" si="76"/>
        <v>2</v>
      </c>
      <c r="J1249" s="15">
        <f t="shared" si="76"/>
        <v>0</v>
      </c>
      <c r="K1249" s="15">
        <f t="shared" si="77"/>
        <v>1</v>
      </c>
      <c r="L1249" s="3" t="str">
        <f t="shared" si="78"/>
        <v>Friday</v>
      </c>
      <c r="M1249" s="4" t="str">
        <f t="shared" si="79"/>
        <v>Normal Day</v>
      </c>
      <c r="N1249" s="4" t="str">
        <f>TEXT(CleanedData[[#This Row],[DAY]], "mmm yyyy")</f>
        <v>Oct 2024</v>
      </c>
    </row>
    <row r="1250" spans="1:14" x14ac:dyDescent="0.3">
      <c r="A1250" s="5">
        <v>45576</v>
      </c>
      <c r="B1250" s="12">
        <v>477</v>
      </c>
      <c r="C1250" s="12">
        <v>42</v>
      </c>
      <c r="D1250" s="2" t="s">
        <v>6</v>
      </c>
      <c r="E1250" s="2" t="s">
        <v>8</v>
      </c>
      <c r="F1250" s="1">
        <v>300</v>
      </c>
      <c r="G1250" s="13">
        <v>415.3185145361432</v>
      </c>
      <c r="H1250" s="14" t="b">
        <v>1</v>
      </c>
      <c r="I1250" s="15">
        <f t="shared" si="76"/>
        <v>477</v>
      </c>
      <c r="J1250" s="15">
        <f t="shared" si="76"/>
        <v>42</v>
      </c>
      <c r="K1250" s="15">
        <f t="shared" si="77"/>
        <v>415</v>
      </c>
      <c r="L1250" s="3" t="str">
        <f t="shared" si="78"/>
        <v>Friday</v>
      </c>
      <c r="M1250" s="4" t="str">
        <f t="shared" si="79"/>
        <v>Outage Day</v>
      </c>
      <c r="N1250" s="4" t="str">
        <f>TEXT(CleanedData[[#This Row],[DAY]], "mmm yyyy")</f>
        <v>Oct 2024</v>
      </c>
    </row>
    <row r="1251" spans="1:14" x14ac:dyDescent="0.3">
      <c r="A1251" s="5">
        <v>45576</v>
      </c>
      <c r="B1251" s="12">
        <v>873</v>
      </c>
      <c r="C1251" s="12">
        <v>42</v>
      </c>
      <c r="D1251" s="2" t="s">
        <v>6</v>
      </c>
      <c r="E1251" s="2" t="s">
        <v>7</v>
      </c>
      <c r="F1251" s="1">
        <v>496</v>
      </c>
      <c r="G1251" s="13">
        <v>799.77839256000266</v>
      </c>
      <c r="H1251" s="14" t="b">
        <v>1</v>
      </c>
      <c r="I1251" s="15">
        <f t="shared" si="76"/>
        <v>873</v>
      </c>
      <c r="J1251" s="15">
        <f t="shared" si="76"/>
        <v>42</v>
      </c>
      <c r="K1251" s="15">
        <f t="shared" si="77"/>
        <v>800</v>
      </c>
      <c r="L1251" s="3" t="str">
        <f t="shared" si="78"/>
        <v>Friday</v>
      </c>
      <c r="M1251" s="4" t="str">
        <f t="shared" si="79"/>
        <v>Outage Day</v>
      </c>
      <c r="N1251" s="4" t="str">
        <f>TEXT(CleanedData[[#This Row],[DAY]], "mmm yyyy")</f>
        <v>Oct 2024</v>
      </c>
    </row>
    <row r="1252" spans="1:14" x14ac:dyDescent="0.3">
      <c r="A1252" s="5">
        <v>45576</v>
      </c>
      <c r="B1252" s="12">
        <v>5392.5</v>
      </c>
      <c r="C1252" s="12">
        <v>223.5</v>
      </c>
      <c r="D1252" s="2" t="s">
        <v>9</v>
      </c>
      <c r="E1252" s="2" t="s">
        <v>8</v>
      </c>
      <c r="F1252" s="1">
        <v>960</v>
      </c>
      <c r="G1252" s="13">
        <v>4667.5614471730187</v>
      </c>
      <c r="H1252" s="14" t="b">
        <v>0</v>
      </c>
      <c r="I1252" s="15">
        <f t="shared" si="76"/>
        <v>5393</v>
      </c>
      <c r="J1252" s="15">
        <f t="shared" si="76"/>
        <v>224</v>
      </c>
      <c r="K1252" s="15">
        <f t="shared" si="77"/>
        <v>4668</v>
      </c>
      <c r="L1252" s="3" t="str">
        <f t="shared" si="78"/>
        <v>Friday</v>
      </c>
      <c r="M1252" s="4" t="str">
        <f t="shared" si="79"/>
        <v>Normal Day</v>
      </c>
      <c r="N1252" s="4" t="str">
        <f>TEXT(CleanedData[[#This Row],[DAY]], "mmm yyyy")</f>
        <v>Oct 2024</v>
      </c>
    </row>
    <row r="1253" spans="1:14" x14ac:dyDescent="0.3">
      <c r="A1253" s="5">
        <v>45576</v>
      </c>
      <c r="B1253" s="12">
        <v>6153</v>
      </c>
      <c r="C1253" s="12">
        <v>55.5</v>
      </c>
      <c r="D1253" s="2" t="s">
        <v>10</v>
      </c>
      <c r="E1253" s="2" t="s">
        <v>7</v>
      </c>
      <c r="F1253" s="1">
        <v>3480</v>
      </c>
      <c r="G1253" s="13">
        <v>5449.1263107818695</v>
      </c>
      <c r="H1253" s="14" t="b">
        <v>0</v>
      </c>
      <c r="I1253" s="15">
        <f t="shared" si="76"/>
        <v>6153</v>
      </c>
      <c r="J1253" s="15">
        <f t="shared" si="76"/>
        <v>56</v>
      </c>
      <c r="K1253" s="15">
        <f t="shared" si="77"/>
        <v>5449</v>
      </c>
      <c r="L1253" s="3" t="str">
        <f t="shared" si="78"/>
        <v>Friday</v>
      </c>
      <c r="M1253" s="4" t="str">
        <f t="shared" si="79"/>
        <v>Normal Day</v>
      </c>
      <c r="N1253" s="4" t="str">
        <f>TEXT(CleanedData[[#This Row],[DAY]], "mmm yyyy")</f>
        <v>Oct 2024</v>
      </c>
    </row>
    <row r="1254" spans="1:14" x14ac:dyDescent="0.3">
      <c r="A1254" s="5">
        <v>45577</v>
      </c>
      <c r="B1254" s="12">
        <v>1.5</v>
      </c>
      <c r="C1254" s="12">
        <v>0</v>
      </c>
      <c r="D1254" s="2" t="s">
        <v>10</v>
      </c>
      <c r="E1254" s="2" t="s">
        <v>8</v>
      </c>
      <c r="F1254" s="1">
        <v>1</v>
      </c>
      <c r="G1254" s="13">
        <v>1.3037194847361255</v>
      </c>
      <c r="H1254" s="14" t="b">
        <v>0</v>
      </c>
      <c r="I1254" s="15">
        <f t="shared" si="76"/>
        <v>2</v>
      </c>
      <c r="J1254" s="15">
        <f t="shared" si="76"/>
        <v>0</v>
      </c>
      <c r="K1254" s="15">
        <f t="shared" si="77"/>
        <v>1</v>
      </c>
      <c r="L1254" s="3" t="str">
        <f t="shared" si="78"/>
        <v>Saturday</v>
      </c>
      <c r="M1254" s="4" t="str">
        <f t="shared" si="79"/>
        <v>Normal Day</v>
      </c>
      <c r="N1254" s="4" t="str">
        <f>TEXT(CleanedData[[#This Row],[DAY]], "mmm yyyy")</f>
        <v>Oct 2024</v>
      </c>
    </row>
    <row r="1255" spans="1:14" x14ac:dyDescent="0.3">
      <c r="A1255" s="5">
        <v>45577</v>
      </c>
      <c r="B1255" s="12">
        <v>1864.5</v>
      </c>
      <c r="C1255" s="12">
        <v>105</v>
      </c>
      <c r="D1255" s="2" t="s">
        <v>6</v>
      </c>
      <c r="E1255" s="2" t="s">
        <v>7</v>
      </c>
      <c r="F1255" s="1">
        <v>216</v>
      </c>
      <c r="G1255" s="13">
        <v>1850.7779722855175</v>
      </c>
      <c r="H1255" s="14" t="b">
        <v>0</v>
      </c>
      <c r="I1255" s="15">
        <f t="shared" si="76"/>
        <v>1865</v>
      </c>
      <c r="J1255" s="15">
        <f t="shared" si="76"/>
        <v>105</v>
      </c>
      <c r="K1255" s="15">
        <f t="shared" si="77"/>
        <v>1851</v>
      </c>
      <c r="L1255" s="3" t="str">
        <f t="shared" si="78"/>
        <v>Saturday</v>
      </c>
      <c r="M1255" s="4" t="str">
        <f t="shared" si="79"/>
        <v>Normal Day</v>
      </c>
      <c r="N1255" s="4" t="str">
        <f>TEXT(CleanedData[[#This Row],[DAY]], "mmm yyyy")</f>
        <v>Oct 2024</v>
      </c>
    </row>
    <row r="1256" spans="1:14" x14ac:dyDescent="0.3">
      <c r="A1256" s="5">
        <v>45577</v>
      </c>
      <c r="B1256" s="12">
        <v>2106</v>
      </c>
      <c r="C1256" s="12">
        <v>105</v>
      </c>
      <c r="D1256" s="2" t="s">
        <v>6</v>
      </c>
      <c r="E1256" s="2" t="s">
        <v>8</v>
      </c>
      <c r="F1256" s="1">
        <v>924</v>
      </c>
      <c r="G1256" s="13">
        <v>1952.2182550412281</v>
      </c>
      <c r="H1256" s="14" t="b">
        <v>0</v>
      </c>
      <c r="I1256" s="15">
        <f t="shared" si="76"/>
        <v>2106</v>
      </c>
      <c r="J1256" s="15">
        <f t="shared" si="76"/>
        <v>105</v>
      </c>
      <c r="K1256" s="15">
        <f t="shared" si="77"/>
        <v>1952</v>
      </c>
      <c r="L1256" s="3" t="str">
        <f t="shared" si="78"/>
        <v>Saturday</v>
      </c>
      <c r="M1256" s="4" t="str">
        <f t="shared" si="79"/>
        <v>Normal Day</v>
      </c>
      <c r="N1256" s="4" t="str">
        <f>TEXT(CleanedData[[#This Row],[DAY]], "mmm yyyy")</f>
        <v>Oct 2024</v>
      </c>
    </row>
    <row r="1257" spans="1:14" x14ac:dyDescent="0.3">
      <c r="A1257" s="5">
        <v>45577</v>
      </c>
      <c r="B1257" s="12">
        <v>2346</v>
      </c>
      <c r="C1257" s="12">
        <v>82.5</v>
      </c>
      <c r="D1257" s="2" t="s">
        <v>9</v>
      </c>
      <c r="E1257" s="2" t="s">
        <v>8</v>
      </c>
      <c r="F1257" s="1">
        <v>1034</v>
      </c>
      <c r="G1257" s="13">
        <v>2137.8420707743035</v>
      </c>
      <c r="H1257" s="14" t="b">
        <v>0</v>
      </c>
      <c r="I1257" s="15">
        <f t="shared" si="76"/>
        <v>2346</v>
      </c>
      <c r="J1257" s="15">
        <f t="shared" si="76"/>
        <v>83</v>
      </c>
      <c r="K1257" s="15">
        <f t="shared" si="77"/>
        <v>2138</v>
      </c>
      <c r="L1257" s="3" t="str">
        <f t="shared" si="78"/>
        <v>Saturday</v>
      </c>
      <c r="M1257" s="4" t="str">
        <f t="shared" si="79"/>
        <v>Normal Day</v>
      </c>
      <c r="N1257" s="4" t="str">
        <f>TEXT(CleanedData[[#This Row],[DAY]], "mmm yyyy")</f>
        <v>Oct 2024</v>
      </c>
    </row>
    <row r="1258" spans="1:14" x14ac:dyDescent="0.3">
      <c r="A1258" s="5">
        <v>45577</v>
      </c>
      <c r="B1258" s="12">
        <v>5721</v>
      </c>
      <c r="C1258" s="12">
        <v>84</v>
      </c>
      <c r="D1258" s="2" t="s">
        <v>10</v>
      </c>
      <c r="E1258" s="2" t="s">
        <v>7</v>
      </c>
      <c r="F1258" s="1">
        <v>2185</v>
      </c>
      <c r="G1258" s="13">
        <v>5122.8381158144548</v>
      </c>
      <c r="H1258" s="14" t="b">
        <v>0</v>
      </c>
      <c r="I1258" s="15">
        <f t="shared" si="76"/>
        <v>5721</v>
      </c>
      <c r="J1258" s="15">
        <f t="shared" si="76"/>
        <v>84</v>
      </c>
      <c r="K1258" s="15">
        <f t="shared" si="77"/>
        <v>5123</v>
      </c>
      <c r="L1258" s="3" t="str">
        <f t="shared" si="78"/>
        <v>Saturday</v>
      </c>
      <c r="M1258" s="4" t="str">
        <f t="shared" si="79"/>
        <v>Normal Day</v>
      </c>
      <c r="N1258" s="4" t="str">
        <f>TEXT(CleanedData[[#This Row],[DAY]], "mmm yyyy")</f>
        <v>Oct 2024</v>
      </c>
    </row>
    <row r="1259" spans="1:14" x14ac:dyDescent="0.3">
      <c r="A1259" s="5">
        <v>45578</v>
      </c>
      <c r="B1259" s="12">
        <v>1.5</v>
      </c>
      <c r="C1259" s="12">
        <v>0</v>
      </c>
      <c r="D1259" s="2" t="s">
        <v>10</v>
      </c>
      <c r="E1259" s="2" t="s">
        <v>8</v>
      </c>
      <c r="F1259" s="1">
        <v>1</v>
      </c>
      <c r="G1259" s="13">
        <v>1.2991714679370434</v>
      </c>
      <c r="H1259" s="14" t="b">
        <v>0</v>
      </c>
      <c r="I1259" s="15">
        <f t="shared" si="76"/>
        <v>2</v>
      </c>
      <c r="J1259" s="15">
        <f t="shared" si="76"/>
        <v>0</v>
      </c>
      <c r="K1259" s="15">
        <f t="shared" si="77"/>
        <v>1</v>
      </c>
      <c r="L1259" s="3" t="str">
        <f t="shared" si="78"/>
        <v>Sunday</v>
      </c>
      <c r="M1259" s="4" t="str">
        <f t="shared" si="79"/>
        <v>Normal Day</v>
      </c>
      <c r="N1259" s="4" t="str">
        <f>TEXT(CleanedData[[#This Row],[DAY]], "mmm yyyy")</f>
        <v>Oct 2024</v>
      </c>
    </row>
    <row r="1260" spans="1:14" x14ac:dyDescent="0.3">
      <c r="A1260" s="5">
        <v>45578</v>
      </c>
      <c r="B1260" s="12">
        <v>1065</v>
      </c>
      <c r="C1260" s="12">
        <v>73.5</v>
      </c>
      <c r="D1260" s="2" t="s">
        <v>6</v>
      </c>
      <c r="E1260" s="2" t="s">
        <v>7</v>
      </c>
      <c r="F1260" s="1">
        <v>464</v>
      </c>
      <c r="G1260" s="13">
        <v>1018.3309329347732</v>
      </c>
      <c r="H1260" s="14" t="b">
        <v>0</v>
      </c>
      <c r="I1260" s="15">
        <f t="shared" si="76"/>
        <v>1065</v>
      </c>
      <c r="J1260" s="15">
        <f t="shared" si="76"/>
        <v>74</v>
      </c>
      <c r="K1260" s="15">
        <f t="shared" si="77"/>
        <v>1018</v>
      </c>
      <c r="L1260" s="3" t="str">
        <f t="shared" si="78"/>
        <v>Sunday</v>
      </c>
      <c r="M1260" s="4" t="str">
        <f t="shared" si="79"/>
        <v>Normal Day</v>
      </c>
      <c r="N1260" s="4" t="str">
        <f>TEXT(CleanedData[[#This Row],[DAY]], "mmm yyyy")</f>
        <v>Oct 2024</v>
      </c>
    </row>
    <row r="1261" spans="1:14" x14ac:dyDescent="0.3">
      <c r="A1261" s="5">
        <v>45578</v>
      </c>
      <c r="B1261" s="12">
        <v>1177.5</v>
      </c>
      <c r="C1261" s="12">
        <v>73.5</v>
      </c>
      <c r="D1261" s="2" t="s">
        <v>6</v>
      </c>
      <c r="E1261" s="2" t="s">
        <v>8</v>
      </c>
      <c r="F1261" s="1">
        <v>673</v>
      </c>
      <c r="G1261" s="13">
        <v>1008.3812697386005</v>
      </c>
      <c r="H1261" s="14" t="b">
        <v>0</v>
      </c>
      <c r="I1261" s="15">
        <f t="shared" si="76"/>
        <v>1178</v>
      </c>
      <c r="J1261" s="15">
        <f t="shared" si="76"/>
        <v>74</v>
      </c>
      <c r="K1261" s="15">
        <f t="shared" si="77"/>
        <v>1008</v>
      </c>
      <c r="L1261" s="3" t="str">
        <f t="shared" si="78"/>
        <v>Sunday</v>
      </c>
      <c r="M1261" s="4" t="str">
        <f t="shared" si="79"/>
        <v>Normal Day</v>
      </c>
      <c r="N1261" s="4" t="str">
        <f>TEXT(CleanedData[[#This Row],[DAY]], "mmm yyyy")</f>
        <v>Oct 2024</v>
      </c>
    </row>
    <row r="1262" spans="1:14" x14ac:dyDescent="0.3">
      <c r="A1262" s="5">
        <v>45578</v>
      </c>
      <c r="B1262" s="12">
        <v>4369.5</v>
      </c>
      <c r="C1262" s="12">
        <v>87</v>
      </c>
      <c r="D1262" s="2" t="s">
        <v>9</v>
      </c>
      <c r="E1262" s="2" t="s">
        <v>8</v>
      </c>
      <c r="F1262" s="1">
        <v>410</v>
      </c>
      <c r="G1262" s="13">
        <v>3674.6242004462933</v>
      </c>
      <c r="H1262" s="14" t="b">
        <v>0</v>
      </c>
      <c r="I1262" s="15">
        <f t="shared" si="76"/>
        <v>4370</v>
      </c>
      <c r="J1262" s="15">
        <f t="shared" si="76"/>
        <v>87</v>
      </c>
      <c r="K1262" s="15">
        <f t="shared" si="77"/>
        <v>3675</v>
      </c>
      <c r="L1262" s="3" t="str">
        <f t="shared" si="78"/>
        <v>Sunday</v>
      </c>
      <c r="M1262" s="4" t="str">
        <f t="shared" si="79"/>
        <v>Normal Day</v>
      </c>
      <c r="N1262" s="4" t="str">
        <f>TEXT(CleanedData[[#This Row],[DAY]], "mmm yyyy")</f>
        <v>Oct 2024</v>
      </c>
    </row>
    <row r="1263" spans="1:14" x14ac:dyDescent="0.3">
      <c r="A1263" s="5">
        <v>45578</v>
      </c>
      <c r="B1263" s="12">
        <v>6888</v>
      </c>
      <c r="C1263" s="12">
        <v>183</v>
      </c>
      <c r="D1263" s="2" t="s">
        <v>10</v>
      </c>
      <c r="E1263" s="2" t="s">
        <v>7</v>
      </c>
      <c r="F1263" s="1">
        <v>4411</v>
      </c>
      <c r="G1263" s="13">
        <v>6415.438902380597</v>
      </c>
      <c r="H1263" s="14" t="b">
        <v>0</v>
      </c>
      <c r="I1263" s="15">
        <f t="shared" si="76"/>
        <v>6888</v>
      </c>
      <c r="J1263" s="15">
        <f t="shared" si="76"/>
        <v>183</v>
      </c>
      <c r="K1263" s="15">
        <f t="shared" si="77"/>
        <v>6415</v>
      </c>
      <c r="L1263" s="3" t="str">
        <f t="shared" si="78"/>
        <v>Sunday</v>
      </c>
      <c r="M1263" s="4" t="str">
        <f t="shared" si="79"/>
        <v>Normal Day</v>
      </c>
      <c r="N1263" s="4" t="str">
        <f>TEXT(CleanedData[[#This Row],[DAY]], "mmm yyyy")</f>
        <v>Oct 2024</v>
      </c>
    </row>
    <row r="1264" spans="1:14" x14ac:dyDescent="0.3">
      <c r="A1264" s="5">
        <v>45579</v>
      </c>
      <c r="B1264" s="12">
        <v>1.5</v>
      </c>
      <c r="C1264" s="12">
        <v>0</v>
      </c>
      <c r="D1264" s="2" t="s">
        <v>9</v>
      </c>
      <c r="E1264" s="2" t="s">
        <v>7</v>
      </c>
      <c r="F1264" s="1">
        <v>1</v>
      </c>
      <c r="G1264" s="13">
        <v>1.38549912428844</v>
      </c>
      <c r="H1264" s="14" t="b">
        <v>0</v>
      </c>
      <c r="I1264" s="15">
        <f t="shared" si="76"/>
        <v>2</v>
      </c>
      <c r="J1264" s="15">
        <f t="shared" si="76"/>
        <v>0</v>
      </c>
      <c r="K1264" s="15">
        <f t="shared" si="77"/>
        <v>1</v>
      </c>
      <c r="L1264" s="3" t="str">
        <f t="shared" si="78"/>
        <v>Monday</v>
      </c>
      <c r="M1264" s="4" t="str">
        <f t="shared" si="79"/>
        <v>Normal Day</v>
      </c>
      <c r="N1264" s="4" t="str">
        <f>TEXT(CleanedData[[#This Row],[DAY]], "mmm yyyy")</f>
        <v>Oct 2024</v>
      </c>
    </row>
    <row r="1265" spans="1:14" x14ac:dyDescent="0.3">
      <c r="A1265" s="5">
        <v>45579</v>
      </c>
      <c r="B1265" s="12">
        <v>570</v>
      </c>
      <c r="C1265" s="12">
        <v>39</v>
      </c>
      <c r="D1265" s="2" t="s">
        <v>6</v>
      </c>
      <c r="E1265" s="2" t="s">
        <v>7</v>
      </c>
      <c r="F1265" s="1">
        <v>209</v>
      </c>
      <c r="G1265" s="13">
        <v>566.59669863055944</v>
      </c>
      <c r="H1265" s="14" t="b">
        <v>0</v>
      </c>
      <c r="I1265" s="15">
        <f t="shared" si="76"/>
        <v>570</v>
      </c>
      <c r="J1265" s="15">
        <f t="shared" si="76"/>
        <v>39</v>
      </c>
      <c r="K1265" s="15">
        <f t="shared" si="77"/>
        <v>567</v>
      </c>
      <c r="L1265" s="3" t="str">
        <f t="shared" si="78"/>
        <v>Monday</v>
      </c>
      <c r="M1265" s="4" t="str">
        <f t="shared" si="79"/>
        <v>Normal Day</v>
      </c>
      <c r="N1265" s="4" t="str">
        <f>TEXT(CleanedData[[#This Row],[DAY]], "mmm yyyy")</f>
        <v>Oct 2024</v>
      </c>
    </row>
    <row r="1266" spans="1:14" x14ac:dyDescent="0.3">
      <c r="A1266" s="5">
        <v>45579</v>
      </c>
      <c r="B1266" s="12">
        <v>711</v>
      </c>
      <c r="C1266" s="12">
        <v>39</v>
      </c>
      <c r="D1266" s="2" t="s">
        <v>6</v>
      </c>
      <c r="E1266" s="2" t="s">
        <v>8</v>
      </c>
      <c r="F1266" s="1">
        <v>347</v>
      </c>
      <c r="G1266" s="13">
        <v>656.34444536612466</v>
      </c>
      <c r="H1266" s="14" t="b">
        <v>0</v>
      </c>
      <c r="I1266" s="15">
        <f t="shared" si="76"/>
        <v>711</v>
      </c>
      <c r="J1266" s="15">
        <f t="shared" si="76"/>
        <v>39</v>
      </c>
      <c r="K1266" s="15">
        <f t="shared" si="77"/>
        <v>656</v>
      </c>
      <c r="L1266" s="3" t="str">
        <f t="shared" si="78"/>
        <v>Monday</v>
      </c>
      <c r="M1266" s="4" t="str">
        <f t="shared" si="79"/>
        <v>Normal Day</v>
      </c>
      <c r="N1266" s="4" t="str">
        <f>TEXT(CleanedData[[#This Row],[DAY]], "mmm yyyy")</f>
        <v>Oct 2024</v>
      </c>
    </row>
    <row r="1267" spans="1:14" x14ac:dyDescent="0.3">
      <c r="A1267" s="5">
        <v>45579</v>
      </c>
      <c r="B1267" s="12">
        <v>5139</v>
      </c>
      <c r="C1267" s="12">
        <v>169.5</v>
      </c>
      <c r="D1267" s="2" t="s">
        <v>9</v>
      </c>
      <c r="E1267" s="2" t="s">
        <v>8</v>
      </c>
      <c r="F1267" s="1">
        <v>1977</v>
      </c>
      <c r="G1267" s="13">
        <v>4407.1535470596855</v>
      </c>
      <c r="H1267" s="14" t="b">
        <v>0</v>
      </c>
      <c r="I1267" s="15">
        <f t="shared" si="76"/>
        <v>5139</v>
      </c>
      <c r="J1267" s="15">
        <f t="shared" si="76"/>
        <v>170</v>
      </c>
      <c r="K1267" s="15">
        <f t="shared" si="77"/>
        <v>4407</v>
      </c>
      <c r="L1267" s="3" t="str">
        <f t="shared" si="78"/>
        <v>Monday</v>
      </c>
      <c r="M1267" s="4" t="str">
        <f t="shared" si="79"/>
        <v>Normal Day</v>
      </c>
      <c r="N1267" s="4" t="str">
        <f>TEXT(CleanedData[[#This Row],[DAY]], "mmm yyyy")</f>
        <v>Oct 2024</v>
      </c>
    </row>
    <row r="1268" spans="1:14" x14ac:dyDescent="0.3">
      <c r="A1268" s="5">
        <v>45579</v>
      </c>
      <c r="B1268" s="12">
        <v>6151.5</v>
      </c>
      <c r="C1268" s="12">
        <v>171</v>
      </c>
      <c r="D1268" s="2" t="s">
        <v>10</v>
      </c>
      <c r="E1268" s="2" t="s">
        <v>7</v>
      </c>
      <c r="F1268" s="1">
        <v>36</v>
      </c>
      <c r="G1268" s="13">
        <v>5632.1605006238806</v>
      </c>
      <c r="H1268" s="14" t="b">
        <v>0</v>
      </c>
      <c r="I1268" s="15">
        <f t="shared" si="76"/>
        <v>6152</v>
      </c>
      <c r="J1268" s="15">
        <f t="shared" si="76"/>
        <v>171</v>
      </c>
      <c r="K1268" s="15">
        <f t="shared" si="77"/>
        <v>5632</v>
      </c>
      <c r="L1268" s="3" t="str">
        <f t="shared" si="78"/>
        <v>Monday</v>
      </c>
      <c r="M1268" s="4" t="str">
        <f t="shared" si="79"/>
        <v>Normal Day</v>
      </c>
      <c r="N1268" s="4" t="str">
        <f>TEXT(CleanedData[[#This Row],[DAY]], "mmm yyyy")</f>
        <v>Oct 2024</v>
      </c>
    </row>
    <row r="1269" spans="1:14" x14ac:dyDescent="0.3">
      <c r="A1269" s="5">
        <v>45580</v>
      </c>
      <c r="B1269" s="12">
        <v>1.5</v>
      </c>
      <c r="C1269" s="12">
        <v>0</v>
      </c>
      <c r="D1269" s="2" t="s">
        <v>10</v>
      </c>
      <c r="E1269" s="2" t="s">
        <v>8</v>
      </c>
      <c r="F1269" s="1">
        <v>1</v>
      </c>
      <c r="G1269" s="13">
        <v>1.3217352136858096</v>
      </c>
      <c r="H1269" s="14" t="b">
        <v>0</v>
      </c>
      <c r="I1269" s="15">
        <f t="shared" si="76"/>
        <v>2</v>
      </c>
      <c r="J1269" s="15">
        <f t="shared" si="76"/>
        <v>0</v>
      </c>
      <c r="K1269" s="15">
        <f t="shared" si="77"/>
        <v>1</v>
      </c>
      <c r="L1269" s="3" t="str">
        <f t="shared" si="78"/>
        <v>Tuesday</v>
      </c>
      <c r="M1269" s="4" t="str">
        <f t="shared" si="79"/>
        <v>Normal Day</v>
      </c>
      <c r="N1269" s="4" t="str">
        <f>TEXT(CleanedData[[#This Row],[DAY]], "mmm yyyy")</f>
        <v>Oct 2024</v>
      </c>
    </row>
    <row r="1270" spans="1:14" x14ac:dyDescent="0.3">
      <c r="A1270" s="5">
        <v>45580</v>
      </c>
      <c r="B1270" s="12">
        <v>537</v>
      </c>
      <c r="C1270" s="12">
        <v>18</v>
      </c>
      <c r="D1270" s="2" t="s">
        <v>6</v>
      </c>
      <c r="E1270" s="2" t="s">
        <v>7</v>
      </c>
      <c r="F1270" s="1">
        <v>209</v>
      </c>
      <c r="G1270" s="13">
        <v>507.73433791840893</v>
      </c>
      <c r="H1270" s="14" t="b">
        <v>0</v>
      </c>
      <c r="I1270" s="15">
        <f t="shared" si="76"/>
        <v>537</v>
      </c>
      <c r="J1270" s="15">
        <f t="shared" si="76"/>
        <v>18</v>
      </c>
      <c r="K1270" s="15">
        <f t="shared" si="77"/>
        <v>508</v>
      </c>
      <c r="L1270" s="3" t="str">
        <f t="shared" si="78"/>
        <v>Tuesday</v>
      </c>
      <c r="M1270" s="4" t="str">
        <f t="shared" si="79"/>
        <v>Normal Day</v>
      </c>
      <c r="N1270" s="4" t="str">
        <f>TEXT(CleanedData[[#This Row],[DAY]], "mmm yyyy")</f>
        <v>Oct 2024</v>
      </c>
    </row>
    <row r="1271" spans="1:14" x14ac:dyDescent="0.3">
      <c r="A1271" s="5">
        <v>45580</v>
      </c>
      <c r="B1271" s="12">
        <v>670.5</v>
      </c>
      <c r="C1271" s="12">
        <v>18</v>
      </c>
      <c r="D1271" s="2" t="s">
        <v>6</v>
      </c>
      <c r="E1271" s="2" t="s">
        <v>8</v>
      </c>
      <c r="F1271" s="1">
        <v>38</v>
      </c>
      <c r="G1271" s="13">
        <v>574.77130063792947</v>
      </c>
      <c r="H1271" s="14" t="b">
        <v>0</v>
      </c>
      <c r="I1271" s="15">
        <f t="shared" si="76"/>
        <v>671</v>
      </c>
      <c r="J1271" s="15">
        <f t="shared" si="76"/>
        <v>18</v>
      </c>
      <c r="K1271" s="15">
        <f t="shared" si="77"/>
        <v>575</v>
      </c>
      <c r="L1271" s="3" t="str">
        <f t="shared" si="78"/>
        <v>Tuesday</v>
      </c>
      <c r="M1271" s="4" t="str">
        <f t="shared" si="79"/>
        <v>Normal Day</v>
      </c>
      <c r="N1271" s="4" t="str">
        <f>TEXT(CleanedData[[#This Row],[DAY]], "mmm yyyy")</f>
        <v>Oct 2024</v>
      </c>
    </row>
    <row r="1272" spans="1:14" x14ac:dyDescent="0.3">
      <c r="A1272" s="5">
        <v>45580</v>
      </c>
      <c r="B1272" s="12">
        <v>4335</v>
      </c>
      <c r="C1272" s="12">
        <v>46.5</v>
      </c>
      <c r="D1272" s="2" t="s">
        <v>9</v>
      </c>
      <c r="E1272" s="2" t="s">
        <v>8</v>
      </c>
      <c r="F1272" s="1">
        <v>2800</v>
      </c>
      <c r="G1272" s="13">
        <v>3525.4296991728115</v>
      </c>
      <c r="H1272" s="14" t="b">
        <v>0</v>
      </c>
      <c r="I1272" s="15">
        <f t="shared" si="76"/>
        <v>4335</v>
      </c>
      <c r="J1272" s="15">
        <f t="shared" si="76"/>
        <v>47</v>
      </c>
      <c r="K1272" s="15">
        <f t="shared" si="77"/>
        <v>3525</v>
      </c>
      <c r="L1272" s="3" t="str">
        <f t="shared" si="78"/>
        <v>Tuesday</v>
      </c>
      <c r="M1272" s="4" t="str">
        <f t="shared" si="79"/>
        <v>Normal Day</v>
      </c>
      <c r="N1272" s="4" t="str">
        <f>TEXT(CleanedData[[#This Row],[DAY]], "mmm yyyy")</f>
        <v>Oct 2024</v>
      </c>
    </row>
    <row r="1273" spans="1:14" x14ac:dyDescent="0.3">
      <c r="A1273" s="5">
        <v>45580</v>
      </c>
      <c r="B1273" s="12">
        <v>4942.5</v>
      </c>
      <c r="C1273" s="12">
        <v>130.5</v>
      </c>
      <c r="D1273" s="2" t="s">
        <v>10</v>
      </c>
      <c r="E1273" s="2" t="s">
        <v>7</v>
      </c>
      <c r="F1273" s="1">
        <v>383</v>
      </c>
      <c r="G1273" s="13">
        <v>4562.512434173349</v>
      </c>
      <c r="H1273" s="14" t="b">
        <v>0</v>
      </c>
      <c r="I1273" s="15">
        <f t="shared" si="76"/>
        <v>4943</v>
      </c>
      <c r="J1273" s="15">
        <f t="shared" si="76"/>
        <v>131</v>
      </c>
      <c r="K1273" s="15">
        <f t="shared" si="77"/>
        <v>4563</v>
      </c>
      <c r="L1273" s="3" t="str">
        <f t="shared" si="78"/>
        <v>Tuesday</v>
      </c>
      <c r="M1273" s="4" t="str">
        <f t="shared" si="79"/>
        <v>Normal Day</v>
      </c>
      <c r="N1273" s="4" t="str">
        <f>TEXT(CleanedData[[#This Row],[DAY]], "mmm yyyy")</f>
        <v>Oct 2024</v>
      </c>
    </row>
    <row r="1274" spans="1:14" x14ac:dyDescent="0.3">
      <c r="A1274" s="5">
        <v>45581</v>
      </c>
      <c r="B1274" s="12">
        <v>498</v>
      </c>
      <c r="C1274" s="12">
        <v>60</v>
      </c>
      <c r="D1274" s="2" t="s">
        <v>6</v>
      </c>
      <c r="E1274" s="2" t="s">
        <v>8</v>
      </c>
      <c r="F1274" s="1">
        <v>200</v>
      </c>
      <c r="G1274" s="13">
        <v>467.42447378055243</v>
      </c>
      <c r="H1274" s="14" t="b">
        <v>0</v>
      </c>
      <c r="I1274" s="15">
        <f t="shared" si="76"/>
        <v>498</v>
      </c>
      <c r="J1274" s="15">
        <f t="shared" si="76"/>
        <v>60</v>
      </c>
      <c r="K1274" s="15">
        <f t="shared" si="77"/>
        <v>467</v>
      </c>
      <c r="L1274" s="3" t="str">
        <f t="shared" si="78"/>
        <v>Wednesday</v>
      </c>
      <c r="M1274" s="4" t="str">
        <f t="shared" si="79"/>
        <v>Normal Day</v>
      </c>
      <c r="N1274" s="4" t="str">
        <f>TEXT(CleanedData[[#This Row],[DAY]], "mmm yyyy")</f>
        <v>Oct 2024</v>
      </c>
    </row>
    <row r="1275" spans="1:14" x14ac:dyDescent="0.3">
      <c r="A1275" s="5">
        <v>45581</v>
      </c>
      <c r="B1275" s="12">
        <v>901.5</v>
      </c>
      <c r="C1275" s="12">
        <v>60</v>
      </c>
      <c r="D1275" s="2" t="s">
        <v>6</v>
      </c>
      <c r="E1275" s="2" t="s">
        <v>7</v>
      </c>
      <c r="F1275" s="1">
        <v>488</v>
      </c>
      <c r="G1275" s="13">
        <v>884.39591686579979</v>
      </c>
      <c r="H1275" s="14" t="b">
        <v>0</v>
      </c>
      <c r="I1275" s="15">
        <f t="shared" si="76"/>
        <v>902</v>
      </c>
      <c r="J1275" s="15">
        <f t="shared" si="76"/>
        <v>60</v>
      </c>
      <c r="K1275" s="15">
        <f t="shared" si="77"/>
        <v>884</v>
      </c>
      <c r="L1275" s="3" t="str">
        <f t="shared" si="78"/>
        <v>Wednesday</v>
      </c>
      <c r="M1275" s="4" t="str">
        <f t="shared" si="79"/>
        <v>Normal Day</v>
      </c>
      <c r="N1275" s="4" t="str">
        <f>TEXT(CleanedData[[#This Row],[DAY]], "mmm yyyy")</f>
        <v>Oct 2024</v>
      </c>
    </row>
    <row r="1276" spans="1:14" x14ac:dyDescent="0.3">
      <c r="A1276" s="5">
        <v>45581</v>
      </c>
      <c r="B1276" s="12">
        <v>3958.5</v>
      </c>
      <c r="C1276" s="12">
        <v>39</v>
      </c>
      <c r="D1276" s="2" t="s">
        <v>9</v>
      </c>
      <c r="E1276" s="2" t="s">
        <v>8</v>
      </c>
      <c r="F1276" s="1">
        <v>2496</v>
      </c>
      <c r="G1276" s="13">
        <v>3225.9496439879658</v>
      </c>
      <c r="H1276" s="14" t="b">
        <v>0</v>
      </c>
      <c r="I1276" s="15">
        <f t="shared" si="76"/>
        <v>3959</v>
      </c>
      <c r="J1276" s="15">
        <f t="shared" si="76"/>
        <v>39</v>
      </c>
      <c r="K1276" s="15">
        <f t="shared" si="77"/>
        <v>3226</v>
      </c>
      <c r="L1276" s="3" t="str">
        <f t="shared" si="78"/>
        <v>Wednesday</v>
      </c>
      <c r="M1276" s="4" t="str">
        <f t="shared" si="79"/>
        <v>Normal Day</v>
      </c>
      <c r="N1276" s="4" t="str">
        <f>TEXT(CleanedData[[#This Row],[DAY]], "mmm yyyy")</f>
        <v>Oct 2024</v>
      </c>
    </row>
    <row r="1277" spans="1:14" x14ac:dyDescent="0.3">
      <c r="A1277" s="5">
        <v>45581</v>
      </c>
      <c r="B1277" s="12">
        <v>4764</v>
      </c>
      <c r="C1277" s="12">
        <v>253.5</v>
      </c>
      <c r="D1277" s="2" t="s">
        <v>10</v>
      </c>
      <c r="E1277" s="2" t="s">
        <v>7</v>
      </c>
      <c r="F1277" s="1">
        <v>3090</v>
      </c>
      <c r="G1277" s="13">
        <v>4461.0281974531026</v>
      </c>
      <c r="H1277" s="14" t="b">
        <v>0</v>
      </c>
      <c r="I1277" s="15">
        <f t="shared" si="76"/>
        <v>4764</v>
      </c>
      <c r="J1277" s="15">
        <f t="shared" si="76"/>
        <v>254</v>
      </c>
      <c r="K1277" s="15">
        <f t="shared" si="77"/>
        <v>4461</v>
      </c>
      <c r="L1277" s="3" t="str">
        <f t="shared" si="78"/>
        <v>Wednesday</v>
      </c>
      <c r="M1277" s="4" t="str">
        <f t="shared" si="79"/>
        <v>Normal Day</v>
      </c>
      <c r="N1277" s="4" t="str">
        <f>TEXT(CleanedData[[#This Row],[DAY]], "mmm yyyy")</f>
        <v>Oct 2024</v>
      </c>
    </row>
    <row r="1278" spans="1:14" x14ac:dyDescent="0.3">
      <c r="A1278" s="5">
        <v>45582</v>
      </c>
      <c r="B1278" s="12">
        <v>3</v>
      </c>
      <c r="C1278" s="12">
        <v>1.5</v>
      </c>
      <c r="D1278" s="2" t="s">
        <v>10</v>
      </c>
      <c r="E1278" s="2" t="s">
        <v>8</v>
      </c>
      <c r="F1278" s="1">
        <v>1</v>
      </c>
      <c r="G1278" s="13">
        <v>3.8671270113247878</v>
      </c>
      <c r="H1278" s="14" t="b">
        <v>0</v>
      </c>
      <c r="I1278" s="15">
        <f t="shared" si="76"/>
        <v>3</v>
      </c>
      <c r="J1278" s="15">
        <f t="shared" si="76"/>
        <v>2</v>
      </c>
      <c r="K1278" s="15">
        <f t="shared" si="77"/>
        <v>4</v>
      </c>
      <c r="L1278" s="3" t="str">
        <f t="shared" si="78"/>
        <v>Thursday</v>
      </c>
      <c r="M1278" s="4" t="str">
        <f t="shared" si="79"/>
        <v>Normal Day</v>
      </c>
      <c r="N1278" s="4" t="str">
        <f>TEXT(CleanedData[[#This Row],[DAY]], "mmm yyyy")</f>
        <v>Oct 2024</v>
      </c>
    </row>
    <row r="1279" spans="1:14" x14ac:dyDescent="0.3">
      <c r="A1279" s="5">
        <v>45582</v>
      </c>
      <c r="B1279" s="12">
        <v>372</v>
      </c>
      <c r="C1279" s="12">
        <v>31.5</v>
      </c>
      <c r="D1279" s="2" t="s">
        <v>6</v>
      </c>
      <c r="E1279" s="2" t="s">
        <v>8</v>
      </c>
      <c r="F1279" s="1">
        <v>247</v>
      </c>
      <c r="G1279" s="13">
        <v>335.89115107726911</v>
      </c>
      <c r="H1279" s="14" t="b">
        <v>0</v>
      </c>
      <c r="I1279" s="15">
        <f t="shared" si="76"/>
        <v>372</v>
      </c>
      <c r="J1279" s="15">
        <f t="shared" si="76"/>
        <v>32</v>
      </c>
      <c r="K1279" s="15">
        <f t="shared" si="77"/>
        <v>336</v>
      </c>
      <c r="L1279" s="3" t="str">
        <f t="shared" si="78"/>
        <v>Thursday</v>
      </c>
      <c r="M1279" s="4" t="str">
        <f t="shared" si="79"/>
        <v>Normal Day</v>
      </c>
      <c r="N1279" s="4" t="str">
        <f>TEXT(CleanedData[[#This Row],[DAY]], "mmm yyyy")</f>
        <v>Oct 2024</v>
      </c>
    </row>
    <row r="1280" spans="1:14" x14ac:dyDescent="0.3">
      <c r="A1280" s="5">
        <v>45582</v>
      </c>
      <c r="B1280" s="12">
        <v>561</v>
      </c>
      <c r="C1280" s="12">
        <v>31.5</v>
      </c>
      <c r="D1280" s="2" t="s">
        <v>6</v>
      </c>
      <c r="E1280" s="2" t="s">
        <v>7</v>
      </c>
      <c r="F1280" s="1">
        <v>16</v>
      </c>
      <c r="G1280" s="13">
        <v>527.66305536213167</v>
      </c>
      <c r="H1280" s="14" t="b">
        <v>0</v>
      </c>
      <c r="I1280" s="15">
        <f t="shared" si="76"/>
        <v>561</v>
      </c>
      <c r="J1280" s="15">
        <f t="shared" si="76"/>
        <v>32</v>
      </c>
      <c r="K1280" s="15">
        <f t="shared" si="77"/>
        <v>528</v>
      </c>
      <c r="L1280" s="3" t="str">
        <f t="shared" si="78"/>
        <v>Thursday</v>
      </c>
      <c r="M1280" s="4" t="str">
        <f t="shared" si="79"/>
        <v>Normal Day</v>
      </c>
      <c r="N1280" s="4" t="str">
        <f>TEXT(CleanedData[[#This Row],[DAY]], "mmm yyyy")</f>
        <v>Oct 2024</v>
      </c>
    </row>
    <row r="1281" spans="1:14" x14ac:dyDescent="0.3">
      <c r="A1281" s="5">
        <v>45582</v>
      </c>
      <c r="B1281" s="12">
        <v>4737</v>
      </c>
      <c r="C1281" s="12">
        <v>64.5</v>
      </c>
      <c r="D1281" s="2" t="s">
        <v>9</v>
      </c>
      <c r="E1281" s="2" t="s">
        <v>8</v>
      </c>
      <c r="F1281" s="1">
        <v>1104</v>
      </c>
      <c r="G1281" s="13">
        <v>4020.3125574232686</v>
      </c>
      <c r="H1281" s="14" t="b">
        <v>0</v>
      </c>
      <c r="I1281" s="15">
        <f t="shared" si="76"/>
        <v>4737</v>
      </c>
      <c r="J1281" s="15">
        <f t="shared" si="76"/>
        <v>65</v>
      </c>
      <c r="K1281" s="15">
        <f t="shared" si="77"/>
        <v>4020</v>
      </c>
      <c r="L1281" s="3" t="str">
        <f t="shared" si="78"/>
        <v>Thursday</v>
      </c>
      <c r="M1281" s="4" t="str">
        <f t="shared" si="79"/>
        <v>Normal Day</v>
      </c>
      <c r="N1281" s="4" t="str">
        <f>TEXT(CleanedData[[#This Row],[DAY]], "mmm yyyy")</f>
        <v>Oct 2024</v>
      </c>
    </row>
    <row r="1282" spans="1:14" x14ac:dyDescent="0.3">
      <c r="A1282" s="5">
        <v>45582</v>
      </c>
      <c r="B1282" s="12">
        <v>6238.5</v>
      </c>
      <c r="C1282" s="12">
        <v>292.5</v>
      </c>
      <c r="D1282" s="2" t="s">
        <v>10</v>
      </c>
      <c r="E1282" s="2" t="s">
        <v>7</v>
      </c>
      <c r="F1282" s="1">
        <v>3863</v>
      </c>
      <c r="G1282" s="13">
        <v>6013.3859246459424</v>
      </c>
      <c r="H1282" s="14" t="b">
        <v>0</v>
      </c>
      <c r="I1282" s="15">
        <f t="shared" ref="I1282:J1345" si="80">ROUND(B1282, 0)</f>
        <v>6239</v>
      </c>
      <c r="J1282" s="15">
        <f t="shared" si="80"/>
        <v>293</v>
      </c>
      <c r="K1282" s="15">
        <f t="shared" ref="K1282:K1345" si="81">ROUND(G1282, 0)</f>
        <v>6013</v>
      </c>
      <c r="L1282" s="3" t="str">
        <f t="shared" si="78"/>
        <v>Thursday</v>
      </c>
      <c r="M1282" s="4" t="str">
        <f t="shared" si="79"/>
        <v>Normal Day</v>
      </c>
      <c r="N1282" s="4" t="str">
        <f>TEXT(CleanedData[[#This Row],[DAY]], "mmm yyyy")</f>
        <v>Oct 2024</v>
      </c>
    </row>
    <row r="1283" spans="1:14" x14ac:dyDescent="0.3">
      <c r="A1283" s="5">
        <v>45583</v>
      </c>
      <c r="B1283" s="12">
        <v>433.5</v>
      </c>
      <c r="C1283" s="12">
        <v>7.5</v>
      </c>
      <c r="D1283" s="2" t="s">
        <v>6</v>
      </c>
      <c r="E1283" s="2" t="s">
        <v>7</v>
      </c>
      <c r="F1283" s="1">
        <v>19</v>
      </c>
      <c r="G1283" s="13">
        <v>390.23770719238087</v>
      </c>
      <c r="H1283" s="14" t="b">
        <v>0</v>
      </c>
      <c r="I1283" s="15">
        <f t="shared" si="80"/>
        <v>434</v>
      </c>
      <c r="J1283" s="15">
        <f t="shared" si="80"/>
        <v>8</v>
      </c>
      <c r="K1283" s="15">
        <f t="shared" si="81"/>
        <v>390</v>
      </c>
      <c r="L1283" s="3" t="str">
        <f t="shared" ref="L1283:L1346" si="82">TEXT(A1283,"dddd")</f>
        <v>Friday</v>
      </c>
      <c r="M1283" s="4" t="str">
        <f t="shared" ref="M1283:M1346" si="83">IF(H1283=TRUE, "Outage Day", "Normal Day")</f>
        <v>Normal Day</v>
      </c>
      <c r="N1283" s="4" t="str">
        <f>TEXT(CleanedData[[#This Row],[DAY]], "mmm yyyy")</f>
        <v>Oct 2024</v>
      </c>
    </row>
    <row r="1284" spans="1:14" x14ac:dyDescent="0.3">
      <c r="A1284" s="5">
        <v>45583</v>
      </c>
      <c r="B1284" s="12">
        <v>439.5</v>
      </c>
      <c r="C1284" s="12">
        <v>7.5</v>
      </c>
      <c r="D1284" s="2" t="s">
        <v>6</v>
      </c>
      <c r="E1284" s="2" t="s">
        <v>8</v>
      </c>
      <c r="F1284" s="1">
        <v>46</v>
      </c>
      <c r="G1284" s="13">
        <v>364.87633222418094</v>
      </c>
      <c r="H1284" s="14" t="b">
        <v>0</v>
      </c>
      <c r="I1284" s="15">
        <f t="shared" si="80"/>
        <v>440</v>
      </c>
      <c r="J1284" s="15">
        <f t="shared" si="80"/>
        <v>8</v>
      </c>
      <c r="K1284" s="15">
        <f t="shared" si="81"/>
        <v>365</v>
      </c>
      <c r="L1284" s="3" t="str">
        <f t="shared" si="82"/>
        <v>Friday</v>
      </c>
      <c r="M1284" s="4" t="str">
        <f t="shared" si="83"/>
        <v>Normal Day</v>
      </c>
      <c r="N1284" s="4" t="str">
        <f>TEXT(CleanedData[[#This Row],[DAY]], "mmm yyyy")</f>
        <v>Oct 2024</v>
      </c>
    </row>
    <row r="1285" spans="1:14" x14ac:dyDescent="0.3">
      <c r="A1285" s="5">
        <v>45583</v>
      </c>
      <c r="B1285" s="12">
        <v>4879.5</v>
      </c>
      <c r="C1285" s="12">
        <v>217.5</v>
      </c>
      <c r="D1285" s="2" t="s">
        <v>9</v>
      </c>
      <c r="E1285" s="2" t="s">
        <v>8</v>
      </c>
      <c r="F1285" s="1">
        <v>2771</v>
      </c>
      <c r="G1285" s="13">
        <v>4242.8688046786347</v>
      </c>
      <c r="H1285" s="14" t="b">
        <v>0</v>
      </c>
      <c r="I1285" s="15">
        <f t="shared" si="80"/>
        <v>4880</v>
      </c>
      <c r="J1285" s="15">
        <f t="shared" si="80"/>
        <v>218</v>
      </c>
      <c r="K1285" s="15">
        <f t="shared" si="81"/>
        <v>4243</v>
      </c>
      <c r="L1285" s="3" t="str">
        <f t="shared" si="82"/>
        <v>Friday</v>
      </c>
      <c r="M1285" s="4" t="str">
        <f t="shared" si="83"/>
        <v>Normal Day</v>
      </c>
      <c r="N1285" s="4" t="str">
        <f>TEXT(CleanedData[[#This Row],[DAY]], "mmm yyyy")</f>
        <v>Oct 2024</v>
      </c>
    </row>
    <row r="1286" spans="1:14" x14ac:dyDescent="0.3">
      <c r="A1286" s="5">
        <v>45583</v>
      </c>
      <c r="B1286" s="12">
        <v>6925.5</v>
      </c>
      <c r="C1286" s="12">
        <v>214.5</v>
      </c>
      <c r="D1286" s="2" t="s">
        <v>10</v>
      </c>
      <c r="E1286" s="2" t="s">
        <v>7</v>
      </c>
      <c r="F1286" s="1">
        <v>1369</v>
      </c>
      <c r="G1286" s="13">
        <v>6661.0866817843225</v>
      </c>
      <c r="H1286" s="14" t="b">
        <v>0</v>
      </c>
      <c r="I1286" s="15">
        <f t="shared" si="80"/>
        <v>6926</v>
      </c>
      <c r="J1286" s="15">
        <f t="shared" si="80"/>
        <v>215</v>
      </c>
      <c r="K1286" s="15">
        <f t="shared" si="81"/>
        <v>6661</v>
      </c>
      <c r="L1286" s="3" t="str">
        <f t="shared" si="82"/>
        <v>Friday</v>
      </c>
      <c r="M1286" s="4" t="str">
        <f t="shared" si="83"/>
        <v>Normal Day</v>
      </c>
      <c r="N1286" s="4" t="str">
        <f>TEXT(CleanedData[[#This Row],[DAY]], "mmm yyyy")</f>
        <v>Oct 2024</v>
      </c>
    </row>
    <row r="1287" spans="1:14" x14ac:dyDescent="0.3">
      <c r="A1287" s="5">
        <v>45584</v>
      </c>
      <c r="B1287" s="12">
        <v>1396.5</v>
      </c>
      <c r="C1287" s="12">
        <v>70.5</v>
      </c>
      <c r="D1287" s="2" t="s">
        <v>6</v>
      </c>
      <c r="E1287" s="2" t="s">
        <v>7</v>
      </c>
      <c r="F1287" s="1">
        <v>142</v>
      </c>
      <c r="G1287" s="13">
        <v>1367.7365305090175</v>
      </c>
      <c r="H1287" s="14" t="b">
        <v>0</v>
      </c>
      <c r="I1287" s="15">
        <f t="shared" si="80"/>
        <v>1397</v>
      </c>
      <c r="J1287" s="15">
        <f t="shared" si="80"/>
        <v>71</v>
      </c>
      <c r="K1287" s="15">
        <f t="shared" si="81"/>
        <v>1368</v>
      </c>
      <c r="L1287" s="3" t="str">
        <f t="shared" si="82"/>
        <v>Saturday</v>
      </c>
      <c r="M1287" s="4" t="str">
        <f t="shared" si="83"/>
        <v>Normal Day</v>
      </c>
      <c r="N1287" s="4" t="str">
        <f>TEXT(CleanedData[[#This Row],[DAY]], "mmm yyyy")</f>
        <v>Oct 2024</v>
      </c>
    </row>
    <row r="1288" spans="1:14" x14ac:dyDescent="0.3">
      <c r="A1288" s="5">
        <v>45584</v>
      </c>
      <c r="B1288" s="12">
        <v>2107.5</v>
      </c>
      <c r="C1288" s="12">
        <v>70.5</v>
      </c>
      <c r="D1288" s="2" t="s">
        <v>6</v>
      </c>
      <c r="E1288" s="2" t="s">
        <v>8</v>
      </c>
      <c r="F1288" s="1">
        <v>1007</v>
      </c>
      <c r="G1288" s="13">
        <v>1768.9167391425069</v>
      </c>
      <c r="H1288" s="14" t="b">
        <v>0</v>
      </c>
      <c r="I1288" s="15">
        <f t="shared" si="80"/>
        <v>2108</v>
      </c>
      <c r="J1288" s="15">
        <f t="shared" si="80"/>
        <v>71</v>
      </c>
      <c r="K1288" s="15">
        <f t="shared" si="81"/>
        <v>1769</v>
      </c>
      <c r="L1288" s="3" t="str">
        <f t="shared" si="82"/>
        <v>Saturday</v>
      </c>
      <c r="M1288" s="4" t="str">
        <f t="shared" si="83"/>
        <v>Normal Day</v>
      </c>
      <c r="N1288" s="4" t="str">
        <f>TEXT(CleanedData[[#This Row],[DAY]], "mmm yyyy")</f>
        <v>Oct 2024</v>
      </c>
    </row>
    <row r="1289" spans="1:14" x14ac:dyDescent="0.3">
      <c r="A1289" s="5">
        <v>45584</v>
      </c>
      <c r="B1289" s="12">
        <v>3379.5</v>
      </c>
      <c r="C1289" s="12">
        <v>66</v>
      </c>
      <c r="D1289" s="2" t="s">
        <v>9</v>
      </c>
      <c r="E1289" s="2" t="s">
        <v>8</v>
      </c>
      <c r="F1289" s="1">
        <v>114</v>
      </c>
      <c r="G1289" s="13">
        <v>2783.7546802406841</v>
      </c>
      <c r="H1289" s="14" t="b">
        <v>0</v>
      </c>
      <c r="I1289" s="15">
        <f t="shared" si="80"/>
        <v>3380</v>
      </c>
      <c r="J1289" s="15">
        <f t="shared" si="80"/>
        <v>66</v>
      </c>
      <c r="K1289" s="15">
        <f t="shared" si="81"/>
        <v>2784</v>
      </c>
      <c r="L1289" s="3" t="str">
        <f t="shared" si="82"/>
        <v>Saturday</v>
      </c>
      <c r="M1289" s="4" t="str">
        <f t="shared" si="83"/>
        <v>Normal Day</v>
      </c>
      <c r="N1289" s="4" t="str">
        <f>TEXT(CleanedData[[#This Row],[DAY]], "mmm yyyy")</f>
        <v>Oct 2024</v>
      </c>
    </row>
    <row r="1290" spans="1:14" x14ac:dyDescent="0.3">
      <c r="A1290" s="5">
        <v>45584</v>
      </c>
      <c r="B1290" s="12">
        <v>6135</v>
      </c>
      <c r="C1290" s="12">
        <v>1.5</v>
      </c>
      <c r="D1290" s="2" t="s">
        <v>10</v>
      </c>
      <c r="E1290" s="2" t="s">
        <v>7</v>
      </c>
      <c r="F1290" s="1">
        <v>2913</v>
      </c>
      <c r="G1290" s="13">
        <v>5677.3407015077155</v>
      </c>
      <c r="H1290" s="14" t="b">
        <v>0</v>
      </c>
      <c r="I1290" s="15">
        <f t="shared" si="80"/>
        <v>6135</v>
      </c>
      <c r="J1290" s="15">
        <f t="shared" si="80"/>
        <v>2</v>
      </c>
      <c r="K1290" s="15">
        <f t="shared" si="81"/>
        <v>5677</v>
      </c>
      <c r="L1290" s="3" t="str">
        <f t="shared" si="82"/>
        <v>Saturday</v>
      </c>
      <c r="M1290" s="4" t="str">
        <f t="shared" si="83"/>
        <v>Normal Day</v>
      </c>
      <c r="N1290" s="4" t="str">
        <f>TEXT(CleanedData[[#This Row],[DAY]], "mmm yyyy")</f>
        <v>Oct 2024</v>
      </c>
    </row>
    <row r="1291" spans="1:14" x14ac:dyDescent="0.3">
      <c r="A1291" s="5">
        <v>45585</v>
      </c>
      <c r="B1291" s="12">
        <v>883.5</v>
      </c>
      <c r="C1291" s="12">
        <v>36</v>
      </c>
      <c r="D1291" s="2" t="s">
        <v>6</v>
      </c>
      <c r="E1291" s="2" t="s">
        <v>7</v>
      </c>
      <c r="F1291" s="1">
        <v>322</v>
      </c>
      <c r="G1291" s="13">
        <v>821.70477119273232</v>
      </c>
      <c r="H1291" s="14" t="b">
        <v>0</v>
      </c>
      <c r="I1291" s="15">
        <f t="shared" si="80"/>
        <v>884</v>
      </c>
      <c r="J1291" s="15">
        <f t="shared" si="80"/>
        <v>36</v>
      </c>
      <c r="K1291" s="15">
        <f t="shared" si="81"/>
        <v>822</v>
      </c>
      <c r="L1291" s="3" t="str">
        <f t="shared" si="82"/>
        <v>Sunday</v>
      </c>
      <c r="M1291" s="4" t="str">
        <f t="shared" si="83"/>
        <v>Normal Day</v>
      </c>
      <c r="N1291" s="4" t="str">
        <f>TEXT(CleanedData[[#This Row],[DAY]], "mmm yyyy")</f>
        <v>Oct 2024</v>
      </c>
    </row>
    <row r="1292" spans="1:14" x14ac:dyDescent="0.3">
      <c r="A1292" s="5">
        <v>45585</v>
      </c>
      <c r="B1292" s="12">
        <v>1795.5</v>
      </c>
      <c r="C1292" s="12">
        <v>36</v>
      </c>
      <c r="D1292" s="2" t="s">
        <v>6</v>
      </c>
      <c r="E1292" s="2" t="s">
        <v>8</v>
      </c>
      <c r="F1292" s="1">
        <v>354</v>
      </c>
      <c r="G1292" s="13">
        <v>1559.4874328256267</v>
      </c>
      <c r="H1292" s="14" t="b">
        <v>0</v>
      </c>
      <c r="I1292" s="15">
        <f t="shared" si="80"/>
        <v>1796</v>
      </c>
      <c r="J1292" s="15">
        <f t="shared" si="80"/>
        <v>36</v>
      </c>
      <c r="K1292" s="15">
        <f t="shared" si="81"/>
        <v>1559</v>
      </c>
      <c r="L1292" s="3" t="str">
        <f t="shared" si="82"/>
        <v>Sunday</v>
      </c>
      <c r="M1292" s="4" t="str">
        <f t="shared" si="83"/>
        <v>Normal Day</v>
      </c>
      <c r="N1292" s="4" t="str">
        <f>TEXT(CleanedData[[#This Row],[DAY]], "mmm yyyy")</f>
        <v>Oct 2024</v>
      </c>
    </row>
    <row r="1293" spans="1:14" x14ac:dyDescent="0.3">
      <c r="A1293" s="5">
        <v>45585</v>
      </c>
      <c r="B1293" s="12">
        <v>4563</v>
      </c>
      <c r="C1293" s="12">
        <v>208.5</v>
      </c>
      <c r="D1293" s="2" t="s">
        <v>9</v>
      </c>
      <c r="E1293" s="2" t="s">
        <v>8</v>
      </c>
      <c r="F1293" s="1">
        <v>1618</v>
      </c>
      <c r="G1293" s="13">
        <v>4081.8720552665973</v>
      </c>
      <c r="H1293" s="14" t="b">
        <v>0</v>
      </c>
      <c r="I1293" s="15">
        <f t="shared" si="80"/>
        <v>4563</v>
      </c>
      <c r="J1293" s="15">
        <f t="shared" si="80"/>
        <v>209</v>
      </c>
      <c r="K1293" s="15">
        <f t="shared" si="81"/>
        <v>4082</v>
      </c>
      <c r="L1293" s="3" t="str">
        <f t="shared" si="82"/>
        <v>Sunday</v>
      </c>
      <c r="M1293" s="4" t="str">
        <f t="shared" si="83"/>
        <v>Normal Day</v>
      </c>
      <c r="N1293" s="4" t="str">
        <f>TEXT(CleanedData[[#This Row],[DAY]], "mmm yyyy")</f>
        <v>Oct 2024</v>
      </c>
    </row>
    <row r="1294" spans="1:14" x14ac:dyDescent="0.3">
      <c r="A1294" s="5">
        <v>45585</v>
      </c>
      <c r="B1294" s="12">
        <v>6811.5</v>
      </c>
      <c r="C1294" s="12">
        <v>373.5</v>
      </c>
      <c r="D1294" s="2" t="s">
        <v>10</v>
      </c>
      <c r="E1294" s="2" t="s">
        <v>7</v>
      </c>
      <c r="F1294" s="1">
        <v>877</v>
      </c>
      <c r="G1294" s="13">
        <v>6731.2497962415564</v>
      </c>
      <c r="H1294" s="14" t="b">
        <v>0</v>
      </c>
      <c r="I1294" s="15">
        <f t="shared" si="80"/>
        <v>6812</v>
      </c>
      <c r="J1294" s="15">
        <f t="shared" si="80"/>
        <v>374</v>
      </c>
      <c r="K1294" s="15">
        <f t="shared" si="81"/>
        <v>6731</v>
      </c>
      <c r="L1294" s="3" t="str">
        <f t="shared" si="82"/>
        <v>Sunday</v>
      </c>
      <c r="M1294" s="4" t="str">
        <f t="shared" si="83"/>
        <v>Normal Day</v>
      </c>
      <c r="N1294" s="4" t="str">
        <f>TEXT(CleanedData[[#This Row],[DAY]], "mmm yyyy")</f>
        <v>Oct 2024</v>
      </c>
    </row>
    <row r="1295" spans="1:14" x14ac:dyDescent="0.3">
      <c r="A1295" s="5">
        <v>45586</v>
      </c>
      <c r="B1295" s="12">
        <v>847.5</v>
      </c>
      <c r="C1295" s="12">
        <v>15</v>
      </c>
      <c r="D1295" s="2" t="s">
        <v>6</v>
      </c>
      <c r="E1295" s="2" t="s">
        <v>7</v>
      </c>
      <c r="F1295" s="1">
        <v>387</v>
      </c>
      <c r="G1295" s="13">
        <v>782.5802503212268</v>
      </c>
      <c r="H1295" s="14" t="b">
        <v>0</v>
      </c>
      <c r="I1295" s="15">
        <f t="shared" si="80"/>
        <v>848</v>
      </c>
      <c r="J1295" s="15">
        <f t="shared" si="80"/>
        <v>15</v>
      </c>
      <c r="K1295" s="15">
        <f t="shared" si="81"/>
        <v>783</v>
      </c>
      <c r="L1295" s="3" t="str">
        <f t="shared" si="82"/>
        <v>Monday</v>
      </c>
      <c r="M1295" s="4" t="str">
        <f t="shared" si="83"/>
        <v>Normal Day</v>
      </c>
      <c r="N1295" s="4" t="str">
        <f>TEXT(CleanedData[[#This Row],[DAY]], "mmm yyyy")</f>
        <v>Oct 2024</v>
      </c>
    </row>
    <row r="1296" spans="1:14" x14ac:dyDescent="0.3">
      <c r="A1296" s="5">
        <v>45586</v>
      </c>
      <c r="B1296" s="12">
        <v>1161</v>
      </c>
      <c r="C1296" s="12">
        <v>15</v>
      </c>
      <c r="D1296" s="2" t="s">
        <v>6</v>
      </c>
      <c r="E1296" s="2" t="s">
        <v>8</v>
      </c>
      <c r="F1296" s="1">
        <v>530</v>
      </c>
      <c r="G1296" s="13">
        <v>988.17565871605257</v>
      </c>
      <c r="H1296" s="14" t="b">
        <v>0</v>
      </c>
      <c r="I1296" s="15">
        <f t="shared" si="80"/>
        <v>1161</v>
      </c>
      <c r="J1296" s="15">
        <f t="shared" si="80"/>
        <v>15</v>
      </c>
      <c r="K1296" s="15">
        <f t="shared" si="81"/>
        <v>988</v>
      </c>
      <c r="L1296" s="3" t="str">
        <f t="shared" si="82"/>
        <v>Monday</v>
      </c>
      <c r="M1296" s="4" t="str">
        <f t="shared" si="83"/>
        <v>Normal Day</v>
      </c>
      <c r="N1296" s="4" t="str">
        <f>TEXT(CleanedData[[#This Row],[DAY]], "mmm yyyy")</f>
        <v>Oct 2024</v>
      </c>
    </row>
    <row r="1297" spans="1:14" x14ac:dyDescent="0.3">
      <c r="A1297" s="5">
        <v>45586</v>
      </c>
      <c r="B1297" s="12">
        <v>4306.5</v>
      </c>
      <c r="C1297" s="12">
        <v>33</v>
      </c>
      <c r="D1297" s="2" t="s">
        <v>9</v>
      </c>
      <c r="E1297" s="2" t="s">
        <v>8</v>
      </c>
      <c r="F1297" s="1">
        <v>1528</v>
      </c>
      <c r="G1297" s="13">
        <v>3743.5346911275901</v>
      </c>
      <c r="H1297" s="14" t="b">
        <v>0</v>
      </c>
      <c r="I1297" s="15">
        <f t="shared" si="80"/>
        <v>4307</v>
      </c>
      <c r="J1297" s="15">
        <f t="shared" si="80"/>
        <v>33</v>
      </c>
      <c r="K1297" s="15">
        <f t="shared" si="81"/>
        <v>3744</v>
      </c>
      <c r="L1297" s="3" t="str">
        <f t="shared" si="82"/>
        <v>Monday</v>
      </c>
      <c r="M1297" s="4" t="str">
        <f t="shared" si="83"/>
        <v>Normal Day</v>
      </c>
      <c r="N1297" s="4" t="str">
        <f>TEXT(CleanedData[[#This Row],[DAY]], "mmm yyyy")</f>
        <v>Oct 2024</v>
      </c>
    </row>
    <row r="1298" spans="1:14" x14ac:dyDescent="0.3">
      <c r="A1298" s="5">
        <v>45586</v>
      </c>
      <c r="B1298" s="12">
        <v>4884</v>
      </c>
      <c r="C1298" s="12">
        <v>105</v>
      </c>
      <c r="D1298" s="2" t="s">
        <v>10</v>
      </c>
      <c r="E1298" s="2" t="s">
        <v>7</v>
      </c>
      <c r="F1298" s="1">
        <v>3056</v>
      </c>
      <c r="G1298" s="13">
        <v>4434.8567048479508</v>
      </c>
      <c r="H1298" s="14" t="b">
        <v>0</v>
      </c>
      <c r="I1298" s="15">
        <f t="shared" si="80"/>
        <v>4884</v>
      </c>
      <c r="J1298" s="15">
        <f t="shared" si="80"/>
        <v>105</v>
      </c>
      <c r="K1298" s="15">
        <f t="shared" si="81"/>
        <v>4435</v>
      </c>
      <c r="L1298" s="3" t="str">
        <f t="shared" si="82"/>
        <v>Monday</v>
      </c>
      <c r="M1298" s="4" t="str">
        <f t="shared" si="83"/>
        <v>Normal Day</v>
      </c>
      <c r="N1298" s="4" t="str">
        <f>TEXT(CleanedData[[#This Row],[DAY]], "mmm yyyy")</f>
        <v>Oct 2024</v>
      </c>
    </row>
    <row r="1299" spans="1:14" x14ac:dyDescent="0.3">
      <c r="A1299" s="5">
        <v>45587</v>
      </c>
      <c r="B1299" s="12">
        <v>666</v>
      </c>
      <c r="C1299" s="12">
        <v>4.5</v>
      </c>
      <c r="D1299" s="2" t="s">
        <v>6</v>
      </c>
      <c r="E1299" s="2" t="s">
        <v>7</v>
      </c>
      <c r="F1299" s="1">
        <v>272</v>
      </c>
      <c r="G1299" s="13">
        <v>625.01785002251563</v>
      </c>
      <c r="H1299" s="14" t="b">
        <v>0</v>
      </c>
      <c r="I1299" s="15">
        <f t="shared" si="80"/>
        <v>666</v>
      </c>
      <c r="J1299" s="15">
        <f t="shared" si="80"/>
        <v>5</v>
      </c>
      <c r="K1299" s="15">
        <f t="shared" si="81"/>
        <v>625</v>
      </c>
      <c r="L1299" s="3" t="str">
        <f t="shared" si="82"/>
        <v>Tuesday</v>
      </c>
      <c r="M1299" s="4" t="str">
        <f t="shared" si="83"/>
        <v>Normal Day</v>
      </c>
      <c r="N1299" s="4" t="str">
        <f>TEXT(CleanedData[[#This Row],[DAY]], "mmm yyyy")</f>
        <v>Oct 2024</v>
      </c>
    </row>
    <row r="1300" spans="1:14" x14ac:dyDescent="0.3">
      <c r="A1300" s="5">
        <v>45587</v>
      </c>
      <c r="B1300" s="12">
        <v>1006.5</v>
      </c>
      <c r="C1300" s="12">
        <v>4.5</v>
      </c>
      <c r="D1300" s="2" t="s">
        <v>6</v>
      </c>
      <c r="E1300" s="2" t="s">
        <v>8</v>
      </c>
      <c r="F1300" s="1">
        <v>202</v>
      </c>
      <c r="G1300" s="13">
        <v>829.48776759231441</v>
      </c>
      <c r="H1300" s="14" t="b">
        <v>0</v>
      </c>
      <c r="I1300" s="15">
        <f t="shared" si="80"/>
        <v>1007</v>
      </c>
      <c r="J1300" s="15">
        <f t="shared" si="80"/>
        <v>5</v>
      </c>
      <c r="K1300" s="15">
        <f t="shared" si="81"/>
        <v>829</v>
      </c>
      <c r="L1300" s="3" t="str">
        <f t="shared" si="82"/>
        <v>Tuesday</v>
      </c>
      <c r="M1300" s="4" t="str">
        <f t="shared" si="83"/>
        <v>Normal Day</v>
      </c>
      <c r="N1300" s="4" t="str">
        <f>TEXT(CleanedData[[#This Row],[DAY]], "mmm yyyy")</f>
        <v>Oct 2024</v>
      </c>
    </row>
    <row r="1301" spans="1:14" x14ac:dyDescent="0.3">
      <c r="A1301" s="5">
        <v>45587</v>
      </c>
      <c r="B1301" s="12">
        <v>4110</v>
      </c>
      <c r="C1301" s="12">
        <v>112.5</v>
      </c>
      <c r="D1301" s="2" t="s">
        <v>9</v>
      </c>
      <c r="E1301" s="2" t="s">
        <v>8</v>
      </c>
      <c r="F1301" s="1">
        <v>2311</v>
      </c>
      <c r="G1301" s="13">
        <v>3442.0008202955237</v>
      </c>
      <c r="H1301" s="14" t="b">
        <v>0</v>
      </c>
      <c r="I1301" s="15">
        <f t="shared" si="80"/>
        <v>4110</v>
      </c>
      <c r="J1301" s="15">
        <f t="shared" si="80"/>
        <v>113</v>
      </c>
      <c r="K1301" s="15">
        <f t="shared" si="81"/>
        <v>3442</v>
      </c>
      <c r="L1301" s="3" t="str">
        <f t="shared" si="82"/>
        <v>Tuesday</v>
      </c>
      <c r="M1301" s="4" t="str">
        <f t="shared" si="83"/>
        <v>Normal Day</v>
      </c>
      <c r="N1301" s="4" t="str">
        <f>TEXT(CleanedData[[#This Row],[DAY]], "mmm yyyy")</f>
        <v>Oct 2024</v>
      </c>
    </row>
    <row r="1302" spans="1:14" x14ac:dyDescent="0.3">
      <c r="A1302" s="5">
        <v>45587</v>
      </c>
      <c r="B1302" s="12">
        <v>5674.5</v>
      </c>
      <c r="C1302" s="12">
        <v>256.5</v>
      </c>
      <c r="D1302" s="2" t="s">
        <v>10</v>
      </c>
      <c r="E1302" s="2" t="s">
        <v>7</v>
      </c>
      <c r="F1302" s="1">
        <v>1907</v>
      </c>
      <c r="G1302" s="13">
        <v>5295.5928414608716</v>
      </c>
      <c r="H1302" s="14" t="b">
        <v>1</v>
      </c>
      <c r="I1302" s="15">
        <f t="shared" si="80"/>
        <v>5675</v>
      </c>
      <c r="J1302" s="15">
        <f t="shared" si="80"/>
        <v>257</v>
      </c>
      <c r="K1302" s="15">
        <f t="shared" si="81"/>
        <v>5296</v>
      </c>
      <c r="L1302" s="3" t="str">
        <f t="shared" si="82"/>
        <v>Tuesday</v>
      </c>
      <c r="M1302" s="4" t="str">
        <f t="shared" si="83"/>
        <v>Outage Day</v>
      </c>
      <c r="N1302" s="4" t="str">
        <f>TEXT(CleanedData[[#This Row],[DAY]], "mmm yyyy")</f>
        <v>Oct 2024</v>
      </c>
    </row>
    <row r="1303" spans="1:14" x14ac:dyDescent="0.3">
      <c r="A1303" s="5">
        <v>45588</v>
      </c>
      <c r="B1303" s="12">
        <v>532.5</v>
      </c>
      <c r="C1303" s="12">
        <v>1.5</v>
      </c>
      <c r="D1303" s="2" t="s">
        <v>6</v>
      </c>
      <c r="E1303" s="2" t="s">
        <v>8</v>
      </c>
      <c r="F1303" s="1">
        <v>227</v>
      </c>
      <c r="G1303" s="13">
        <v>468.86874431709964</v>
      </c>
      <c r="H1303" s="14" t="b">
        <v>0</v>
      </c>
      <c r="I1303" s="15">
        <f t="shared" si="80"/>
        <v>533</v>
      </c>
      <c r="J1303" s="15">
        <f t="shared" si="80"/>
        <v>2</v>
      </c>
      <c r="K1303" s="15">
        <f t="shared" si="81"/>
        <v>469</v>
      </c>
      <c r="L1303" s="3" t="str">
        <f t="shared" si="82"/>
        <v>Wednesday</v>
      </c>
      <c r="M1303" s="4" t="str">
        <f t="shared" si="83"/>
        <v>Normal Day</v>
      </c>
      <c r="N1303" s="4" t="str">
        <f>TEXT(CleanedData[[#This Row],[DAY]], "mmm yyyy")</f>
        <v>Oct 2024</v>
      </c>
    </row>
    <row r="1304" spans="1:14" x14ac:dyDescent="0.3">
      <c r="A1304" s="5">
        <v>45588</v>
      </c>
      <c r="B1304" s="12">
        <v>630</v>
      </c>
      <c r="C1304" s="12">
        <v>1.5</v>
      </c>
      <c r="D1304" s="2" t="s">
        <v>6</v>
      </c>
      <c r="E1304" s="2" t="s">
        <v>7</v>
      </c>
      <c r="F1304" s="1">
        <v>306</v>
      </c>
      <c r="G1304" s="13">
        <v>555.99766806809885</v>
      </c>
      <c r="H1304" s="14" t="b">
        <v>0</v>
      </c>
      <c r="I1304" s="15">
        <f t="shared" si="80"/>
        <v>630</v>
      </c>
      <c r="J1304" s="15">
        <f t="shared" si="80"/>
        <v>2</v>
      </c>
      <c r="K1304" s="15">
        <f t="shared" si="81"/>
        <v>556</v>
      </c>
      <c r="L1304" s="3" t="str">
        <f t="shared" si="82"/>
        <v>Wednesday</v>
      </c>
      <c r="M1304" s="4" t="str">
        <f t="shared" si="83"/>
        <v>Normal Day</v>
      </c>
      <c r="N1304" s="4" t="str">
        <f>TEXT(CleanedData[[#This Row],[DAY]], "mmm yyyy")</f>
        <v>Oct 2024</v>
      </c>
    </row>
    <row r="1305" spans="1:14" x14ac:dyDescent="0.3">
      <c r="A1305" s="5">
        <v>45588</v>
      </c>
      <c r="B1305" s="12">
        <v>3607.5</v>
      </c>
      <c r="C1305" s="12">
        <v>153</v>
      </c>
      <c r="D1305" s="2" t="s">
        <v>9</v>
      </c>
      <c r="E1305" s="2" t="s">
        <v>8</v>
      </c>
      <c r="F1305" s="1">
        <v>1689</v>
      </c>
      <c r="G1305" s="13">
        <v>3025.3818109524732</v>
      </c>
      <c r="H1305" s="14" t="b">
        <v>0</v>
      </c>
      <c r="I1305" s="15">
        <f t="shared" si="80"/>
        <v>3608</v>
      </c>
      <c r="J1305" s="15">
        <f t="shared" si="80"/>
        <v>153</v>
      </c>
      <c r="K1305" s="15">
        <f t="shared" si="81"/>
        <v>3025</v>
      </c>
      <c r="L1305" s="3" t="str">
        <f t="shared" si="82"/>
        <v>Wednesday</v>
      </c>
      <c r="M1305" s="4" t="str">
        <f t="shared" si="83"/>
        <v>Normal Day</v>
      </c>
      <c r="N1305" s="4" t="str">
        <f>TEXT(CleanedData[[#This Row],[DAY]], "mmm yyyy")</f>
        <v>Oct 2024</v>
      </c>
    </row>
    <row r="1306" spans="1:14" x14ac:dyDescent="0.3">
      <c r="A1306" s="5">
        <v>45588</v>
      </c>
      <c r="B1306" s="12">
        <v>5584.5</v>
      </c>
      <c r="C1306" s="12">
        <v>325.5</v>
      </c>
      <c r="D1306" s="2" t="s">
        <v>10</v>
      </c>
      <c r="E1306" s="2" t="s">
        <v>7</v>
      </c>
      <c r="F1306" s="1">
        <v>93</v>
      </c>
      <c r="G1306" s="13">
        <v>5175.6931296547136</v>
      </c>
      <c r="H1306" s="14" t="b">
        <v>0</v>
      </c>
      <c r="I1306" s="15">
        <f t="shared" si="80"/>
        <v>5585</v>
      </c>
      <c r="J1306" s="15">
        <f t="shared" si="80"/>
        <v>326</v>
      </c>
      <c r="K1306" s="15">
        <f t="shared" si="81"/>
        <v>5176</v>
      </c>
      <c r="L1306" s="3" t="str">
        <f t="shared" si="82"/>
        <v>Wednesday</v>
      </c>
      <c r="M1306" s="4" t="str">
        <f t="shared" si="83"/>
        <v>Normal Day</v>
      </c>
      <c r="N1306" s="4" t="str">
        <f>TEXT(CleanedData[[#This Row],[DAY]], "mmm yyyy")</f>
        <v>Oct 2024</v>
      </c>
    </row>
    <row r="1307" spans="1:14" x14ac:dyDescent="0.3">
      <c r="A1307" s="5">
        <v>45589</v>
      </c>
      <c r="B1307" s="12">
        <v>474</v>
      </c>
      <c r="C1307" s="12">
        <v>7.5</v>
      </c>
      <c r="D1307" s="2" t="s">
        <v>6</v>
      </c>
      <c r="E1307" s="2" t="s">
        <v>7</v>
      </c>
      <c r="F1307" s="1">
        <v>123</v>
      </c>
      <c r="G1307" s="13">
        <v>420.91966764688317</v>
      </c>
      <c r="H1307" s="14" t="b">
        <v>0</v>
      </c>
      <c r="I1307" s="15">
        <f t="shared" si="80"/>
        <v>474</v>
      </c>
      <c r="J1307" s="15">
        <f t="shared" si="80"/>
        <v>8</v>
      </c>
      <c r="K1307" s="15">
        <f t="shared" si="81"/>
        <v>421</v>
      </c>
      <c r="L1307" s="3" t="str">
        <f t="shared" si="82"/>
        <v>Thursday</v>
      </c>
      <c r="M1307" s="4" t="str">
        <f t="shared" si="83"/>
        <v>Normal Day</v>
      </c>
      <c r="N1307" s="4" t="str">
        <f>TEXT(CleanedData[[#This Row],[DAY]], "mmm yyyy")</f>
        <v>Oct 2024</v>
      </c>
    </row>
    <row r="1308" spans="1:14" x14ac:dyDescent="0.3">
      <c r="A1308" s="5">
        <v>45589</v>
      </c>
      <c r="B1308" s="12">
        <v>819</v>
      </c>
      <c r="C1308" s="12">
        <v>7.5</v>
      </c>
      <c r="D1308" s="2" t="s">
        <v>6</v>
      </c>
      <c r="E1308" s="2" t="s">
        <v>8</v>
      </c>
      <c r="F1308" s="1">
        <v>39</v>
      </c>
      <c r="G1308" s="13">
        <v>706.34659768336542</v>
      </c>
      <c r="H1308" s="14" t="b">
        <v>0</v>
      </c>
      <c r="I1308" s="15">
        <f t="shared" si="80"/>
        <v>819</v>
      </c>
      <c r="J1308" s="15">
        <f t="shared" si="80"/>
        <v>8</v>
      </c>
      <c r="K1308" s="15">
        <f t="shared" si="81"/>
        <v>706</v>
      </c>
      <c r="L1308" s="3" t="str">
        <f t="shared" si="82"/>
        <v>Thursday</v>
      </c>
      <c r="M1308" s="4" t="str">
        <f t="shared" si="83"/>
        <v>Normal Day</v>
      </c>
      <c r="N1308" s="4" t="str">
        <f>TEXT(CleanedData[[#This Row],[DAY]], "mmm yyyy")</f>
        <v>Oct 2024</v>
      </c>
    </row>
    <row r="1309" spans="1:14" x14ac:dyDescent="0.3">
      <c r="A1309" s="5">
        <v>45589</v>
      </c>
      <c r="B1309" s="12">
        <v>2956.5</v>
      </c>
      <c r="C1309" s="12">
        <v>15</v>
      </c>
      <c r="D1309" s="2" t="s">
        <v>9</v>
      </c>
      <c r="E1309" s="2" t="s">
        <v>8</v>
      </c>
      <c r="F1309" s="1">
        <v>1024</v>
      </c>
      <c r="G1309" s="13">
        <v>2421.5536837289051</v>
      </c>
      <c r="H1309" s="14" t="b">
        <v>0</v>
      </c>
      <c r="I1309" s="15">
        <f t="shared" si="80"/>
        <v>2957</v>
      </c>
      <c r="J1309" s="15">
        <f t="shared" si="80"/>
        <v>15</v>
      </c>
      <c r="K1309" s="15">
        <f t="shared" si="81"/>
        <v>2422</v>
      </c>
      <c r="L1309" s="3" t="str">
        <f t="shared" si="82"/>
        <v>Thursday</v>
      </c>
      <c r="M1309" s="4" t="str">
        <f t="shared" si="83"/>
        <v>Normal Day</v>
      </c>
      <c r="N1309" s="4" t="str">
        <f>TEXT(CleanedData[[#This Row],[DAY]], "mmm yyyy")</f>
        <v>Oct 2024</v>
      </c>
    </row>
    <row r="1310" spans="1:14" x14ac:dyDescent="0.3">
      <c r="A1310" s="5">
        <v>45589</v>
      </c>
      <c r="B1310" s="12">
        <v>4813.5</v>
      </c>
      <c r="C1310" s="12">
        <v>112.5</v>
      </c>
      <c r="D1310" s="2" t="s">
        <v>10</v>
      </c>
      <c r="E1310" s="2" t="s">
        <v>7</v>
      </c>
      <c r="F1310" s="1">
        <v>1515</v>
      </c>
      <c r="G1310" s="13">
        <v>4390.7695301948906</v>
      </c>
      <c r="H1310" s="14" t="b">
        <v>0</v>
      </c>
      <c r="I1310" s="15">
        <f t="shared" si="80"/>
        <v>4814</v>
      </c>
      <c r="J1310" s="15">
        <f t="shared" si="80"/>
        <v>113</v>
      </c>
      <c r="K1310" s="15">
        <f t="shared" si="81"/>
        <v>4391</v>
      </c>
      <c r="L1310" s="3" t="str">
        <f t="shared" si="82"/>
        <v>Thursday</v>
      </c>
      <c r="M1310" s="4" t="str">
        <f t="shared" si="83"/>
        <v>Normal Day</v>
      </c>
      <c r="N1310" s="4" t="str">
        <f>TEXT(CleanedData[[#This Row],[DAY]], "mmm yyyy")</f>
        <v>Oct 2024</v>
      </c>
    </row>
    <row r="1311" spans="1:14" x14ac:dyDescent="0.3">
      <c r="A1311" s="5">
        <v>45590</v>
      </c>
      <c r="B1311" s="12">
        <v>390</v>
      </c>
      <c r="C1311" s="12">
        <v>18</v>
      </c>
      <c r="D1311" s="2" t="s">
        <v>6</v>
      </c>
      <c r="E1311" s="2" t="s">
        <v>8</v>
      </c>
      <c r="F1311" s="1">
        <v>214</v>
      </c>
      <c r="G1311" s="13">
        <v>339.35450334279744</v>
      </c>
      <c r="H1311" s="14" t="b">
        <v>0</v>
      </c>
      <c r="I1311" s="15">
        <f t="shared" si="80"/>
        <v>390</v>
      </c>
      <c r="J1311" s="15">
        <f t="shared" si="80"/>
        <v>18</v>
      </c>
      <c r="K1311" s="15">
        <f t="shared" si="81"/>
        <v>339</v>
      </c>
      <c r="L1311" s="3" t="str">
        <f t="shared" si="82"/>
        <v>Friday</v>
      </c>
      <c r="M1311" s="4" t="str">
        <f t="shared" si="83"/>
        <v>Normal Day</v>
      </c>
      <c r="N1311" s="4" t="str">
        <f>TEXT(CleanedData[[#This Row],[DAY]], "mmm yyyy")</f>
        <v>Oct 2024</v>
      </c>
    </row>
    <row r="1312" spans="1:14" x14ac:dyDescent="0.3">
      <c r="A1312" s="5">
        <v>45590</v>
      </c>
      <c r="B1312" s="12">
        <v>555</v>
      </c>
      <c r="C1312" s="12">
        <v>18</v>
      </c>
      <c r="D1312" s="2" t="s">
        <v>6</v>
      </c>
      <c r="E1312" s="2" t="s">
        <v>7</v>
      </c>
      <c r="F1312" s="1">
        <v>352</v>
      </c>
      <c r="G1312" s="13">
        <v>535.28393989141</v>
      </c>
      <c r="H1312" s="14" t="b">
        <v>0</v>
      </c>
      <c r="I1312" s="15">
        <f t="shared" si="80"/>
        <v>555</v>
      </c>
      <c r="J1312" s="15">
        <f t="shared" si="80"/>
        <v>18</v>
      </c>
      <c r="K1312" s="15">
        <f t="shared" si="81"/>
        <v>535</v>
      </c>
      <c r="L1312" s="3" t="str">
        <f t="shared" si="82"/>
        <v>Friday</v>
      </c>
      <c r="M1312" s="4" t="str">
        <f t="shared" si="83"/>
        <v>Normal Day</v>
      </c>
      <c r="N1312" s="4" t="str">
        <f>TEXT(CleanedData[[#This Row],[DAY]], "mmm yyyy")</f>
        <v>Oct 2024</v>
      </c>
    </row>
    <row r="1313" spans="1:14" x14ac:dyDescent="0.3">
      <c r="A1313" s="5">
        <v>45590</v>
      </c>
      <c r="B1313" s="12">
        <v>4666.5</v>
      </c>
      <c r="C1313" s="12">
        <v>111</v>
      </c>
      <c r="D1313" s="2" t="s">
        <v>9</v>
      </c>
      <c r="E1313" s="2" t="s">
        <v>8</v>
      </c>
      <c r="F1313" s="1">
        <v>1339</v>
      </c>
      <c r="G1313" s="13">
        <v>4026.7738095445825</v>
      </c>
      <c r="H1313" s="14" t="b">
        <v>0</v>
      </c>
      <c r="I1313" s="15">
        <f t="shared" si="80"/>
        <v>4667</v>
      </c>
      <c r="J1313" s="15">
        <f t="shared" si="80"/>
        <v>111</v>
      </c>
      <c r="K1313" s="15">
        <f t="shared" si="81"/>
        <v>4027</v>
      </c>
      <c r="L1313" s="3" t="str">
        <f t="shared" si="82"/>
        <v>Friday</v>
      </c>
      <c r="M1313" s="4" t="str">
        <f t="shared" si="83"/>
        <v>Normal Day</v>
      </c>
      <c r="N1313" s="4" t="str">
        <f>TEXT(CleanedData[[#This Row],[DAY]], "mmm yyyy")</f>
        <v>Oct 2024</v>
      </c>
    </row>
    <row r="1314" spans="1:14" x14ac:dyDescent="0.3">
      <c r="A1314" s="5">
        <v>45590</v>
      </c>
      <c r="B1314" s="12">
        <v>5166</v>
      </c>
      <c r="C1314" s="12">
        <v>285</v>
      </c>
      <c r="D1314" s="2" t="s">
        <v>10</v>
      </c>
      <c r="E1314" s="2" t="s">
        <v>7</v>
      </c>
      <c r="F1314" s="1">
        <v>2639</v>
      </c>
      <c r="G1314" s="13">
        <v>5097.1877174805086</v>
      </c>
      <c r="H1314" s="14" t="b">
        <v>0</v>
      </c>
      <c r="I1314" s="15">
        <f t="shared" si="80"/>
        <v>5166</v>
      </c>
      <c r="J1314" s="15">
        <f t="shared" si="80"/>
        <v>285</v>
      </c>
      <c r="K1314" s="15">
        <f t="shared" si="81"/>
        <v>5097</v>
      </c>
      <c r="L1314" s="3" t="str">
        <f t="shared" si="82"/>
        <v>Friday</v>
      </c>
      <c r="M1314" s="4" t="str">
        <f t="shared" si="83"/>
        <v>Normal Day</v>
      </c>
      <c r="N1314" s="4" t="str">
        <f>TEXT(CleanedData[[#This Row],[DAY]], "mmm yyyy")</f>
        <v>Oct 2024</v>
      </c>
    </row>
    <row r="1315" spans="1:14" x14ac:dyDescent="0.3">
      <c r="A1315" s="5">
        <v>45591</v>
      </c>
      <c r="B1315" s="12">
        <v>691.5</v>
      </c>
      <c r="C1315" s="12">
        <v>18</v>
      </c>
      <c r="D1315" s="2" t="s">
        <v>6</v>
      </c>
      <c r="E1315" s="2" t="s">
        <v>7</v>
      </c>
      <c r="F1315" s="1">
        <v>69</v>
      </c>
      <c r="G1315" s="13">
        <v>665.2387480616926</v>
      </c>
      <c r="H1315" s="14" t="b">
        <v>0</v>
      </c>
      <c r="I1315" s="15">
        <f t="shared" si="80"/>
        <v>692</v>
      </c>
      <c r="J1315" s="15">
        <f t="shared" si="80"/>
        <v>18</v>
      </c>
      <c r="K1315" s="15">
        <f t="shared" si="81"/>
        <v>665</v>
      </c>
      <c r="L1315" s="3" t="str">
        <f t="shared" si="82"/>
        <v>Saturday</v>
      </c>
      <c r="M1315" s="4" t="str">
        <f t="shared" si="83"/>
        <v>Normal Day</v>
      </c>
      <c r="N1315" s="4" t="str">
        <f>TEXT(CleanedData[[#This Row],[DAY]], "mmm yyyy")</f>
        <v>Oct 2024</v>
      </c>
    </row>
    <row r="1316" spans="1:14" x14ac:dyDescent="0.3">
      <c r="A1316" s="5">
        <v>45591</v>
      </c>
      <c r="B1316" s="12">
        <v>1012.5</v>
      </c>
      <c r="C1316" s="12">
        <v>18</v>
      </c>
      <c r="D1316" s="2" t="s">
        <v>6</v>
      </c>
      <c r="E1316" s="2" t="s">
        <v>8</v>
      </c>
      <c r="F1316" s="1">
        <v>597</v>
      </c>
      <c r="G1316" s="13">
        <v>856.31266772316212</v>
      </c>
      <c r="H1316" s="14" t="b">
        <v>0</v>
      </c>
      <c r="I1316" s="15">
        <f t="shared" si="80"/>
        <v>1013</v>
      </c>
      <c r="J1316" s="15">
        <f t="shared" si="80"/>
        <v>18</v>
      </c>
      <c r="K1316" s="15">
        <f t="shared" si="81"/>
        <v>856</v>
      </c>
      <c r="L1316" s="3" t="str">
        <f t="shared" si="82"/>
        <v>Saturday</v>
      </c>
      <c r="M1316" s="4" t="str">
        <f t="shared" si="83"/>
        <v>Normal Day</v>
      </c>
      <c r="N1316" s="4" t="str">
        <f>TEXT(CleanedData[[#This Row],[DAY]], "mmm yyyy")</f>
        <v>Oct 2024</v>
      </c>
    </row>
    <row r="1317" spans="1:14" x14ac:dyDescent="0.3">
      <c r="A1317" s="5">
        <v>45591</v>
      </c>
      <c r="B1317" s="12">
        <v>4243.5</v>
      </c>
      <c r="C1317" s="12">
        <v>105</v>
      </c>
      <c r="D1317" s="2" t="s">
        <v>9</v>
      </c>
      <c r="E1317" s="2" t="s">
        <v>8</v>
      </c>
      <c r="F1317" s="1">
        <v>1739</v>
      </c>
      <c r="G1317" s="13">
        <v>3767.7500143622478</v>
      </c>
      <c r="H1317" s="14" t="b">
        <v>0</v>
      </c>
      <c r="I1317" s="15">
        <f t="shared" si="80"/>
        <v>4244</v>
      </c>
      <c r="J1317" s="15">
        <f t="shared" si="80"/>
        <v>105</v>
      </c>
      <c r="K1317" s="15">
        <f t="shared" si="81"/>
        <v>3768</v>
      </c>
      <c r="L1317" s="3" t="str">
        <f t="shared" si="82"/>
        <v>Saturday</v>
      </c>
      <c r="M1317" s="4" t="str">
        <f t="shared" si="83"/>
        <v>Normal Day</v>
      </c>
      <c r="N1317" s="4" t="str">
        <f>TEXT(CleanedData[[#This Row],[DAY]], "mmm yyyy")</f>
        <v>Oct 2024</v>
      </c>
    </row>
    <row r="1318" spans="1:14" x14ac:dyDescent="0.3">
      <c r="A1318" s="5">
        <v>45591</v>
      </c>
      <c r="B1318" s="12">
        <v>7003.5</v>
      </c>
      <c r="C1318" s="12">
        <v>126</v>
      </c>
      <c r="D1318" s="2" t="s">
        <v>10</v>
      </c>
      <c r="E1318" s="2" t="s">
        <v>7</v>
      </c>
      <c r="F1318" s="1">
        <v>3456</v>
      </c>
      <c r="G1318" s="13">
        <v>6327.5821770091197</v>
      </c>
      <c r="H1318" s="14" t="b">
        <v>0</v>
      </c>
      <c r="I1318" s="15">
        <f t="shared" si="80"/>
        <v>7004</v>
      </c>
      <c r="J1318" s="15">
        <f t="shared" si="80"/>
        <v>126</v>
      </c>
      <c r="K1318" s="15">
        <f t="shared" si="81"/>
        <v>6328</v>
      </c>
      <c r="L1318" s="3" t="str">
        <f t="shared" si="82"/>
        <v>Saturday</v>
      </c>
      <c r="M1318" s="4" t="str">
        <f t="shared" si="83"/>
        <v>Normal Day</v>
      </c>
      <c r="N1318" s="4" t="str">
        <f>TEXT(CleanedData[[#This Row],[DAY]], "mmm yyyy")</f>
        <v>Oct 2024</v>
      </c>
    </row>
    <row r="1319" spans="1:14" x14ac:dyDescent="0.3">
      <c r="A1319" s="5">
        <v>45592</v>
      </c>
      <c r="B1319" s="12">
        <v>1638</v>
      </c>
      <c r="C1319" s="12">
        <v>85.5</v>
      </c>
      <c r="D1319" s="2" t="s">
        <v>6</v>
      </c>
      <c r="E1319" s="2" t="s">
        <v>8</v>
      </c>
      <c r="F1319" s="1">
        <v>689</v>
      </c>
      <c r="G1319" s="13">
        <v>1505.0719625817164</v>
      </c>
      <c r="H1319" s="14" t="b">
        <v>0</v>
      </c>
      <c r="I1319" s="15">
        <f t="shared" si="80"/>
        <v>1638</v>
      </c>
      <c r="J1319" s="15">
        <f t="shared" si="80"/>
        <v>86</v>
      </c>
      <c r="K1319" s="15">
        <f t="shared" si="81"/>
        <v>1505</v>
      </c>
      <c r="L1319" s="3" t="str">
        <f t="shared" si="82"/>
        <v>Sunday</v>
      </c>
      <c r="M1319" s="4" t="str">
        <f t="shared" si="83"/>
        <v>Normal Day</v>
      </c>
      <c r="N1319" s="4" t="str">
        <f>TEXT(CleanedData[[#This Row],[DAY]], "mmm yyyy")</f>
        <v>Oct 2024</v>
      </c>
    </row>
    <row r="1320" spans="1:14" x14ac:dyDescent="0.3">
      <c r="A1320" s="5">
        <v>45592</v>
      </c>
      <c r="B1320" s="12">
        <v>1750.5</v>
      </c>
      <c r="C1320" s="12">
        <v>85.5</v>
      </c>
      <c r="D1320" s="2" t="s">
        <v>6</v>
      </c>
      <c r="E1320" s="2" t="s">
        <v>7</v>
      </c>
      <c r="F1320" s="1">
        <v>707</v>
      </c>
      <c r="G1320" s="13">
        <v>1627.6431291641336</v>
      </c>
      <c r="H1320" s="14" t="b">
        <v>0</v>
      </c>
      <c r="I1320" s="15">
        <f t="shared" si="80"/>
        <v>1751</v>
      </c>
      <c r="J1320" s="15">
        <f t="shared" si="80"/>
        <v>86</v>
      </c>
      <c r="K1320" s="15">
        <f t="shared" si="81"/>
        <v>1628</v>
      </c>
      <c r="L1320" s="3" t="str">
        <f t="shared" si="82"/>
        <v>Sunday</v>
      </c>
      <c r="M1320" s="4" t="str">
        <f t="shared" si="83"/>
        <v>Normal Day</v>
      </c>
      <c r="N1320" s="4" t="str">
        <f>TEXT(CleanedData[[#This Row],[DAY]], "mmm yyyy")</f>
        <v>Oct 2024</v>
      </c>
    </row>
    <row r="1321" spans="1:14" x14ac:dyDescent="0.3">
      <c r="A1321" s="5">
        <v>45592</v>
      </c>
      <c r="B1321" s="12">
        <v>6219</v>
      </c>
      <c r="C1321" s="12">
        <v>130.5</v>
      </c>
      <c r="D1321" s="2" t="s">
        <v>9</v>
      </c>
      <c r="E1321" s="2" t="s">
        <v>8</v>
      </c>
      <c r="F1321" s="1">
        <v>1228</v>
      </c>
      <c r="G1321" s="13">
        <v>5286.9057279691851</v>
      </c>
      <c r="H1321" s="14" t="b">
        <v>0</v>
      </c>
      <c r="I1321" s="15">
        <f t="shared" si="80"/>
        <v>6219</v>
      </c>
      <c r="J1321" s="15">
        <f t="shared" si="80"/>
        <v>131</v>
      </c>
      <c r="K1321" s="15">
        <f t="shared" si="81"/>
        <v>5287</v>
      </c>
      <c r="L1321" s="3" t="str">
        <f t="shared" si="82"/>
        <v>Sunday</v>
      </c>
      <c r="M1321" s="4" t="str">
        <f t="shared" si="83"/>
        <v>Normal Day</v>
      </c>
      <c r="N1321" s="4" t="str">
        <f>TEXT(CleanedData[[#This Row],[DAY]], "mmm yyyy")</f>
        <v>Oct 2024</v>
      </c>
    </row>
    <row r="1322" spans="1:14" x14ac:dyDescent="0.3">
      <c r="A1322" s="5">
        <v>45592</v>
      </c>
      <c r="B1322" s="12">
        <v>6549</v>
      </c>
      <c r="C1322" s="12">
        <v>66</v>
      </c>
      <c r="D1322" s="2" t="s">
        <v>10</v>
      </c>
      <c r="E1322" s="2" t="s">
        <v>7</v>
      </c>
      <c r="F1322" s="1">
        <v>3605</v>
      </c>
      <c r="G1322" s="13">
        <v>6211.1564099859543</v>
      </c>
      <c r="H1322" s="14" t="b">
        <v>0</v>
      </c>
      <c r="I1322" s="15">
        <f t="shared" si="80"/>
        <v>6549</v>
      </c>
      <c r="J1322" s="15">
        <f t="shared" si="80"/>
        <v>66</v>
      </c>
      <c r="K1322" s="15">
        <f t="shared" si="81"/>
        <v>6211</v>
      </c>
      <c r="L1322" s="3" t="str">
        <f t="shared" si="82"/>
        <v>Sunday</v>
      </c>
      <c r="M1322" s="4" t="str">
        <f t="shared" si="83"/>
        <v>Normal Day</v>
      </c>
      <c r="N1322" s="4" t="str">
        <f>TEXT(CleanedData[[#This Row],[DAY]], "mmm yyyy")</f>
        <v>Oct 2024</v>
      </c>
    </row>
    <row r="1323" spans="1:14" x14ac:dyDescent="0.3">
      <c r="A1323" s="5">
        <v>45593</v>
      </c>
      <c r="B1323" s="12">
        <v>642</v>
      </c>
      <c r="C1323" s="12">
        <v>36</v>
      </c>
      <c r="D1323" s="2" t="s">
        <v>6</v>
      </c>
      <c r="E1323" s="2" t="s">
        <v>7</v>
      </c>
      <c r="F1323" s="1">
        <v>356</v>
      </c>
      <c r="G1323" s="13">
        <v>605.99416563715522</v>
      </c>
      <c r="H1323" s="14" t="b">
        <v>0</v>
      </c>
      <c r="I1323" s="15">
        <f t="shared" si="80"/>
        <v>642</v>
      </c>
      <c r="J1323" s="15">
        <f t="shared" si="80"/>
        <v>36</v>
      </c>
      <c r="K1323" s="15">
        <f t="shared" si="81"/>
        <v>606</v>
      </c>
      <c r="L1323" s="3" t="str">
        <f t="shared" si="82"/>
        <v>Monday</v>
      </c>
      <c r="M1323" s="4" t="str">
        <f t="shared" si="83"/>
        <v>Normal Day</v>
      </c>
      <c r="N1323" s="4" t="str">
        <f>TEXT(CleanedData[[#This Row],[DAY]], "mmm yyyy")</f>
        <v>Oct 2024</v>
      </c>
    </row>
    <row r="1324" spans="1:14" x14ac:dyDescent="0.3">
      <c r="A1324" s="5">
        <v>45593</v>
      </c>
      <c r="B1324" s="12">
        <v>967.5</v>
      </c>
      <c r="C1324" s="12">
        <v>36</v>
      </c>
      <c r="D1324" s="2" t="s">
        <v>6</v>
      </c>
      <c r="E1324" s="2" t="s">
        <v>8</v>
      </c>
      <c r="F1324" s="1">
        <v>258</v>
      </c>
      <c r="G1324" s="13">
        <v>857.51019056904943</v>
      </c>
      <c r="H1324" s="14" t="b">
        <v>0</v>
      </c>
      <c r="I1324" s="15">
        <f t="shared" si="80"/>
        <v>968</v>
      </c>
      <c r="J1324" s="15">
        <f t="shared" si="80"/>
        <v>36</v>
      </c>
      <c r="K1324" s="15">
        <f t="shared" si="81"/>
        <v>858</v>
      </c>
      <c r="L1324" s="3" t="str">
        <f t="shared" si="82"/>
        <v>Monday</v>
      </c>
      <c r="M1324" s="4" t="str">
        <f t="shared" si="83"/>
        <v>Normal Day</v>
      </c>
      <c r="N1324" s="4" t="str">
        <f>TEXT(CleanedData[[#This Row],[DAY]], "mmm yyyy")</f>
        <v>Oct 2024</v>
      </c>
    </row>
    <row r="1325" spans="1:14" x14ac:dyDescent="0.3">
      <c r="A1325" s="5">
        <v>45593</v>
      </c>
      <c r="B1325" s="12">
        <v>3414</v>
      </c>
      <c r="C1325" s="12">
        <v>118.5</v>
      </c>
      <c r="D1325" s="2" t="s">
        <v>9</v>
      </c>
      <c r="E1325" s="2" t="s">
        <v>8</v>
      </c>
      <c r="F1325" s="1">
        <v>603</v>
      </c>
      <c r="G1325" s="13">
        <v>3141.6100153717034</v>
      </c>
      <c r="H1325" s="14" t="b">
        <v>0</v>
      </c>
      <c r="I1325" s="15">
        <f t="shared" si="80"/>
        <v>3414</v>
      </c>
      <c r="J1325" s="15">
        <f t="shared" si="80"/>
        <v>119</v>
      </c>
      <c r="K1325" s="15">
        <f t="shared" si="81"/>
        <v>3142</v>
      </c>
      <c r="L1325" s="3" t="str">
        <f t="shared" si="82"/>
        <v>Monday</v>
      </c>
      <c r="M1325" s="4" t="str">
        <f t="shared" si="83"/>
        <v>Normal Day</v>
      </c>
      <c r="N1325" s="4" t="str">
        <f>TEXT(CleanedData[[#This Row],[DAY]], "mmm yyyy")</f>
        <v>Oct 2024</v>
      </c>
    </row>
    <row r="1326" spans="1:14" x14ac:dyDescent="0.3">
      <c r="A1326" s="5">
        <v>45593</v>
      </c>
      <c r="B1326" s="12">
        <v>4933.5</v>
      </c>
      <c r="C1326" s="12">
        <v>289.5</v>
      </c>
      <c r="D1326" s="2" t="s">
        <v>10</v>
      </c>
      <c r="E1326" s="2" t="s">
        <v>7</v>
      </c>
      <c r="F1326" s="1">
        <v>2200</v>
      </c>
      <c r="G1326" s="13">
        <v>4676.0683625552811</v>
      </c>
      <c r="H1326" s="14" t="b">
        <v>0</v>
      </c>
      <c r="I1326" s="15">
        <f t="shared" si="80"/>
        <v>4934</v>
      </c>
      <c r="J1326" s="15">
        <f t="shared" si="80"/>
        <v>290</v>
      </c>
      <c r="K1326" s="15">
        <f t="shared" si="81"/>
        <v>4676</v>
      </c>
      <c r="L1326" s="3" t="str">
        <f t="shared" si="82"/>
        <v>Monday</v>
      </c>
      <c r="M1326" s="4" t="str">
        <f t="shared" si="83"/>
        <v>Normal Day</v>
      </c>
      <c r="N1326" s="4" t="str">
        <f>TEXT(CleanedData[[#This Row],[DAY]], "mmm yyyy")</f>
        <v>Oct 2024</v>
      </c>
    </row>
    <row r="1327" spans="1:14" x14ac:dyDescent="0.3">
      <c r="A1327" s="5">
        <v>45594</v>
      </c>
      <c r="B1327" s="12">
        <v>675</v>
      </c>
      <c r="C1327" s="12">
        <v>10.5</v>
      </c>
      <c r="D1327" s="2" t="s">
        <v>6</v>
      </c>
      <c r="E1327" s="2" t="s">
        <v>7</v>
      </c>
      <c r="F1327" s="1">
        <v>170</v>
      </c>
      <c r="G1327" s="13">
        <v>641.12359716936396</v>
      </c>
      <c r="H1327" s="14" t="b">
        <v>0</v>
      </c>
      <c r="I1327" s="15">
        <f t="shared" si="80"/>
        <v>675</v>
      </c>
      <c r="J1327" s="15">
        <f t="shared" si="80"/>
        <v>11</v>
      </c>
      <c r="K1327" s="15">
        <f t="shared" si="81"/>
        <v>641</v>
      </c>
      <c r="L1327" s="3" t="str">
        <f t="shared" si="82"/>
        <v>Tuesday</v>
      </c>
      <c r="M1327" s="4" t="str">
        <f t="shared" si="83"/>
        <v>Normal Day</v>
      </c>
      <c r="N1327" s="4" t="str">
        <f>TEXT(CleanedData[[#This Row],[DAY]], "mmm yyyy")</f>
        <v>Oct 2024</v>
      </c>
    </row>
    <row r="1328" spans="1:14" x14ac:dyDescent="0.3">
      <c r="A1328" s="5">
        <v>45594</v>
      </c>
      <c r="B1328" s="12">
        <v>1092</v>
      </c>
      <c r="C1328" s="12">
        <v>10.5</v>
      </c>
      <c r="D1328" s="2" t="s">
        <v>6</v>
      </c>
      <c r="E1328" s="2" t="s">
        <v>8</v>
      </c>
      <c r="F1328" s="1">
        <v>378</v>
      </c>
      <c r="G1328" s="13">
        <v>960.70599479260216</v>
      </c>
      <c r="H1328" s="14" t="b">
        <v>0</v>
      </c>
      <c r="I1328" s="15">
        <f t="shared" si="80"/>
        <v>1092</v>
      </c>
      <c r="J1328" s="15">
        <f t="shared" si="80"/>
        <v>11</v>
      </c>
      <c r="K1328" s="15">
        <f t="shared" si="81"/>
        <v>961</v>
      </c>
      <c r="L1328" s="3" t="str">
        <f t="shared" si="82"/>
        <v>Tuesday</v>
      </c>
      <c r="M1328" s="4" t="str">
        <f t="shared" si="83"/>
        <v>Normal Day</v>
      </c>
      <c r="N1328" s="4" t="str">
        <f>TEXT(CleanedData[[#This Row],[DAY]], "mmm yyyy")</f>
        <v>Oct 2024</v>
      </c>
    </row>
    <row r="1329" spans="1:14" x14ac:dyDescent="0.3">
      <c r="A1329" s="5">
        <v>45594</v>
      </c>
      <c r="B1329" s="12">
        <v>3388.5</v>
      </c>
      <c r="C1329" s="12">
        <v>51</v>
      </c>
      <c r="D1329" s="2" t="s">
        <v>9</v>
      </c>
      <c r="E1329" s="2" t="s">
        <v>8</v>
      </c>
      <c r="F1329" s="1">
        <v>1425</v>
      </c>
      <c r="G1329" s="13">
        <v>2832.8580756147985</v>
      </c>
      <c r="H1329" s="14" t="b">
        <v>0</v>
      </c>
      <c r="I1329" s="15">
        <f t="shared" si="80"/>
        <v>3389</v>
      </c>
      <c r="J1329" s="15">
        <f t="shared" si="80"/>
        <v>51</v>
      </c>
      <c r="K1329" s="15">
        <f t="shared" si="81"/>
        <v>2833</v>
      </c>
      <c r="L1329" s="3" t="str">
        <f t="shared" si="82"/>
        <v>Tuesday</v>
      </c>
      <c r="M1329" s="4" t="str">
        <f t="shared" si="83"/>
        <v>Normal Day</v>
      </c>
      <c r="N1329" s="4" t="str">
        <f>TEXT(CleanedData[[#This Row],[DAY]], "mmm yyyy")</f>
        <v>Oct 2024</v>
      </c>
    </row>
    <row r="1330" spans="1:14" x14ac:dyDescent="0.3">
      <c r="A1330" s="5">
        <v>45594</v>
      </c>
      <c r="B1330" s="12">
        <v>5829</v>
      </c>
      <c r="C1330" s="12">
        <v>69</v>
      </c>
      <c r="D1330" s="2" t="s">
        <v>10</v>
      </c>
      <c r="E1330" s="2" t="s">
        <v>7</v>
      </c>
      <c r="F1330" s="1">
        <v>974</v>
      </c>
      <c r="G1330" s="13">
        <v>5421.4640241194329</v>
      </c>
      <c r="H1330" s="14" t="b">
        <v>0</v>
      </c>
      <c r="I1330" s="15">
        <f t="shared" si="80"/>
        <v>5829</v>
      </c>
      <c r="J1330" s="15">
        <f t="shared" si="80"/>
        <v>69</v>
      </c>
      <c r="K1330" s="15">
        <f t="shared" si="81"/>
        <v>5421</v>
      </c>
      <c r="L1330" s="3" t="str">
        <f t="shared" si="82"/>
        <v>Tuesday</v>
      </c>
      <c r="M1330" s="4" t="str">
        <f t="shared" si="83"/>
        <v>Normal Day</v>
      </c>
      <c r="N1330" s="4" t="str">
        <f>TEXT(CleanedData[[#This Row],[DAY]], "mmm yyyy")</f>
        <v>Oct 2024</v>
      </c>
    </row>
    <row r="1331" spans="1:14" x14ac:dyDescent="0.3">
      <c r="A1331" s="5">
        <v>45595</v>
      </c>
      <c r="B1331" s="12">
        <v>822</v>
      </c>
      <c r="C1331" s="12">
        <v>52.5</v>
      </c>
      <c r="D1331" s="2" t="s">
        <v>6</v>
      </c>
      <c r="E1331" s="2" t="s">
        <v>8</v>
      </c>
      <c r="F1331" s="1">
        <v>354</v>
      </c>
      <c r="G1331" s="13">
        <v>777.95716868788816</v>
      </c>
      <c r="H1331" s="14" t="b">
        <v>0</v>
      </c>
      <c r="I1331" s="15">
        <f t="shared" si="80"/>
        <v>822</v>
      </c>
      <c r="J1331" s="15">
        <f t="shared" si="80"/>
        <v>53</v>
      </c>
      <c r="K1331" s="15">
        <f t="shared" si="81"/>
        <v>778</v>
      </c>
      <c r="L1331" s="3" t="str">
        <f t="shared" si="82"/>
        <v>Wednesday</v>
      </c>
      <c r="M1331" s="4" t="str">
        <f t="shared" si="83"/>
        <v>Normal Day</v>
      </c>
      <c r="N1331" s="4" t="str">
        <f>TEXT(CleanedData[[#This Row],[DAY]], "mmm yyyy")</f>
        <v>Oct 2024</v>
      </c>
    </row>
    <row r="1332" spans="1:14" x14ac:dyDescent="0.3">
      <c r="A1332" s="5">
        <v>45595</v>
      </c>
      <c r="B1332" s="12">
        <v>1078.5</v>
      </c>
      <c r="C1332" s="12">
        <v>52.5</v>
      </c>
      <c r="D1332" s="2" t="s">
        <v>6</v>
      </c>
      <c r="E1332" s="2" t="s">
        <v>7</v>
      </c>
      <c r="F1332" s="1">
        <v>558</v>
      </c>
      <c r="G1332" s="13">
        <v>986.63224394812187</v>
      </c>
      <c r="H1332" s="14" t="b">
        <v>0</v>
      </c>
      <c r="I1332" s="15">
        <f t="shared" si="80"/>
        <v>1079</v>
      </c>
      <c r="J1332" s="15">
        <f t="shared" si="80"/>
        <v>53</v>
      </c>
      <c r="K1332" s="15">
        <f t="shared" si="81"/>
        <v>987</v>
      </c>
      <c r="L1332" s="3" t="str">
        <f t="shared" si="82"/>
        <v>Wednesday</v>
      </c>
      <c r="M1332" s="4" t="str">
        <f t="shared" si="83"/>
        <v>Normal Day</v>
      </c>
      <c r="N1332" s="4" t="str">
        <f>TEXT(CleanedData[[#This Row],[DAY]], "mmm yyyy")</f>
        <v>Oct 2024</v>
      </c>
    </row>
    <row r="1333" spans="1:14" x14ac:dyDescent="0.3">
      <c r="A1333" s="5">
        <v>45595</v>
      </c>
      <c r="B1333" s="12">
        <v>4288.5</v>
      </c>
      <c r="C1333" s="12">
        <v>174</v>
      </c>
      <c r="D1333" s="2" t="s">
        <v>9</v>
      </c>
      <c r="E1333" s="2" t="s">
        <v>8</v>
      </c>
      <c r="F1333" s="1">
        <v>2305</v>
      </c>
      <c r="G1333" s="13">
        <v>3834.0375776756064</v>
      </c>
      <c r="H1333" s="14" t="b">
        <v>0</v>
      </c>
      <c r="I1333" s="15">
        <f t="shared" si="80"/>
        <v>4289</v>
      </c>
      <c r="J1333" s="15">
        <f t="shared" si="80"/>
        <v>174</v>
      </c>
      <c r="K1333" s="15">
        <f t="shared" si="81"/>
        <v>3834</v>
      </c>
      <c r="L1333" s="3" t="str">
        <f t="shared" si="82"/>
        <v>Wednesday</v>
      </c>
      <c r="M1333" s="4" t="str">
        <f t="shared" si="83"/>
        <v>Normal Day</v>
      </c>
      <c r="N1333" s="4" t="str">
        <f>TEXT(CleanedData[[#This Row],[DAY]], "mmm yyyy")</f>
        <v>Oct 2024</v>
      </c>
    </row>
    <row r="1334" spans="1:14" x14ac:dyDescent="0.3">
      <c r="A1334" s="5">
        <v>45595</v>
      </c>
      <c r="B1334" s="12">
        <v>6141</v>
      </c>
      <c r="C1334" s="12">
        <v>226.5</v>
      </c>
      <c r="D1334" s="2" t="s">
        <v>10</v>
      </c>
      <c r="E1334" s="2" t="s">
        <v>7</v>
      </c>
      <c r="F1334" s="1">
        <v>4034</v>
      </c>
      <c r="G1334" s="13">
        <v>5942.3867271654835</v>
      </c>
      <c r="H1334" s="14" t="b">
        <v>0</v>
      </c>
      <c r="I1334" s="15">
        <f t="shared" si="80"/>
        <v>6141</v>
      </c>
      <c r="J1334" s="15">
        <f t="shared" si="80"/>
        <v>227</v>
      </c>
      <c r="K1334" s="15">
        <f t="shared" si="81"/>
        <v>5942</v>
      </c>
      <c r="L1334" s="3" t="str">
        <f t="shared" si="82"/>
        <v>Wednesday</v>
      </c>
      <c r="M1334" s="4" t="str">
        <f t="shared" si="83"/>
        <v>Normal Day</v>
      </c>
      <c r="N1334" s="4" t="str">
        <f>TEXT(CleanedData[[#This Row],[DAY]], "mmm yyyy")</f>
        <v>Oct 2024</v>
      </c>
    </row>
    <row r="1335" spans="1:14" x14ac:dyDescent="0.3">
      <c r="A1335" s="5">
        <v>45596</v>
      </c>
      <c r="B1335" s="12">
        <v>1320</v>
      </c>
      <c r="C1335" s="12">
        <v>175.5</v>
      </c>
      <c r="D1335" s="2" t="s">
        <v>6</v>
      </c>
      <c r="E1335" s="2" t="s">
        <v>8</v>
      </c>
      <c r="F1335" s="1">
        <v>77</v>
      </c>
      <c r="G1335" s="13">
        <v>1264.6959777052898</v>
      </c>
      <c r="H1335" s="14" t="b">
        <v>0</v>
      </c>
      <c r="I1335" s="15">
        <f t="shared" si="80"/>
        <v>1320</v>
      </c>
      <c r="J1335" s="15">
        <f t="shared" si="80"/>
        <v>176</v>
      </c>
      <c r="K1335" s="15">
        <f t="shared" si="81"/>
        <v>1265</v>
      </c>
      <c r="L1335" s="3" t="str">
        <f t="shared" si="82"/>
        <v>Thursday</v>
      </c>
      <c r="M1335" s="4" t="str">
        <f t="shared" si="83"/>
        <v>Normal Day</v>
      </c>
      <c r="N1335" s="4" t="str">
        <f>TEXT(CleanedData[[#This Row],[DAY]], "mmm yyyy")</f>
        <v>Oct 2024</v>
      </c>
    </row>
    <row r="1336" spans="1:14" x14ac:dyDescent="0.3">
      <c r="A1336" s="5">
        <v>45596</v>
      </c>
      <c r="B1336" s="12">
        <v>3574.5</v>
      </c>
      <c r="C1336" s="12">
        <v>175.5</v>
      </c>
      <c r="D1336" s="2" t="s">
        <v>6</v>
      </c>
      <c r="E1336" s="2" t="s">
        <v>7</v>
      </c>
      <c r="F1336" s="1">
        <v>2106</v>
      </c>
      <c r="G1336" s="13">
        <v>3296.0277357950999</v>
      </c>
      <c r="H1336" s="14" t="b">
        <v>0</v>
      </c>
      <c r="I1336" s="15">
        <f t="shared" si="80"/>
        <v>3575</v>
      </c>
      <c r="J1336" s="15">
        <f t="shared" si="80"/>
        <v>176</v>
      </c>
      <c r="K1336" s="15">
        <f t="shared" si="81"/>
        <v>3296</v>
      </c>
      <c r="L1336" s="3" t="str">
        <f t="shared" si="82"/>
        <v>Thursday</v>
      </c>
      <c r="M1336" s="4" t="str">
        <f t="shared" si="83"/>
        <v>Normal Day</v>
      </c>
      <c r="N1336" s="4" t="str">
        <f>TEXT(CleanedData[[#This Row],[DAY]], "mmm yyyy")</f>
        <v>Oct 2024</v>
      </c>
    </row>
    <row r="1337" spans="1:14" x14ac:dyDescent="0.3">
      <c r="A1337" s="5">
        <v>45596</v>
      </c>
      <c r="B1337" s="12">
        <v>3867</v>
      </c>
      <c r="C1337" s="12">
        <v>12</v>
      </c>
      <c r="D1337" s="2" t="s">
        <v>9</v>
      </c>
      <c r="E1337" s="2" t="s">
        <v>8</v>
      </c>
      <c r="F1337" s="1">
        <v>2049</v>
      </c>
      <c r="G1337" s="13">
        <v>3374.5041967064826</v>
      </c>
      <c r="H1337" s="14" t="b">
        <v>0</v>
      </c>
      <c r="I1337" s="15">
        <f t="shared" si="80"/>
        <v>3867</v>
      </c>
      <c r="J1337" s="15">
        <f t="shared" si="80"/>
        <v>12</v>
      </c>
      <c r="K1337" s="15">
        <f t="shared" si="81"/>
        <v>3375</v>
      </c>
      <c r="L1337" s="3" t="str">
        <f t="shared" si="82"/>
        <v>Thursday</v>
      </c>
      <c r="M1337" s="4" t="str">
        <f t="shared" si="83"/>
        <v>Normal Day</v>
      </c>
      <c r="N1337" s="4" t="str">
        <f>TEXT(CleanedData[[#This Row],[DAY]], "mmm yyyy")</f>
        <v>Oct 2024</v>
      </c>
    </row>
    <row r="1338" spans="1:14" x14ac:dyDescent="0.3">
      <c r="A1338" s="5">
        <v>45596</v>
      </c>
      <c r="B1338" s="12">
        <v>6642</v>
      </c>
      <c r="C1338" s="12">
        <v>129</v>
      </c>
      <c r="D1338" s="2" t="s">
        <v>10</v>
      </c>
      <c r="E1338" s="2" t="s">
        <v>7</v>
      </c>
      <c r="F1338" s="1">
        <v>992</v>
      </c>
      <c r="G1338" s="13">
        <v>6159.3447252032483</v>
      </c>
      <c r="H1338" s="14" t="b">
        <v>0</v>
      </c>
      <c r="I1338" s="15">
        <f t="shared" si="80"/>
        <v>6642</v>
      </c>
      <c r="J1338" s="15">
        <f t="shared" si="80"/>
        <v>129</v>
      </c>
      <c r="K1338" s="15">
        <f t="shared" si="81"/>
        <v>6159</v>
      </c>
      <c r="L1338" s="3" t="str">
        <f t="shared" si="82"/>
        <v>Thursday</v>
      </c>
      <c r="M1338" s="4" t="str">
        <f t="shared" si="83"/>
        <v>Normal Day</v>
      </c>
      <c r="N1338" s="4" t="str">
        <f>TEXT(CleanedData[[#This Row],[DAY]], "mmm yyyy")</f>
        <v>Oct 2024</v>
      </c>
    </row>
    <row r="1339" spans="1:14" x14ac:dyDescent="0.3">
      <c r="A1339" s="5">
        <v>45597</v>
      </c>
      <c r="B1339" s="12">
        <v>1315.5</v>
      </c>
      <c r="C1339" s="12">
        <v>130.5</v>
      </c>
      <c r="D1339" s="2" t="s">
        <v>6</v>
      </c>
      <c r="E1339" s="2" t="s">
        <v>8</v>
      </c>
      <c r="F1339" s="1">
        <v>467</v>
      </c>
      <c r="G1339" s="13">
        <v>1186.9054380552791</v>
      </c>
      <c r="H1339" s="14" t="b">
        <v>0</v>
      </c>
      <c r="I1339" s="15">
        <f t="shared" si="80"/>
        <v>1316</v>
      </c>
      <c r="J1339" s="15">
        <f t="shared" si="80"/>
        <v>131</v>
      </c>
      <c r="K1339" s="15">
        <f t="shared" si="81"/>
        <v>1187</v>
      </c>
      <c r="L1339" s="3" t="str">
        <f t="shared" si="82"/>
        <v>Friday</v>
      </c>
      <c r="M1339" s="4" t="str">
        <f t="shared" si="83"/>
        <v>Normal Day</v>
      </c>
      <c r="N1339" s="4" t="str">
        <f>TEXT(CleanedData[[#This Row],[DAY]], "mmm yyyy")</f>
        <v>Nov 2024</v>
      </c>
    </row>
    <row r="1340" spans="1:14" x14ac:dyDescent="0.3">
      <c r="A1340" s="5">
        <v>45597</v>
      </c>
      <c r="B1340" s="12">
        <v>2542.5</v>
      </c>
      <c r="C1340" s="12">
        <v>130.5</v>
      </c>
      <c r="D1340" s="2" t="s">
        <v>6</v>
      </c>
      <c r="E1340" s="2" t="s">
        <v>7</v>
      </c>
      <c r="F1340" s="1">
        <v>952</v>
      </c>
      <c r="G1340" s="13">
        <v>2457.2567758743189</v>
      </c>
      <c r="H1340" s="14" t="b">
        <v>0</v>
      </c>
      <c r="I1340" s="15">
        <f t="shared" si="80"/>
        <v>2543</v>
      </c>
      <c r="J1340" s="15">
        <f t="shared" si="80"/>
        <v>131</v>
      </c>
      <c r="K1340" s="15">
        <f t="shared" si="81"/>
        <v>2457</v>
      </c>
      <c r="L1340" s="3" t="str">
        <f t="shared" si="82"/>
        <v>Friday</v>
      </c>
      <c r="M1340" s="4" t="str">
        <f t="shared" si="83"/>
        <v>Normal Day</v>
      </c>
      <c r="N1340" s="4" t="str">
        <f>TEXT(CleanedData[[#This Row],[DAY]], "mmm yyyy")</f>
        <v>Nov 2024</v>
      </c>
    </row>
    <row r="1341" spans="1:14" x14ac:dyDescent="0.3">
      <c r="A1341" s="5">
        <v>45597</v>
      </c>
      <c r="B1341" s="12">
        <v>5923.5</v>
      </c>
      <c r="C1341" s="12">
        <v>172.5</v>
      </c>
      <c r="D1341" s="2" t="s">
        <v>9</v>
      </c>
      <c r="E1341" s="2" t="s">
        <v>8</v>
      </c>
      <c r="F1341" s="1">
        <v>394</v>
      </c>
      <c r="G1341" s="13">
        <v>4935.3918253813272</v>
      </c>
      <c r="H1341" s="14" t="b">
        <v>0</v>
      </c>
      <c r="I1341" s="15">
        <f t="shared" si="80"/>
        <v>5924</v>
      </c>
      <c r="J1341" s="15">
        <f t="shared" si="80"/>
        <v>173</v>
      </c>
      <c r="K1341" s="15">
        <f t="shared" si="81"/>
        <v>4935</v>
      </c>
      <c r="L1341" s="3" t="str">
        <f t="shared" si="82"/>
        <v>Friday</v>
      </c>
      <c r="M1341" s="4" t="str">
        <f t="shared" si="83"/>
        <v>Normal Day</v>
      </c>
      <c r="N1341" s="4" t="str">
        <f>TEXT(CleanedData[[#This Row],[DAY]], "mmm yyyy")</f>
        <v>Nov 2024</v>
      </c>
    </row>
    <row r="1342" spans="1:14" x14ac:dyDescent="0.3">
      <c r="A1342" s="5">
        <v>45597</v>
      </c>
      <c r="B1342" s="12">
        <v>10029</v>
      </c>
      <c r="C1342" s="12">
        <v>505.5</v>
      </c>
      <c r="D1342" s="2" t="s">
        <v>10</v>
      </c>
      <c r="E1342" s="2" t="s">
        <v>7</v>
      </c>
      <c r="F1342" s="1">
        <v>5865</v>
      </c>
      <c r="G1342" s="13">
        <v>9169.8137010220435</v>
      </c>
      <c r="H1342" s="14" t="b">
        <v>1</v>
      </c>
      <c r="I1342" s="15">
        <f t="shared" si="80"/>
        <v>10029</v>
      </c>
      <c r="J1342" s="15">
        <f t="shared" si="80"/>
        <v>506</v>
      </c>
      <c r="K1342" s="15">
        <f t="shared" si="81"/>
        <v>9170</v>
      </c>
      <c r="L1342" s="3" t="str">
        <f t="shared" si="82"/>
        <v>Friday</v>
      </c>
      <c r="M1342" s="4" t="str">
        <f t="shared" si="83"/>
        <v>Outage Day</v>
      </c>
      <c r="N1342" s="4" t="str">
        <f>TEXT(CleanedData[[#This Row],[DAY]], "mmm yyyy")</f>
        <v>Nov 2024</v>
      </c>
    </row>
    <row r="1343" spans="1:14" x14ac:dyDescent="0.3">
      <c r="A1343" s="5">
        <v>45598</v>
      </c>
      <c r="B1343" s="12">
        <v>1476</v>
      </c>
      <c r="C1343" s="12">
        <v>79.5</v>
      </c>
      <c r="D1343" s="2" t="s">
        <v>6</v>
      </c>
      <c r="E1343" s="2" t="s">
        <v>8</v>
      </c>
      <c r="F1343" s="1">
        <v>653</v>
      </c>
      <c r="G1343" s="13">
        <v>1261.5761189533123</v>
      </c>
      <c r="H1343" s="14" t="b">
        <v>0</v>
      </c>
      <c r="I1343" s="15">
        <f t="shared" si="80"/>
        <v>1476</v>
      </c>
      <c r="J1343" s="15">
        <f t="shared" si="80"/>
        <v>80</v>
      </c>
      <c r="K1343" s="15">
        <f t="shared" si="81"/>
        <v>1262</v>
      </c>
      <c r="L1343" s="3" t="str">
        <f t="shared" si="82"/>
        <v>Saturday</v>
      </c>
      <c r="M1343" s="4" t="str">
        <f t="shared" si="83"/>
        <v>Normal Day</v>
      </c>
      <c r="N1343" s="4" t="str">
        <f>TEXT(CleanedData[[#This Row],[DAY]], "mmm yyyy")</f>
        <v>Nov 2024</v>
      </c>
    </row>
    <row r="1344" spans="1:14" x14ac:dyDescent="0.3">
      <c r="A1344" s="5">
        <v>45598</v>
      </c>
      <c r="B1344" s="12">
        <v>1617</v>
      </c>
      <c r="C1344" s="12">
        <v>79.5</v>
      </c>
      <c r="D1344" s="2" t="s">
        <v>6</v>
      </c>
      <c r="E1344" s="2" t="s">
        <v>7</v>
      </c>
      <c r="F1344" s="1">
        <v>684</v>
      </c>
      <c r="G1344" s="13">
        <v>1490.6173860286642</v>
      </c>
      <c r="H1344" s="14" t="b">
        <v>0</v>
      </c>
      <c r="I1344" s="15">
        <f t="shared" si="80"/>
        <v>1617</v>
      </c>
      <c r="J1344" s="15">
        <f t="shared" si="80"/>
        <v>80</v>
      </c>
      <c r="K1344" s="15">
        <f t="shared" si="81"/>
        <v>1491</v>
      </c>
      <c r="L1344" s="3" t="str">
        <f t="shared" si="82"/>
        <v>Saturday</v>
      </c>
      <c r="M1344" s="4" t="str">
        <f t="shared" si="83"/>
        <v>Normal Day</v>
      </c>
      <c r="N1344" s="4" t="str">
        <f>TEXT(CleanedData[[#This Row],[DAY]], "mmm yyyy")</f>
        <v>Nov 2024</v>
      </c>
    </row>
    <row r="1345" spans="1:14" x14ac:dyDescent="0.3">
      <c r="A1345" s="5">
        <v>45598</v>
      </c>
      <c r="B1345" s="12">
        <v>4402.5</v>
      </c>
      <c r="C1345" s="12">
        <v>34.5</v>
      </c>
      <c r="D1345" s="2" t="s">
        <v>9</v>
      </c>
      <c r="E1345" s="2" t="s">
        <v>8</v>
      </c>
      <c r="F1345" s="1">
        <v>299</v>
      </c>
      <c r="G1345" s="13">
        <v>3672.2151512904584</v>
      </c>
      <c r="H1345" s="14" t="b">
        <v>0</v>
      </c>
      <c r="I1345" s="15">
        <f t="shared" si="80"/>
        <v>4403</v>
      </c>
      <c r="J1345" s="15">
        <f t="shared" si="80"/>
        <v>35</v>
      </c>
      <c r="K1345" s="15">
        <f t="shared" si="81"/>
        <v>3672</v>
      </c>
      <c r="L1345" s="3" t="str">
        <f t="shared" si="82"/>
        <v>Saturday</v>
      </c>
      <c r="M1345" s="4" t="str">
        <f t="shared" si="83"/>
        <v>Normal Day</v>
      </c>
      <c r="N1345" s="4" t="str">
        <f>TEXT(CleanedData[[#This Row],[DAY]], "mmm yyyy")</f>
        <v>Nov 2024</v>
      </c>
    </row>
    <row r="1346" spans="1:14" x14ac:dyDescent="0.3">
      <c r="A1346" s="5">
        <v>45598</v>
      </c>
      <c r="B1346" s="12">
        <v>7890</v>
      </c>
      <c r="C1346" s="12">
        <v>255</v>
      </c>
      <c r="D1346" s="2" t="s">
        <v>10</v>
      </c>
      <c r="E1346" s="2" t="s">
        <v>7</v>
      </c>
      <c r="F1346" s="1">
        <v>4134</v>
      </c>
      <c r="G1346" s="13">
        <v>7218.497230657732</v>
      </c>
      <c r="H1346" s="14" t="b">
        <v>0</v>
      </c>
      <c r="I1346" s="15">
        <f t="shared" ref="I1346:J1409" si="84">ROUND(B1346, 0)</f>
        <v>7890</v>
      </c>
      <c r="J1346" s="15">
        <f t="shared" si="84"/>
        <v>255</v>
      </c>
      <c r="K1346" s="15">
        <f t="shared" ref="K1346:K1409" si="85">ROUND(G1346, 0)</f>
        <v>7218</v>
      </c>
      <c r="L1346" s="3" t="str">
        <f t="shared" si="82"/>
        <v>Saturday</v>
      </c>
      <c r="M1346" s="4" t="str">
        <f t="shared" si="83"/>
        <v>Normal Day</v>
      </c>
      <c r="N1346" s="4" t="str">
        <f>TEXT(CleanedData[[#This Row],[DAY]], "mmm yyyy")</f>
        <v>Nov 2024</v>
      </c>
    </row>
    <row r="1347" spans="1:14" x14ac:dyDescent="0.3">
      <c r="A1347" s="5">
        <v>45599</v>
      </c>
      <c r="B1347" s="12">
        <v>2736</v>
      </c>
      <c r="C1347" s="12">
        <v>139.5</v>
      </c>
      <c r="D1347" s="2" t="s">
        <v>6</v>
      </c>
      <c r="E1347" s="2" t="s">
        <v>7</v>
      </c>
      <c r="F1347" s="1">
        <v>1670</v>
      </c>
      <c r="G1347" s="13">
        <v>2682.5023138948332</v>
      </c>
      <c r="H1347" s="14" t="b">
        <v>0</v>
      </c>
      <c r="I1347" s="15">
        <f t="shared" si="84"/>
        <v>2736</v>
      </c>
      <c r="J1347" s="15">
        <f t="shared" si="84"/>
        <v>140</v>
      </c>
      <c r="K1347" s="15">
        <f t="shared" si="85"/>
        <v>2683</v>
      </c>
      <c r="L1347" s="3" t="str">
        <f t="shared" ref="L1347:L1410" si="86">TEXT(A1347,"dddd")</f>
        <v>Sunday</v>
      </c>
      <c r="M1347" s="4" t="str">
        <f t="shared" ref="M1347:M1410" si="87">IF(H1347=TRUE, "Outage Day", "Normal Day")</f>
        <v>Normal Day</v>
      </c>
      <c r="N1347" s="4" t="str">
        <f>TEXT(CleanedData[[#This Row],[DAY]], "mmm yyyy")</f>
        <v>Nov 2024</v>
      </c>
    </row>
    <row r="1348" spans="1:14" x14ac:dyDescent="0.3">
      <c r="A1348" s="5">
        <v>45599</v>
      </c>
      <c r="B1348" s="12">
        <v>3003</v>
      </c>
      <c r="C1348" s="12">
        <v>139.5</v>
      </c>
      <c r="D1348" s="2" t="s">
        <v>6</v>
      </c>
      <c r="E1348" s="2" t="s">
        <v>8</v>
      </c>
      <c r="F1348" s="1">
        <v>1532</v>
      </c>
      <c r="G1348" s="13">
        <v>2699.5746413095808</v>
      </c>
      <c r="H1348" s="14" t="b">
        <v>0</v>
      </c>
      <c r="I1348" s="15">
        <f t="shared" si="84"/>
        <v>3003</v>
      </c>
      <c r="J1348" s="15">
        <f t="shared" si="84"/>
        <v>140</v>
      </c>
      <c r="K1348" s="15">
        <f t="shared" si="85"/>
        <v>2700</v>
      </c>
      <c r="L1348" s="3" t="str">
        <f t="shared" si="86"/>
        <v>Sunday</v>
      </c>
      <c r="M1348" s="4" t="str">
        <f t="shared" si="87"/>
        <v>Normal Day</v>
      </c>
      <c r="N1348" s="4" t="str">
        <f>TEXT(CleanedData[[#This Row],[DAY]], "mmm yyyy")</f>
        <v>Nov 2024</v>
      </c>
    </row>
    <row r="1349" spans="1:14" x14ac:dyDescent="0.3">
      <c r="A1349" s="5">
        <v>45599</v>
      </c>
      <c r="B1349" s="12">
        <v>3981</v>
      </c>
      <c r="C1349" s="12">
        <v>3</v>
      </c>
      <c r="D1349" s="2" t="s">
        <v>9</v>
      </c>
      <c r="E1349" s="2" t="s">
        <v>8</v>
      </c>
      <c r="F1349" s="1">
        <v>1969</v>
      </c>
      <c r="G1349" s="13">
        <v>3357.1190528805346</v>
      </c>
      <c r="H1349" s="14" t="b">
        <v>0</v>
      </c>
      <c r="I1349" s="15">
        <f t="shared" si="84"/>
        <v>3981</v>
      </c>
      <c r="J1349" s="15">
        <f t="shared" si="84"/>
        <v>3</v>
      </c>
      <c r="K1349" s="15">
        <f t="shared" si="85"/>
        <v>3357</v>
      </c>
      <c r="L1349" s="3" t="str">
        <f t="shared" si="86"/>
        <v>Sunday</v>
      </c>
      <c r="M1349" s="4" t="str">
        <f t="shared" si="87"/>
        <v>Normal Day</v>
      </c>
      <c r="N1349" s="4" t="str">
        <f>TEXT(CleanedData[[#This Row],[DAY]], "mmm yyyy")</f>
        <v>Nov 2024</v>
      </c>
    </row>
    <row r="1350" spans="1:14" x14ac:dyDescent="0.3">
      <c r="A1350" s="5">
        <v>45599</v>
      </c>
      <c r="B1350" s="12">
        <v>6834</v>
      </c>
      <c r="C1350" s="12">
        <v>15</v>
      </c>
      <c r="D1350" s="2" t="s">
        <v>10</v>
      </c>
      <c r="E1350" s="2" t="s">
        <v>7</v>
      </c>
      <c r="F1350" s="1">
        <v>3045</v>
      </c>
      <c r="G1350" s="13">
        <v>6005.3639183886007</v>
      </c>
      <c r="H1350" s="14" t="b">
        <v>0</v>
      </c>
      <c r="I1350" s="15">
        <f t="shared" si="84"/>
        <v>6834</v>
      </c>
      <c r="J1350" s="15">
        <f t="shared" si="84"/>
        <v>15</v>
      </c>
      <c r="K1350" s="15">
        <f t="shared" si="85"/>
        <v>6005</v>
      </c>
      <c r="L1350" s="3" t="str">
        <f t="shared" si="86"/>
        <v>Sunday</v>
      </c>
      <c r="M1350" s="4" t="str">
        <f t="shared" si="87"/>
        <v>Normal Day</v>
      </c>
      <c r="N1350" s="4" t="str">
        <f>TEXT(CleanedData[[#This Row],[DAY]], "mmm yyyy")</f>
        <v>Nov 2024</v>
      </c>
    </row>
    <row r="1351" spans="1:14" x14ac:dyDescent="0.3">
      <c r="A1351" s="5">
        <v>45600</v>
      </c>
      <c r="B1351" s="12">
        <v>811.5</v>
      </c>
      <c r="C1351" s="12">
        <v>4.5</v>
      </c>
      <c r="D1351" s="2" t="s">
        <v>6</v>
      </c>
      <c r="E1351" s="2" t="s">
        <v>8</v>
      </c>
      <c r="F1351" s="1">
        <v>456</v>
      </c>
      <c r="G1351" s="13">
        <v>683.86757873059094</v>
      </c>
      <c r="H1351" s="14" t="b">
        <v>0</v>
      </c>
      <c r="I1351" s="15">
        <f t="shared" si="84"/>
        <v>812</v>
      </c>
      <c r="J1351" s="15">
        <f t="shared" si="84"/>
        <v>5</v>
      </c>
      <c r="K1351" s="15">
        <f t="shared" si="85"/>
        <v>684</v>
      </c>
      <c r="L1351" s="3" t="str">
        <f t="shared" si="86"/>
        <v>Monday</v>
      </c>
      <c r="M1351" s="4" t="str">
        <f t="shared" si="87"/>
        <v>Normal Day</v>
      </c>
      <c r="N1351" s="4" t="str">
        <f>TEXT(CleanedData[[#This Row],[DAY]], "mmm yyyy")</f>
        <v>Nov 2024</v>
      </c>
    </row>
    <row r="1352" spans="1:14" x14ac:dyDescent="0.3">
      <c r="A1352" s="5">
        <v>45600</v>
      </c>
      <c r="B1352" s="12">
        <v>1089</v>
      </c>
      <c r="C1352" s="12">
        <v>4.5</v>
      </c>
      <c r="D1352" s="2" t="s">
        <v>6</v>
      </c>
      <c r="E1352" s="2" t="s">
        <v>7</v>
      </c>
      <c r="F1352" s="1">
        <v>77</v>
      </c>
      <c r="G1352" s="13">
        <v>958.99056697018818</v>
      </c>
      <c r="H1352" s="14" t="b">
        <v>0</v>
      </c>
      <c r="I1352" s="15">
        <f t="shared" si="84"/>
        <v>1089</v>
      </c>
      <c r="J1352" s="15">
        <f t="shared" si="84"/>
        <v>5</v>
      </c>
      <c r="K1352" s="15">
        <f t="shared" si="85"/>
        <v>959</v>
      </c>
      <c r="L1352" s="3" t="str">
        <f t="shared" si="86"/>
        <v>Monday</v>
      </c>
      <c r="M1352" s="4" t="str">
        <f t="shared" si="87"/>
        <v>Normal Day</v>
      </c>
      <c r="N1352" s="4" t="str">
        <f>TEXT(CleanedData[[#This Row],[DAY]], "mmm yyyy")</f>
        <v>Nov 2024</v>
      </c>
    </row>
    <row r="1353" spans="1:14" x14ac:dyDescent="0.3">
      <c r="A1353" s="5">
        <v>45600</v>
      </c>
      <c r="B1353" s="12">
        <v>4359</v>
      </c>
      <c r="C1353" s="12">
        <v>175.5</v>
      </c>
      <c r="D1353" s="2" t="s">
        <v>9</v>
      </c>
      <c r="E1353" s="2" t="s">
        <v>8</v>
      </c>
      <c r="F1353" s="1">
        <v>1395</v>
      </c>
      <c r="G1353" s="13">
        <v>3686.4964427859195</v>
      </c>
      <c r="H1353" s="14" t="b">
        <v>0</v>
      </c>
      <c r="I1353" s="15">
        <f t="shared" si="84"/>
        <v>4359</v>
      </c>
      <c r="J1353" s="15">
        <f t="shared" si="84"/>
        <v>176</v>
      </c>
      <c r="K1353" s="15">
        <f t="shared" si="85"/>
        <v>3686</v>
      </c>
      <c r="L1353" s="3" t="str">
        <f t="shared" si="86"/>
        <v>Monday</v>
      </c>
      <c r="M1353" s="4" t="str">
        <f t="shared" si="87"/>
        <v>Normal Day</v>
      </c>
      <c r="N1353" s="4" t="str">
        <f>TEXT(CleanedData[[#This Row],[DAY]], "mmm yyyy")</f>
        <v>Nov 2024</v>
      </c>
    </row>
    <row r="1354" spans="1:14" x14ac:dyDescent="0.3">
      <c r="A1354" s="5">
        <v>45600</v>
      </c>
      <c r="B1354" s="12">
        <v>6220.5</v>
      </c>
      <c r="C1354" s="12">
        <v>286.5</v>
      </c>
      <c r="D1354" s="2" t="s">
        <v>10</v>
      </c>
      <c r="E1354" s="2" t="s">
        <v>7</v>
      </c>
      <c r="F1354" s="1">
        <v>2015</v>
      </c>
      <c r="G1354" s="13">
        <v>6009.9366589821184</v>
      </c>
      <c r="H1354" s="14" t="b">
        <v>0</v>
      </c>
      <c r="I1354" s="15">
        <f t="shared" si="84"/>
        <v>6221</v>
      </c>
      <c r="J1354" s="15">
        <f t="shared" si="84"/>
        <v>287</v>
      </c>
      <c r="K1354" s="15">
        <f t="shared" si="85"/>
        <v>6010</v>
      </c>
      <c r="L1354" s="3" t="str">
        <f t="shared" si="86"/>
        <v>Monday</v>
      </c>
      <c r="M1354" s="4" t="str">
        <f t="shared" si="87"/>
        <v>Normal Day</v>
      </c>
      <c r="N1354" s="4" t="str">
        <f>TEXT(CleanedData[[#This Row],[DAY]], "mmm yyyy")</f>
        <v>Nov 2024</v>
      </c>
    </row>
    <row r="1355" spans="1:14" x14ac:dyDescent="0.3">
      <c r="A1355" s="5">
        <v>45601</v>
      </c>
      <c r="B1355" s="12">
        <v>1468.5</v>
      </c>
      <c r="C1355" s="12">
        <v>85.5</v>
      </c>
      <c r="D1355" s="2" t="s">
        <v>6</v>
      </c>
      <c r="E1355" s="2" t="s">
        <v>8</v>
      </c>
      <c r="F1355" s="1">
        <v>307</v>
      </c>
      <c r="G1355" s="13">
        <v>1315.9164978546896</v>
      </c>
      <c r="H1355" s="14" t="b">
        <v>0</v>
      </c>
      <c r="I1355" s="15">
        <f t="shared" si="84"/>
        <v>1469</v>
      </c>
      <c r="J1355" s="15">
        <f t="shared" si="84"/>
        <v>86</v>
      </c>
      <c r="K1355" s="15">
        <f t="shared" si="85"/>
        <v>1316</v>
      </c>
      <c r="L1355" s="3" t="str">
        <f t="shared" si="86"/>
        <v>Tuesday</v>
      </c>
      <c r="M1355" s="4" t="str">
        <f t="shared" si="87"/>
        <v>Normal Day</v>
      </c>
      <c r="N1355" s="4" t="str">
        <f>TEXT(CleanedData[[#This Row],[DAY]], "mmm yyyy")</f>
        <v>Nov 2024</v>
      </c>
    </row>
    <row r="1356" spans="1:14" x14ac:dyDescent="0.3">
      <c r="A1356" s="5">
        <v>45601</v>
      </c>
      <c r="B1356" s="12">
        <v>1536</v>
      </c>
      <c r="C1356" s="12">
        <v>85.5</v>
      </c>
      <c r="D1356" s="2" t="s">
        <v>6</v>
      </c>
      <c r="E1356" s="2" t="s">
        <v>7</v>
      </c>
      <c r="F1356" s="1">
        <v>903</v>
      </c>
      <c r="G1356" s="13">
        <v>1484.9046170669633</v>
      </c>
      <c r="H1356" s="14" t="b">
        <v>0</v>
      </c>
      <c r="I1356" s="15">
        <f t="shared" si="84"/>
        <v>1536</v>
      </c>
      <c r="J1356" s="15">
        <f t="shared" si="84"/>
        <v>86</v>
      </c>
      <c r="K1356" s="15">
        <f t="shared" si="85"/>
        <v>1485</v>
      </c>
      <c r="L1356" s="3" t="str">
        <f t="shared" si="86"/>
        <v>Tuesday</v>
      </c>
      <c r="M1356" s="4" t="str">
        <f t="shared" si="87"/>
        <v>Normal Day</v>
      </c>
      <c r="N1356" s="4" t="str">
        <f>TEXT(CleanedData[[#This Row],[DAY]], "mmm yyyy")</f>
        <v>Nov 2024</v>
      </c>
    </row>
    <row r="1357" spans="1:14" x14ac:dyDescent="0.3">
      <c r="A1357" s="5">
        <v>45601</v>
      </c>
      <c r="B1357" s="12">
        <v>3322.5</v>
      </c>
      <c r="C1357" s="12">
        <v>81</v>
      </c>
      <c r="D1357" s="2" t="s">
        <v>9</v>
      </c>
      <c r="E1357" s="2" t="s">
        <v>8</v>
      </c>
      <c r="F1357" s="1">
        <v>2162</v>
      </c>
      <c r="G1357" s="13">
        <v>2781.0516226107129</v>
      </c>
      <c r="H1357" s="14" t="b">
        <v>0</v>
      </c>
      <c r="I1357" s="15">
        <f t="shared" si="84"/>
        <v>3323</v>
      </c>
      <c r="J1357" s="15">
        <f t="shared" si="84"/>
        <v>81</v>
      </c>
      <c r="K1357" s="15">
        <f t="shared" si="85"/>
        <v>2781</v>
      </c>
      <c r="L1357" s="3" t="str">
        <f t="shared" si="86"/>
        <v>Tuesday</v>
      </c>
      <c r="M1357" s="4" t="str">
        <f t="shared" si="87"/>
        <v>Normal Day</v>
      </c>
      <c r="N1357" s="4" t="str">
        <f>TEXT(CleanedData[[#This Row],[DAY]], "mmm yyyy")</f>
        <v>Nov 2024</v>
      </c>
    </row>
    <row r="1358" spans="1:14" x14ac:dyDescent="0.3">
      <c r="A1358" s="5">
        <v>45601</v>
      </c>
      <c r="B1358" s="12">
        <v>5403</v>
      </c>
      <c r="C1358" s="12">
        <v>43.5</v>
      </c>
      <c r="D1358" s="2" t="s">
        <v>10</v>
      </c>
      <c r="E1358" s="2" t="s">
        <v>7</v>
      </c>
      <c r="F1358" s="1">
        <v>139</v>
      </c>
      <c r="G1358" s="13">
        <v>5104.3424951427396</v>
      </c>
      <c r="H1358" s="14" t="b">
        <v>0</v>
      </c>
      <c r="I1358" s="15">
        <f t="shared" si="84"/>
        <v>5403</v>
      </c>
      <c r="J1358" s="15">
        <f t="shared" si="84"/>
        <v>44</v>
      </c>
      <c r="K1358" s="15">
        <f t="shared" si="85"/>
        <v>5104</v>
      </c>
      <c r="L1358" s="3" t="str">
        <f t="shared" si="86"/>
        <v>Tuesday</v>
      </c>
      <c r="M1358" s="4" t="str">
        <f t="shared" si="87"/>
        <v>Normal Day</v>
      </c>
      <c r="N1358" s="4" t="str">
        <f>TEXT(CleanedData[[#This Row],[DAY]], "mmm yyyy")</f>
        <v>Nov 2024</v>
      </c>
    </row>
    <row r="1359" spans="1:14" x14ac:dyDescent="0.3">
      <c r="A1359" s="5">
        <v>45602</v>
      </c>
      <c r="B1359" s="12">
        <v>868.5</v>
      </c>
      <c r="C1359" s="12">
        <v>33</v>
      </c>
      <c r="D1359" s="2" t="s">
        <v>6</v>
      </c>
      <c r="E1359" s="2" t="s">
        <v>8</v>
      </c>
      <c r="F1359" s="1">
        <v>282</v>
      </c>
      <c r="G1359" s="13">
        <v>724.32064290377764</v>
      </c>
      <c r="H1359" s="14" t="b">
        <v>1</v>
      </c>
      <c r="I1359" s="15">
        <f t="shared" si="84"/>
        <v>869</v>
      </c>
      <c r="J1359" s="15">
        <f t="shared" si="84"/>
        <v>33</v>
      </c>
      <c r="K1359" s="15">
        <f t="shared" si="85"/>
        <v>724</v>
      </c>
      <c r="L1359" s="3" t="str">
        <f t="shared" si="86"/>
        <v>Wednesday</v>
      </c>
      <c r="M1359" s="4" t="str">
        <f t="shared" si="87"/>
        <v>Outage Day</v>
      </c>
      <c r="N1359" s="4" t="str">
        <f>TEXT(CleanedData[[#This Row],[DAY]], "mmm yyyy")</f>
        <v>Nov 2024</v>
      </c>
    </row>
    <row r="1360" spans="1:14" x14ac:dyDescent="0.3">
      <c r="A1360" s="5">
        <v>45602</v>
      </c>
      <c r="B1360" s="12">
        <v>1053</v>
      </c>
      <c r="C1360" s="12">
        <v>33</v>
      </c>
      <c r="D1360" s="2" t="s">
        <v>6</v>
      </c>
      <c r="E1360" s="2" t="s">
        <v>7</v>
      </c>
      <c r="F1360" s="1">
        <v>531</v>
      </c>
      <c r="G1360" s="13">
        <v>974.36001836540424</v>
      </c>
      <c r="H1360" s="14" t="b">
        <v>0</v>
      </c>
      <c r="I1360" s="15">
        <f t="shared" si="84"/>
        <v>1053</v>
      </c>
      <c r="J1360" s="15">
        <f t="shared" si="84"/>
        <v>33</v>
      </c>
      <c r="K1360" s="15">
        <f t="shared" si="85"/>
        <v>974</v>
      </c>
      <c r="L1360" s="3" t="str">
        <f t="shared" si="86"/>
        <v>Wednesday</v>
      </c>
      <c r="M1360" s="4" t="str">
        <f t="shared" si="87"/>
        <v>Normal Day</v>
      </c>
      <c r="N1360" s="4" t="str">
        <f>TEXT(CleanedData[[#This Row],[DAY]], "mmm yyyy")</f>
        <v>Nov 2024</v>
      </c>
    </row>
    <row r="1361" spans="1:14" x14ac:dyDescent="0.3">
      <c r="A1361" s="5">
        <v>45602</v>
      </c>
      <c r="B1361" s="12">
        <v>4965</v>
      </c>
      <c r="C1361" s="12">
        <v>127.5</v>
      </c>
      <c r="D1361" s="2" t="s">
        <v>9</v>
      </c>
      <c r="E1361" s="2" t="s">
        <v>8</v>
      </c>
      <c r="F1361" s="1">
        <v>933</v>
      </c>
      <c r="G1361" s="13">
        <v>4151.3047917107524</v>
      </c>
      <c r="H1361" s="14" t="b">
        <v>0</v>
      </c>
      <c r="I1361" s="15">
        <f t="shared" si="84"/>
        <v>4965</v>
      </c>
      <c r="J1361" s="15">
        <f t="shared" si="84"/>
        <v>128</v>
      </c>
      <c r="K1361" s="15">
        <f t="shared" si="85"/>
        <v>4151</v>
      </c>
      <c r="L1361" s="3" t="str">
        <f t="shared" si="86"/>
        <v>Wednesday</v>
      </c>
      <c r="M1361" s="4" t="str">
        <f t="shared" si="87"/>
        <v>Normal Day</v>
      </c>
      <c r="N1361" s="4" t="str">
        <f>TEXT(CleanedData[[#This Row],[DAY]], "mmm yyyy")</f>
        <v>Nov 2024</v>
      </c>
    </row>
    <row r="1362" spans="1:14" x14ac:dyDescent="0.3">
      <c r="A1362" s="5">
        <v>45602</v>
      </c>
      <c r="B1362" s="12">
        <v>5784</v>
      </c>
      <c r="C1362" s="12">
        <v>99</v>
      </c>
      <c r="D1362" s="2" t="s">
        <v>10</v>
      </c>
      <c r="E1362" s="2" t="s">
        <v>7</v>
      </c>
      <c r="F1362" s="1">
        <v>1838</v>
      </c>
      <c r="G1362" s="13">
        <v>5351.4086185158967</v>
      </c>
      <c r="H1362" s="14" t="b">
        <v>0</v>
      </c>
      <c r="I1362" s="15">
        <f t="shared" si="84"/>
        <v>5784</v>
      </c>
      <c r="J1362" s="15">
        <f t="shared" si="84"/>
        <v>99</v>
      </c>
      <c r="K1362" s="15">
        <f t="shared" si="85"/>
        <v>5351</v>
      </c>
      <c r="L1362" s="3" t="str">
        <f t="shared" si="86"/>
        <v>Wednesday</v>
      </c>
      <c r="M1362" s="4" t="str">
        <f t="shared" si="87"/>
        <v>Normal Day</v>
      </c>
      <c r="N1362" s="4" t="str">
        <f>TEXT(CleanedData[[#This Row],[DAY]], "mmm yyyy")</f>
        <v>Nov 2024</v>
      </c>
    </row>
    <row r="1363" spans="1:14" x14ac:dyDescent="0.3">
      <c r="A1363" s="5">
        <v>45603</v>
      </c>
      <c r="B1363" s="12">
        <v>1777.5</v>
      </c>
      <c r="C1363" s="12">
        <v>100.5</v>
      </c>
      <c r="D1363" s="2" t="s">
        <v>6</v>
      </c>
      <c r="E1363" s="2" t="s">
        <v>7</v>
      </c>
      <c r="F1363" s="1">
        <v>1057</v>
      </c>
      <c r="G1363" s="13">
        <v>1640.2005768845706</v>
      </c>
      <c r="H1363" s="14" t="b">
        <v>1</v>
      </c>
      <c r="I1363" s="15">
        <f t="shared" si="84"/>
        <v>1778</v>
      </c>
      <c r="J1363" s="15">
        <f t="shared" si="84"/>
        <v>101</v>
      </c>
      <c r="K1363" s="15">
        <f t="shared" si="85"/>
        <v>1640</v>
      </c>
      <c r="L1363" s="3" t="str">
        <f t="shared" si="86"/>
        <v>Thursday</v>
      </c>
      <c r="M1363" s="4" t="str">
        <f t="shared" si="87"/>
        <v>Outage Day</v>
      </c>
      <c r="N1363" s="4" t="str">
        <f>TEXT(CleanedData[[#This Row],[DAY]], "mmm yyyy")</f>
        <v>Nov 2024</v>
      </c>
    </row>
    <row r="1364" spans="1:14" x14ac:dyDescent="0.3">
      <c r="A1364" s="5">
        <v>45603</v>
      </c>
      <c r="B1364" s="12">
        <v>1869</v>
      </c>
      <c r="C1364" s="12">
        <v>100.5</v>
      </c>
      <c r="D1364" s="2" t="s">
        <v>6</v>
      </c>
      <c r="E1364" s="2" t="s">
        <v>8</v>
      </c>
      <c r="F1364" s="1">
        <v>1222</v>
      </c>
      <c r="G1364" s="13">
        <v>1600.4697193960612</v>
      </c>
      <c r="H1364" s="14" t="b">
        <v>0</v>
      </c>
      <c r="I1364" s="15">
        <f t="shared" si="84"/>
        <v>1869</v>
      </c>
      <c r="J1364" s="15">
        <f t="shared" si="84"/>
        <v>101</v>
      </c>
      <c r="K1364" s="15">
        <f t="shared" si="85"/>
        <v>1600</v>
      </c>
      <c r="L1364" s="3" t="str">
        <f t="shared" si="86"/>
        <v>Thursday</v>
      </c>
      <c r="M1364" s="4" t="str">
        <f t="shared" si="87"/>
        <v>Normal Day</v>
      </c>
      <c r="N1364" s="4" t="str">
        <f>TEXT(CleanedData[[#This Row],[DAY]], "mmm yyyy")</f>
        <v>Nov 2024</v>
      </c>
    </row>
    <row r="1365" spans="1:14" x14ac:dyDescent="0.3">
      <c r="A1365" s="5">
        <v>45603</v>
      </c>
      <c r="B1365" s="12">
        <v>5182.5</v>
      </c>
      <c r="C1365" s="12">
        <v>121.5</v>
      </c>
      <c r="D1365" s="2" t="s">
        <v>9</v>
      </c>
      <c r="E1365" s="2" t="s">
        <v>8</v>
      </c>
      <c r="F1365" s="1">
        <v>2365</v>
      </c>
      <c r="G1365" s="13">
        <v>4565.2294414950202</v>
      </c>
      <c r="H1365" s="14" t="b">
        <v>0</v>
      </c>
      <c r="I1365" s="15">
        <f t="shared" si="84"/>
        <v>5183</v>
      </c>
      <c r="J1365" s="15">
        <f t="shared" si="84"/>
        <v>122</v>
      </c>
      <c r="K1365" s="15">
        <f t="shared" si="85"/>
        <v>4565</v>
      </c>
      <c r="L1365" s="3" t="str">
        <f t="shared" si="86"/>
        <v>Thursday</v>
      </c>
      <c r="M1365" s="4" t="str">
        <f t="shared" si="87"/>
        <v>Normal Day</v>
      </c>
      <c r="N1365" s="4" t="str">
        <f>TEXT(CleanedData[[#This Row],[DAY]], "mmm yyyy")</f>
        <v>Nov 2024</v>
      </c>
    </row>
    <row r="1366" spans="1:14" x14ac:dyDescent="0.3">
      <c r="A1366" s="5">
        <v>45603</v>
      </c>
      <c r="B1366" s="12">
        <v>6873</v>
      </c>
      <c r="C1366" s="12">
        <v>70.5</v>
      </c>
      <c r="D1366" s="2" t="s">
        <v>10</v>
      </c>
      <c r="E1366" s="2" t="s">
        <v>7</v>
      </c>
      <c r="F1366" s="1">
        <v>1998</v>
      </c>
      <c r="G1366" s="13">
        <v>6175.2026855832592</v>
      </c>
      <c r="H1366" s="14" t="b">
        <v>0</v>
      </c>
      <c r="I1366" s="15">
        <f t="shared" si="84"/>
        <v>6873</v>
      </c>
      <c r="J1366" s="15">
        <f t="shared" si="84"/>
        <v>71</v>
      </c>
      <c r="K1366" s="15">
        <f t="shared" si="85"/>
        <v>6175</v>
      </c>
      <c r="L1366" s="3" t="str">
        <f t="shared" si="86"/>
        <v>Thursday</v>
      </c>
      <c r="M1366" s="4" t="str">
        <f t="shared" si="87"/>
        <v>Normal Day</v>
      </c>
      <c r="N1366" s="4" t="str">
        <f>TEXT(CleanedData[[#This Row],[DAY]], "mmm yyyy")</f>
        <v>Nov 2024</v>
      </c>
    </row>
    <row r="1367" spans="1:14" x14ac:dyDescent="0.3">
      <c r="A1367" s="5">
        <v>45604</v>
      </c>
      <c r="B1367" s="12">
        <v>582</v>
      </c>
      <c r="C1367" s="12">
        <v>34.5</v>
      </c>
      <c r="D1367" s="2" t="s">
        <v>6</v>
      </c>
      <c r="E1367" s="2" t="s">
        <v>8</v>
      </c>
      <c r="F1367" s="1">
        <v>290</v>
      </c>
      <c r="G1367" s="13">
        <v>539.85391817819459</v>
      </c>
      <c r="H1367" s="14" t="b">
        <v>0</v>
      </c>
      <c r="I1367" s="15">
        <f t="shared" si="84"/>
        <v>582</v>
      </c>
      <c r="J1367" s="15">
        <f t="shared" si="84"/>
        <v>35</v>
      </c>
      <c r="K1367" s="15">
        <f t="shared" si="85"/>
        <v>540</v>
      </c>
      <c r="L1367" s="3" t="str">
        <f t="shared" si="86"/>
        <v>Friday</v>
      </c>
      <c r="M1367" s="4" t="str">
        <f t="shared" si="87"/>
        <v>Normal Day</v>
      </c>
      <c r="N1367" s="4" t="str">
        <f>TEXT(CleanedData[[#This Row],[DAY]], "mmm yyyy")</f>
        <v>Nov 2024</v>
      </c>
    </row>
    <row r="1368" spans="1:14" x14ac:dyDescent="0.3">
      <c r="A1368" s="5">
        <v>45604</v>
      </c>
      <c r="B1368" s="12">
        <v>1021.5</v>
      </c>
      <c r="C1368" s="12">
        <v>34.5</v>
      </c>
      <c r="D1368" s="2" t="s">
        <v>6</v>
      </c>
      <c r="E1368" s="2" t="s">
        <v>7</v>
      </c>
      <c r="F1368" s="1">
        <v>108</v>
      </c>
      <c r="G1368" s="13">
        <v>924.61444560302289</v>
      </c>
      <c r="H1368" s="14" t="b">
        <v>0</v>
      </c>
      <c r="I1368" s="15">
        <f t="shared" si="84"/>
        <v>1022</v>
      </c>
      <c r="J1368" s="15">
        <f t="shared" si="84"/>
        <v>35</v>
      </c>
      <c r="K1368" s="15">
        <f t="shared" si="85"/>
        <v>925</v>
      </c>
      <c r="L1368" s="3" t="str">
        <f t="shared" si="86"/>
        <v>Friday</v>
      </c>
      <c r="M1368" s="4" t="str">
        <f t="shared" si="87"/>
        <v>Normal Day</v>
      </c>
      <c r="N1368" s="4" t="str">
        <f>TEXT(CleanedData[[#This Row],[DAY]], "mmm yyyy")</f>
        <v>Nov 2024</v>
      </c>
    </row>
    <row r="1369" spans="1:14" x14ac:dyDescent="0.3">
      <c r="A1369" s="5">
        <v>45604</v>
      </c>
      <c r="B1369" s="12">
        <v>7512</v>
      </c>
      <c r="C1369" s="12">
        <v>1.5</v>
      </c>
      <c r="D1369" s="2" t="s">
        <v>10</v>
      </c>
      <c r="E1369" s="2" t="s">
        <v>7</v>
      </c>
      <c r="F1369" s="1">
        <v>4251</v>
      </c>
      <c r="G1369" s="13">
        <v>6778.3132551860581</v>
      </c>
      <c r="H1369" s="14" t="b">
        <v>0</v>
      </c>
      <c r="I1369" s="15">
        <f t="shared" si="84"/>
        <v>7512</v>
      </c>
      <c r="J1369" s="15">
        <f t="shared" si="84"/>
        <v>2</v>
      </c>
      <c r="K1369" s="15">
        <f t="shared" si="85"/>
        <v>6778</v>
      </c>
      <c r="L1369" s="3" t="str">
        <f t="shared" si="86"/>
        <v>Friday</v>
      </c>
      <c r="M1369" s="4" t="str">
        <f t="shared" si="87"/>
        <v>Normal Day</v>
      </c>
      <c r="N1369" s="4" t="str">
        <f>TEXT(CleanedData[[#This Row],[DAY]], "mmm yyyy")</f>
        <v>Nov 2024</v>
      </c>
    </row>
    <row r="1370" spans="1:14" x14ac:dyDescent="0.3">
      <c r="A1370" s="5">
        <v>45604</v>
      </c>
      <c r="B1370" s="12">
        <v>7842</v>
      </c>
      <c r="C1370" s="12">
        <v>264</v>
      </c>
      <c r="D1370" s="2" t="s">
        <v>9</v>
      </c>
      <c r="E1370" s="2" t="s">
        <v>8</v>
      </c>
      <c r="F1370" s="1">
        <v>1836</v>
      </c>
      <c r="G1370" s="13">
        <v>6546.1928448372255</v>
      </c>
      <c r="H1370" s="14" t="b">
        <v>1</v>
      </c>
      <c r="I1370" s="15">
        <f t="shared" si="84"/>
        <v>7842</v>
      </c>
      <c r="J1370" s="15">
        <f t="shared" si="84"/>
        <v>264</v>
      </c>
      <c r="K1370" s="15">
        <f t="shared" si="85"/>
        <v>6546</v>
      </c>
      <c r="L1370" s="3" t="str">
        <f t="shared" si="86"/>
        <v>Friday</v>
      </c>
      <c r="M1370" s="4" t="str">
        <f t="shared" si="87"/>
        <v>Outage Day</v>
      </c>
      <c r="N1370" s="4" t="str">
        <f>TEXT(CleanedData[[#This Row],[DAY]], "mmm yyyy")</f>
        <v>Nov 2024</v>
      </c>
    </row>
    <row r="1371" spans="1:14" x14ac:dyDescent="0.3">
      <c r="A1371" s="5">
        <v>45605</v>
      </c>
      <c r="B1371" s="12">
        <v>1404</v>
      </c>
      <c r="C1371" s="12">
        <v>60</v>
      </c>
      <c r="D1371" s="2" t="s">
        <v>6</v>
      </c>
      <c r="E1371" s="2" t="s">
        <v>8</v>
      </c>
      <c r="F1371" s="1">
        <v>654</v>
      </c>
      <c r="G1371" s="13">
        <v>1284.2146930305059</v>
      </c>
      <c r="H1371" s="14" t="b">
        <v>0</v>
      </c>
      <c r="I1371" s="15">
        <f t="shared" si="84"/>
        <v>1404</v>
      </c>
      <c r="J1371" s="15">
        <f t="shared" si="84"/>
        <v>60</v>
      </c>
      <c r="K1371" s="15">
        <f t="shared" si="85"/>
        <v>1284</v>
      </c>
      <c r="L1371" s="3" t="str">
        <f t="shared" si="86"/>
        <v>Saturday</v>
      </c>
      <c r="M1371" s="4" t="str">
        <f t="shared" si="87"/>
        <v>Normal Day</v>
      </c>
      <c r="N1371" s="4" t="str">
        <f>TEXT(CleanedData[[#This Row],[DAY]], "mmm yyyy")</f>
        <v>Nov 2024</v>
      </c>
    </row>
    <row r="1372" spans="1:14" x14ac:dyDescent="0.3">
      <c r="A1372" s="5">
        <v>45605</v>
      </c>
      <c r="B1372" s="12">
        <v>1485</v>
      </c>
      <c r="C1372" s="12">
        <v>60</v>
      </c>
      <c r="D1372" s="2" t="s">
        <v>6</v>
      </c>
      <c r="E1372" s="2" t="s">
        <v>7</v>
      </c>
      <c r="F1372" s="1">
        <v>749</v>
      </c>
      <c r="G1372" s="13">
        <v>1377.4647954001111</v>
      </c>
      <c r="H1372" s="14" t="b">
        <v>0</v>
      </c>
      <c r="I1372" s="15">
        <f t="shared" si="84"/>
        <v>1485</v>
      </c>
      <c r="J1372" s="15">
        <f t="shared" si="84"/>
        <v>60</v>
      </c>
      <c r="K1372" s="15">
        <f t="shared" si="85"/>
        <v>1377</v>
      </c>
      <c r="L1372" s="3" t="str">
        <f t="shared" si="86"/>
        <v>Saturday</v>
      </c>
      <c r="M1372" s="4" t="str">
        <f t="shared" si="87"/>
        <v>Normal Day</v>
      </c>
      <c r="N1372" s="4" t="str">
        <f>TEXT(CleanedData[[#This Row],[DAY]], "mmm yyyy")</f>
        <v>Nov 2024</v>
      </c>
    </row>
    <row r="1373" spans="1:14" x14ac:dyDescent="0.3">
      <c r="A1373" s="5">
        <v>45605</v>
      </c>
      <c r="B1373" s="12">
        <v>6130.5</v>
      </c>
      <c r="C1373" s="12">
        <v>165</v>
      </c>
      <c r="D1373" s="2" t="s">
        <v>9</v>
      </c>
      <c r="E1373" s="2" t="s">
        <v>8</v>
      </c>
      <c r="F1373" s="1">
        <v>2043</v>
      </c>
      <c r="G1373" s="13">
        <v>5151.696743562974</v>
      </c>
      <c r="H1373" s="14" t="b">
        <v>0</v>
      </c>
      <c r="I1373" s="15">
        <f t="shared" si="84"/>
        <v>6131</v>
      </c>
      <c r="J1373" s="15">
        <f t="shared" si="84"/>
        <v>165</v>
      </c>
      <c r="K1373" s="15">
        <f t="shared" si="85"/>
        <v>5152</v>
      </c>
      <c r="L1373" s="3" t="str">
        <f t="shared" si="86"/>
        <v>Saturday</v>
      </c>
      <c r="M1373" s="4" t="str">
        <f t="shared" si="87"/>
        <v>Normal Day</v>
      </c>
      <c r="N1373" s="4" t="str">
        <f>TEXT(CleanedData[[#This Row],[DAY]], "mmm yyyy")</f>
        <v>Nov 2024</v>
      </c>
    </row>
    <row r="1374" spans="1:14" x14ac:dyDescent="0.3">
      <c r="A1374" s="5">
        <v>45605</v>
      </c>
      <c r="B1374" s="12">
        <v>6490.5</v>
      </c>
      <c r="C1374" s="12">
        <v>406.5</v>
      </c>
      <c r="D1374" s="2" t="s">
        <v>10</v>
      </c>
      <c r="E1374" s="2" t="s">
        <v>7</v>
      </c>
      <c r="F1374" s="1">
        <v>3107</v>
      </c>
      <c r="G1374" s="13">
        <v>6468.1685236055091</v>
      </c>
      <c r="H1374" s="14" t="b">
        <v>0</v>
      </c>
      <c r="I1374" s="15">
        <f t="shared" si="84"/>
        <v>6491</v>
      </c>
      <c r="J1374" s="15">
        <f t="shared" si="84"/>
        <v>407</v>
      </c>
      <c r="K1374" s="15">
        <f t="shared" si="85"/>
        <v>6468</v>
      </c>
      <c r="L1374" s="3" t="str">
        <f t="shared" si="86"/>
        <v>Saturday</v>
      </c>
      <c r="M1374" s="4" t="str">
        <f t="shared" si="87"/>
        <v>Normal Day</v>
      </c>
      <c r="N1374" s="4" t="str">
        <f>TEXT(CleanedData[[#This Row],[DAY]], "mmm yyyy")</f>
        <v>Nov 2024</v>
      </c>
    </row>
    <row r="1375" spans="1:14" x14ac:dyDescent="0.3">
      <c r="A1375" s="5">
        <v>45606</v>
      </c>
      <c r="B1375" s="12">
        <v>3</v>
      </c>
      <c r="C1375" s="12">
        <v>0</v>
      </c>
      <c r="D1375" s="2" t="s">
        <v>10</v>
      </c>
      <c r="E1375" s="2" t="s">
        <v>8</v>
      </c>
      <c r="F1375" s="1">
        <v>2</v>
      </c>
      <c r="G1375" s="13">
        <v>2.4662323500112322</v>
      </c>
      <c r="H1375" s="14" t="b">
        <v>0</v>
      </c>
      <c r="I1375" s="15">
        <f t="shared" si="84"/>
        <v>3</v>
      </c>
      <c r="J1375" s="15">
        <f t="shared" si="84"/>
        <v>0</v>
      </c>
      <c r="K1375" s="15">
        <f t="shared" si="85"/>
        <v>2</v>
      </c>
      <c r="L1375" s="3" t="str">
        <f t="shared" si="86"/>
        <v>Sunday</v>
      </c>
      <c r="M1375" s="4" t="str">
        <f t="shared" si="87"/>
        <v>Normal Day</v>
      </c>
      <c r="N1375" s="4" t="str">
        <f>TEXT(CleanedData[[#This Row],[DAY]], "mmm yyyy")</f>
        <v>Nov 2024</v>
      </c>
    </row>
    <row r="1376" spans="1:14" x14ac:dyDescent="0.3">
      <c r="A1376" s="5">
        <v>45606</v>
      </c>
      <c r="B1376" s="12">
        <v>1305</v>
      </c>
      <c r="C1376" s="12">
        <v>87</v>
      </c>
      <c r="D1376" s="2" t="s">
        <v>6</v>
      </c>
      <c r="E1376" s="2" t="s">
        <v>7</v>
      </c>
      <c r="F1376" s="1">
        <v>271</v>
      </c>
      <c r="G1376" s="13">
        <v>1300.5049402434622</v>
      </c>
      <c r="H1376" s="14" t="b">
        <v>0</v>
      </c>
      <c r="I1376" s="15">
        <f t="shared" si="84"/>
        <v>1305</v>
      </c>
      <c r="J1376" s="15">
        <f t="shared" si="84"/>
        <v>87</v>
      </c>
      <c r="K1376" s="15">
        <f t="shared" si="85"/>
        <v>1301</v>
      </c>
      <c r="L1376" s="3" t="str">
        <f t="shared" si="86"/>
        <v>Sunday</v>
      </c>
      <c r="M1376" s="4" t="str">
        <f t="shared" si="87"/>
        <v>Normal Day</v>
      </c>
      <c r="N1376" s="4" t="str">
        <f>TEXT(CleanedData[[#This Row],[DAY]], "mmm yyyy")</f>
        <v>Nov 2024</v>
      </c>
    </row>
    <row r="1377" spans="1:14" x14ac:dyDescent="0.3">
      <c r="A1377" s="5">
        <v>45606</v>
      </c>
      <c r="B1377" s="12">
        <v>1839</v>
      </c>
      <c r="C1377" s="12">
        <v>87</v>
      </c>
      <c r="D1377" s="2" t="s">
        <v>6</v>
      </c>
      <c r="E1377" s="2" t="s">
        <v>8</v>
      </c>
      <c r="F1377" s="1">
        <v>1067</v>
      </c>
      <c r="G1377" s="13">
        <v>1638.9207437093901</v>
      </c>
      <c r="H1377" s="14" t="b">
        <v>0</v>
      </c>
      <c r="I1377" s="15">
        <f t="shared" si="84"/>
        <v>1839</v>
      </c>
      <c r="J1377" s="15">
        <f t="shared" si="84"/>
        <v>87</v>
      </c>
      <c r="K1377" s="15">
        <f t="shared" si="85"/>
        <v>1639</v>
      </c>
      <c r="L1377" s="3" t="str">
        <f t="shared" si="86"/>
        <v>Sunday</v>
      </c>
      <c r="M1377" s="4" t="str">
        <f t="shared" si="87"/>
        <v>Normal Day</v>
      </c>
      <c r="N1377" s="4" t="str">
        <f>TEXT(CleanedData[[#This Row],[DAY]], "mmm yyyy")</f>
        <v>Nov 2024</v>
      </c>
    </row>
    <row r="1378" spans="1:14" x14ac:dyDescent="0.3">
      <c r="A1378" s="5">
        <v>45606</v>
      </c>
      <c r="B1378" s="12">
        <v>3493.5</v>
      </c>
      <c r="C1378" s="12">
        <v>91.5</v>
      </c>
      <c r="D1378" s="2" t="s">
        <v>9</v>
      </c>
      <c r="E1378" s="2" t="s">
        <v>8</v>
      </c>
      <c r="F1378" s="1">
        <v>1454</v>
      </c>
      <c r="G1378" s="13">
        <v>3086.2242892970248</v>
      </c>
      <c r="H1378" s="14" t="b">
        <v>0</v>
      </c>
      <c r="I1378" s="15">
        <f t="shared" si="84"/>
        <v>3494</v>
      </c>
      <c r="J1378" s="15">
        <f t="shared" si="84"/>
        <v>92</v>
      </c>
      <c r="K1378" s="15">
        <f t="shared" si="85"/>
        <v>3086</v>
      </c>
      <c r="L1378" s="3" t="str">
        <f t="shared" si="86"/>
        <v>Sunday</v>
      </c>
      <c r="M1378" s="4" t="str">
        <f t="shared" si="87"/>
        <v>Normal Day</v>
      </c>
      <c r="N1378" s="4" t="str">
        <f>TEXT(CleanedData[[#This Row],[DAY]], "mmm yyyy")</f>
        <v>Nov 2024</v>
      </c>
    </row>
    <row r="1379" spans="1:14" x14ac:dyDescent="0.3">
      <c r="A1379" s="5">
        <v>45606</v>
      </c>
      <c r="B1379" s="12">
        <v>6055.5</v>
      </c>
      <c r="C1379" s="12">
        <v>234</v>
      </c>
      <c r="D1379" s="2" t="s">
        <v>10</v>
      </c>
      <c r="E1379" s="2" t="s">
        <v>7</v>
      </c>
      <c r="F1379" s="1">
        <v>1890</v>
      </c>
      <c r="G1379" s="13">
        <v>5736.1263602878817</v>
      </c>
      <c r="H1379" s="14" t="b">
        <v>0</v>
      </c>
      <c r="I1379" s="15">
        <f t="shared" si="84"/>
        <v>6056</v>
      </c>
      <c r="J1379" s="15">
        <f t="shared" si="84"/>
        <v>234</v>
      </c>
      <c r="K1379" s="15">
        <f t="shared" si="85"/>
        <v>5736</v>
      </c>
      <c r="L1379" s="3" t="str">
        <f t="shared" si="86"/>
        <v>Sunday</v>
      </c>
      <c r="M1379" s="4" t="str">
        <f t="shared" si="87"/>
        <v>Normal Day</v>
      </c>
      <c r="N1379" s="4" t="str">
        <f>TEXT(CleanedData[[#This Row],[DAY]], "mmm yyyy")</f>
        <v>Nov 2024</v>
      </c>
    </row>
    <row r="1380" spans="1:14" x14ac:dyDescent="0.3">
      <c r="A1380" s="5">
        <v>45607</v>
      </c>
      <c r="B1380" s="12">
        <v>741</v>
      </c>
      <c r="C1380" s="12">
        <v>4.5</v>
      </c>
      <c r="D1380" s="2" t="s">
        <v>6</v>
      </c>
      <c r="E1380" s="2" t="s">
        <v>8</v>
      </c>
      <c r="F1380" s="1">
        <v>138</v>
      </c>
      <c r="G1380" s="13">
        <v>632.49273232306678</v>
      </c>
      <c r="H1380" s="14" t="b">
        <v>0</v>
      </c>
      <c r="I1380" s="15">
        <f t="shared" si="84"/>
        <v>741</v>
      </c>
      <c r="J1380" s="15">
        <f t="shared" si="84"/>
        <v>5</v>
      </c>
      <c r="K1380" s="15">
        <f t="shared" si="85"/>
        <v>632</v>
      </c>
      <c r="L1380" s="3" t="str">
        <f t="shared" si="86"/>
        <v>Monday</v>
      </c>
      <c r="M1380" s="4" t="str">
        <f t="shared" si="87"/>
        <v>Normal Day</v>
      </c>
      <c r="N1380" s="4" t="str">
        <f>TEXT(CleanedData[[#This Row],[DAY]], "mmm yyyy")</f>
        <v>Nov 2024</v>
      </c>
    </row>
    <row r="1381" spans="1:14" x14ac:dyDescent="0.3">
      <c r="A1381" s="5">
        <v>45607</v>
      </c>
      <c r="B1381" s="12">
        <v>835.5</v>
      </c>
      <c r="C1381" s="12">
        <v>4.5</v>
      </c>
      <c r="D1381" s="2" t="s">
        <v>6</v>
      </c>
      <c r="E1381" s="2" t="s">
        <v>7</v>
      </c>
      <c r="F1381" s="1">
        <v>160</v>
      </c>
      <c r="G1381" s="13">
        <v>755.45995979129088</v>
      </c>
      <c r="H1381" s="14" t="b">
        <v>0</v>
      </c>
      <c r="I1381" s="15">
        <f t="shared" si="84"/>
        <v>836</v>
      </c>
      <c r="J1381" s="15">
        <f t="shared" si="84"/>
        <v>5</v>
      </c>
      <c r="K1381" s="15">
        <f t="shared" si="85"/>
        <v>755</v>
      </c>
      <c r="L1381" s="3" t="str">
        <f t="shared" si="86"/>
        <v>Monday</v>
      </c>
      <c r="M1381" s="4" t="str">
        <f t="shared" si="87"/>
        <v>Normal Day</v>
      </c>
      <c r="N1381" s="4" t="str">
        <f>TEXT(CleanedData[[#This Row],[DAY]], "mmm yyyy")</f>
        <v>Nov 2024</v>
      </c>
    </row>
    <row r="1382" spans="1:14" x14ac:dyDescent="0.3">
      <c r="A1382" s="5">
        <v>45607</v>
      </c>
      <c r="B1382" s="12">
        <v>5674.5</v>
      </c>
      <c r="C1382" s="12">
        <v>106.5</v>
      </c>
      <c r="D1382" s="2" t="s">
        <v>9</v>
      </c>
      <c r="E1382" s="2" t="s">
        <v>8</v>
      </c>
      <c r="F1382" s="1">
        <v>2411</v>
      </c>
      <c r="G1382" s="13">
        <v>4642.5982133366888</v>
      </c>
      <c r="H1382" s="14" t="b">
        <v>1</v>
      </c>
      <c r="I1382" s="15">
        <f t="shared" si="84"/>
        <v>5675</v>
      </c>
      <c r="J1382" s="15">
        <f t="shared" si="84"/>
        <v>107</v>
      </c>
      <c r="K1382" s="15">
        <f t="shared" si="85"/>
        <v>4643</v>
      </c>
      <c r="L1382" s="3" t="str">
        <f t="shared" si="86"/>
        <v>Monday</v>
      </c>
      <c r="M1382" s="4" t="str">
        <f t="shared" si="87"/>
        <v>Outage Day</v>
      </c>
      <c r="N1382" s="4" t="str">
        <f>TEXT(CleanedData[[#This Row],[DAY]], "mmm yyyy")</f>
        <v>Nov 2024</v>
      </c>
    </row>
    <row r="1383" spans="1:14" x14ac:dyDescent="0.3">
      <c r="A1383" s="5">
        <v>45607</v>
      </c>
      <c r="B1383" s="12">
        <v>6090</v>
      </c>
      <c r="C1383" s="12">
        <v>357</v>
      </c>
      <c r="D1383" s="2" t="s">
        <v>10</v>
      </c>
      <c r="E1383" s="2" t="s">
        <v>7</v>
      </c>
      <c r="F1383" s="1">
        <v>730</v>
      </c>
      <c r="G1383" s="13">
        <v>5982.6276259947517</v>
      </c>
      <c r="H1383" s="14" t="b">
        <v>0</v>
      </c>
      <c r="I1383" s="15">
        <f t="shared" si="84"/>
        <v>6090</v>
      </c>
      <c r="J1383" s="15">
        <f t="shared" si="84"/>
        <v>357</v>
      </c>
      <c r="K1383" s="15">
        <f t="shared" si="85"/>
        <v>5983</v>
      </c>
      <c r="L1383" s="3" t="str">
        <f t="shared" si="86"/>
        <v>Monday</v>
      </c>
      <c r="M1383" s="4" t="str">
        <f t="shared" si="87"/>
        <v>Normal Day</v>
      </c>
      <c r="N1383" s="4" t="str">
        <f>TEXT(CleanedData[[#This Row],[DAY]], "mmm yyyy")</f>
        <v>Nov 2024</v>
      </c>
    </row>
    <row r="1384" spans="1:14" x14ac:dyDescent="0.3">
      <c r="A1384" s="5">
        <v>45608</v>
      </c>
      <c r="B1384" s="12">
        <v>255</v>
      </c>
      <c r="C1384" s="12">
        <v>34.5</v>
      </c>
      <c r="D1384" s="2" t="s">
        <v>6</v>
      </c>
      <c r="E1384" s="2" t="s">
        <v>8</v>
      </c>
      <c r="F1384" s="1">
        <v>56</v>
      </c>
      <c r="G1384" s="13">
        <v>240.45689185421267</v>
      </c>
      <c r="H1384" s="14" t="b">
        <v>0</v>
      </c>
      <c r="I1384" s="15">
        <f t="shared" si="84"/>
        <v>255</v>
      </c>
      <c r="J1384" s="15">
        <f t="shared" si="84"/>
        <v>35</v>
      </c>
      <c r="K1384" s="15">
        <f t="shared" si="85"/>
        <v>240</v>
      </c>
      <c r="L1384" s="3" t="str">
        <f t="shared" si="86"/>
        <v>Tuesday</v>
      </c>
      <c r="M1384" s="4" t="str">
        <f t="shared" si="87"/>
        <v>Normal Day</v>
      </c>
      <c r="N1384" s="4" t="str">
        <f>TEXT(CleanedData[[#This Row],[DAY]], "mmm yyyy")</f>
        <v>Nov 2024</v>
      </c>
    </row>
    <row r="1385" spans="1:14" x14ac:dyDescent="0.3">
      <c r="A1385" s="5">
        <v>45608</v>
      </c>
      <c r="B1385" s="12">
        <v>558</v>
      </c>
      <c r="C1385" s="12">
        <v>34.5</v>
      </c>
      <c r="D1385" s="2" t="s">
        <v>6</v>
      </c>
      <c r="E1385" s="2" t="s">
        <v>7</v>
      </c>
      <c r="F1385" s="1">
        <v>318</v>
      </c>
      <c r="G1385" s="13">
        <v>553.15423191573882</v>
      </c>
      <c r="H1385" s="14" t="b">
        <v>0</v>
      </c>
      <c r="I1385" s="15">
        <f t="shared" si="84"/>
        <v>558</v>
      </c>
      <c r="J1385" s="15">
        <f t="shared" si="84"/>
        <v>35</v>
      </c>
      <c r="K1385" s="15">
        <f t="shared" si="85"/>
        <v>553</v>
      </c>
      <c r="L1385" s="3" t="str">
        <f t="shared" si="86"/>
        <v>Tuesday</v>
      </c>
      <c r="M1385" s="4" t="str">
        <f t="shared" si="87"/>
        <v>Normal Day</v>
      </c>
      <c r="N1385" s="4" t="str">
        <f>TEXT(CleanedData[[#This Row],[DAY]], "mmm yyyy")</f>
        <v>Nov 2024</v>
      </c>
    </row>
    <row r="1386" spans="1:14" x14ac:dyDescent="0.3">
      <c r="A1386" s="5">
        <v>45608</v>
      </c>
      <c r="B1386" s="12">
        <v>5493</v>
      </c>
      <c r="C1386" s="12">
        <v>148.5</v>
      </c>
      <c r="D1386" s="2" t="s">
        <v>9</v>
      </c>
      <c r="E1386" s="2" t="s">
        <v>8</v>
      </c>
      <c r="F1386" s="1">
        <v>479</v>
      </c>
      <c r="G1386" s="13">
        <v>4804.3376780951521</v>
      </c>
      <c r="H1386" s="14" t="b">
        <v>0</v>
      </c>
      <c r="I1386" s="15">
        <f t="shared" si="84"/>
        <v>5493</v>
      </c>
      <c r="J1386" s="15">
        <f t="shared" si="84"/>
        <v>149</v>
      </c>
      <c r="K1386" s="15">
        <f t="shared" si="85"/>
        <v>4804</v>
      </c>
      <c r="L1386" s="3" t="str">
        <f t="shared" si="86"/>
        <v>Tuesday</v>
      </c>
      <c r="M1386" s="4" t="str">
        <f t="shared" si="87"/>
        <v>Normal Day</v>
      </c>
      <c r="N1386" s="4" t="str">
        <f>TEXT(CleanedData[[#This Row],[DAY]], "mmm yyyy")</f>
        <v>Nov 2024</v>
      </c>
    </row>
    <row r="1387" spans="1:14" x14ac:dyDescent="0.3">
      <c r="A1387" s="5">
        <v>45608</v>
      </c>
      <c r="B1387" s="12">
        <v>5622</v>
      </c>
      <c r="C1387" s="12">
        <v>54</v>
      </c>
      <c r="D1387" s="2" t="s">
        <v>10</v>
      </c>
      <c r="E1387" s="2" t="s">
        <v>7</v>
      </c>
      <c r="F1387" s="1">
        <v>3487</v>
      </c>
      <c r="G1387" s="13">
        <v>5331.6074424071803</v>
      </c>
      <c r="H1387" s="14" t="b">
        <v>0</v>
      </c>
      <c r="I1387" s="15">
        <f t="shared" si="84"/>
        <v>5622</v>
      </c>
      <c r="J1387" s="15">
        <f t="shared" si="84"/>
        <v>54</v>
      </c>
      <c r="K1387" s="15">
        <f t="shared" si="85"/>
        <v>5332</v>
      </c>
      <c r="L1387" s="3" t="str">
        <f t="shared" si="86"/>
        <v>Tuesday</v>
      </c>
      <c r="M1387" s="4" t="str">
        <f t="shared" si="87"/>
        <v>Normal Day</v>
      </c>
      <c r="N1387" s="4" t="str">
        <f>TEXT(CleanedData[[#This Row],[DAY]], "mmm yyyy")</f>
        <v>Nov 2024</v>
      </c>
    </row>
    <row r="1388" spans="1:14" x14ac:dyDescent="0.3">
      <c r="A1388" s="5">
        <v>45609</v>
      </c>
      <c r="B1388" s="12">
        <v>549</v>
      </c>
      <c r="C1388" s="12">
        <v>48</v>
      </c>
      <c r="D1388" s="2" t="s">
        <v>6</v>
      </c>
      <c r="E1388" s="2" t="s">
        <v>8</v>
      </c>
      <c r="F1388" s="1">
        <v>259</v>
      </c>
      <c r="G1388" s="13">
        <v>503.29832879247419</v>
      </c>
      <c r="H1388" s="14" t="b">
        <v>0</v>
      </c>
      <c r="I1388" s="15">
        <f t="shared" si="84"/>
        <v>549</v>
      </c>
      <c r="J1388" s="15">
        <f t="shared" si="84"/>
        <v>48</v>
      </c>
      <c r="K1388" s="15">
        <f t="shared" si="85"/>
        <v>503</v>
      </c>
      <c r="L1388" s="3" t="str">
        <f t="shared" si="86"/>
        <v>Wednesday</v>
      </c>
      <c r="M1388" s="4" t="str">
        <f t="shared" si="87"/>
        <v>Normal Day</v>
      </c>
      <c r="N1388" s="4" t="str">
        <f>TEXT(CleanedData[[#This Row],[DAY]], "mmm yyyy")</f>
        <v>Nov 2024</v>
      </c>
    </row>
    <row r="1389" spans="1:14" x14ac:dyDescent="0.3">
      <c r="A1389" s="5">
        <v>45609</v>
      </c>
      <c r="B1389" s="12">
        <v>789</v>
      </c>
      <c r="C1389" s="12">
        <v>48</v>
      </c>
      <c r="D1389" s="2" t="s">
        <v>6</v>
      </c>
      <c r="E1389" s="2" t="s">
        <v>7</v>
      </c>
      <c r="F1389" s="1">
        <v>473</v>
      </c>
      <c r="G1389" s="13">
        <v>732.03733853655194</v>
      </c>
      <c r="H1389" s="14" t="b">
        <v>0</v>
      </c>
      <c r="I1389" s="15">
        <f t="shared" si="84"/>
        <v>789</v>
      </c>
      <c r="J1389" s="15">
        <f t="shared" si="84"/>
        <v>48</v>
      </c>
      <c r="K1389" s="15">
        <f t="shared" si="85"/>
        <v>732</v>
      </c>
      <c r="L1389" s="3" t="str">
        <f t="shared" si="86"/>
        <v>Wednesday</v>
      </c>
      <c r="M1389" s="4" t="str">
        <f t="shared" si="87"/>
        <v>Normal Day</v>
      </c>
      <c r="N1389" s="4" t="str">
        <f>TEXT(CleanedData[[#This Row],[DAY]], "mmm yyyy")</f>
        <v>Nov 2024</v>
      </c>
    </row>
    <row r="1390" spans="1:14" x14ac:dyDescent="0.3">
      <c r="A1390" s="5">
        <v>45609</v>
      </c>
      <c r="B1390" s="12">
        <v>3723</v>
      </c>
      <c r="C1390" s="12">
        <v>160.5</v>
      </c>
      <c r="D1390" s="2" t="s">
        <v>9</v>
      </c>
      <c r="E1390" s="2" t="s">
        <v>8</v>
      </c>
      <c r="F1390" s="1">
        <v>316</v>
      </c>
      <c r="G1390" s="13">
        <v>3203.1539617250669</v>
      </c>
      <c r="H1390" s="14" t="b">
        <v>0</v>
      </c>
      <c r="I1390" s="15">
        <f t="shared" si="84"/>
        <v>3723</v>
      </c>
      <c r="J1390" s="15">
        <f t="shared" si="84"/>
        <v>161</v>
      </c>
      <c r="K1390" s="15">
        <f t="shared" si="85"/>
        <v>3203</v>
      </c>
      <c r="L1390" s="3" t="str">
        <f t="shared" si="86"/>
        <v>Wednesday</v>
      </c>
      <c r="M1390" s="4" t="str">
        <f t="shared" si="87"/>
        <v>Normal Day</v>
      </c>
      <c r="N1390" s="4" t="str">
        <f>TEXT(CleanedData[[#This Row],[DAY]], "mmm yyyy")</f>
        <v>Nov 2024</v>
      </c>
    </row>
    <row r="1391" spans="1:14" x14ac:dyDescent="0.3">
      <c r="A1391" s="5">
        <v>45609</v>
      </c>
      <c r="B1391" s="12">
        <v>5667</v>
      </c>
      <c r="C1391" s="12">
        <v>208.5</v>
      </c>
      <c r="D1391" s="2" t="s">
        <v>10</v>
      </c>
      <c r="E1391" s="2" t="s">
        <v>7</v>
      </c>
      <c r="F1391" s="1">
        <v>552</v>
      </c>
      <c r="G1391" s="13">
        <v>5372.8700607186511</v>
      </c>
      <c r="H1391" s="14" t="b">
        <v>0</v>
      </c>
      <c r="I1391" s="15">
        <f t="shared" si="84"/>
        <v>5667</v>
      </c>
      <c r="J1391" s="15">
        <f t="shared" si="84"/>
        <v>209</v>
      </c>
      <c r="K1391" s="15">
        <f t="shared" si="85"/>
        <v>5373</v>
      </c>
      <c r="L1391" s="3" t="str">
        <f t="shared" si="86"/>
        <v>Wednesday</v>
      </c>
      <c r="M1391" s="4" t="str">
        <f t="shared" si="87"/>
        <v>Normal Day</v>
      </c>
      <c r="N1391" s="4" t="str">
        <f>TEXT(CleanedData[[#This Row],[DAY]], "mmm yyyy")</f>
        <v>Nov 2024</v>
      </c>
    </row>
    <row r="1392" spans="1:14" x14ac:dyDescent="0.3">
      <c r="A1392" s="5">
        <v>45610</v>
      </c>
      <c r="B1392" s="12">
        <v>673.5</v>
      </c>
      <c r="C1392" s="12">
        <v>81</v>
      </c>
      <c r="D1392" s="2" t="s">
        <v>6</v>
      </c>
      <c r="E1392" s="2" t="s">
        <v>8</v>
      </c>
      <c r="F1392" s="1">
        <v>1</v>
      </c>
      <c r="G1392" s="13">
        <v>661.83689131857136</v>
      </c>
      <c r="H1392" s="14" t="b">
        <v>0</v>
      </c>
      <c r="I1392" s="15">
        <f t="shared" si="84"/>
        <v>674</v>
      </c>
      <c r="J1392" s="15">
        <f t="shared" si="84"/>
        <v>81</v>
      </c>
      <c r="K1392" s="15">
        <f t="shared" si="85"/>
        <v>662</v>
      </c>
      <c r="L1392" s="3" t="str">
        <f t="shared" si="86"/>
        <v>Thursday</v>
      </c>
      <c r="M1392" s="4" t="str">
        <f t="shared" si="87"/>
        <v>Normal Day</v>
      </c>
      <c r="N1392" s="4" t="str">
        <f>TEXT(CleanedData[[#This Row],[DAY]], "mmm yyyy")</f>
        <v>Nov 2024</v>
      </c>
    </row>
    <row r="1393" spans="1:14" x14ac:dyDescent="0.3">
      <c r="A1393" s="5">
        <v>45610</v>
      </c>
      <c r="B1393" s="12">
        <v>1162.5</v>
      </c>
      <c r="C1393" s="12">
        <v>81</v>
      </c>
      <c r="D1393" s="2" t="s">
        <v>6</v>
      </c>
      <c r="E1393" s="2" t="s">
        <v>7</v>
      </c>
      <c r="F1393" s="1">
        <v>492</v>
      </c>
      <c r="G1393" s="13">
        <v>1139.5402760402865</v>
      </c>
      <c r="H1393" s="14" t="b">
        <v>0</v>
      </c>
      <c r="I1393" s="15">
        <f t="shared" si="84"/>
        <v>1163</v>
      </c>
      <c r="J1393" s="15">
        <f t="shared" si="84"/>
        <v>81</v>
      </c>
      <c r="K1393" s="15">
        <f t="shared" si="85"/>
        <v>1140</v>
      </c>
      <c r="L1393" s="3" t="str">
        <f t="shared" si="86"/>
        <v>Thursday</v>
      </c>
      <c r="M1393" s="4" t="str">
        <f t="shared" si="87"/>
        <v>Normal Day</v>
      </c>
      <c r="N1393" s="4" t="str">
        <f>TEXT(CleanedData[[#This Row],[DAY]], "mmm yyyy")</f>
        <v>Nov 2024</v>
      </c>
    </row>
    <row r="1394" spans="1:14" x14ac:dyDescent="0.3">
      <c r="A1394" s="5">
        <v>45610</v>
      </c>
      <c r="B1394" s="12">
        <v>4615.5</v>
      </c>
      <c r="C1394" s="12">
        <v>214.5</v>
      </c>
      <c r="D1394" s="2" t="s">
        <v>9</v>
      </c>
      <c r="E1394" s="2" t="s">
        <v>8</v>
      </c>
      <c r="F1394" s="1">
        <v>2712</v>
      </c>
      <c r="G1394" s="13">
        <v>4235.7996702541859</v>
      </c>
      <c r="H1394" s="14" t="b">
        <v>0</v>
      </c>
      <c r="I1394" s="15">
        <f t="shared" si="84"/>
        <v>4616</v>
      </c>
      <c r="J1394" s="15">
        <f t="shared" si="84"/>
        <v>215</v>
      </c>
      <c r="K1394" s="15">
        <f t="shared" si="85"/>
        <v>4236</v>
      </c>
      <c r="L1394" s="3" t="str">
        <f t="shared" si="86"/>
        <v>Thursday</v>
      </c>
      <c r="M1394" s="4" t="str">
        <f t="shared" si="87"/>
        <v>Normal Day</v>
      </c>
      <c r="N1394" s="4" t="str">
        <f>TEXT(CleanedData[[#This Row],[DAY]], "mmm yyyy")</f>
        <v>Nov 2024</v>
      </c>
    </row>
    <row r="1395" spans="1:14" x14ac:dyDescent="0.3">
      <c r="A1395" s="5">
        <v>45610</v>
      </c>
      <c r="B1395" s="12">
        <v>6043.5</v>
      </c>
      <c r="C1395" s="12">
        <v>189</v>
      </c>
      <c r="D1395" s="2" t="s">
        <v>10</v>
      </c>
      <c r="E1395" s="2" t="s">
        <v>7</v>
      </c>
      <c r="F1395" s="1">
        <v>3011</v>
      </c>
      <c r="G1395" s="13">
        <v>5538.5775029689976</v>
      </c>
      <c r="H1395" s="14" t="b">
        <v>0</v>
      </c>
      <c r="I1395" s="15">
        <f t="shared" si="84"/>
        <v>6044</v>
      </c>
      <c r="J1395" s="15">
        <f t="shared" si="84"/>
        <v>189</v>
      </c>
      <c r="K1395" s="15">
        <f t="shared" si="85"/>
        <v>5539</v>
      </c>
      <c r="L1395" s="3" t="str">
        <f t="shared" si="86"/>
        <v>Thursday</v>
      </c>
      <c r="M1395" s="4" t="str">
        <f t="shared" si="87"/>
        <v>Normal Day</v>
      </c>
      <c r="N1395" s="4" t="str">
        <f>TEXT(CleanedData[[#This Row],[DAY]], "mmm yyyy")</f>
        <v>Nov 2024</v>
      </c>
    </row>
    <row r="1396" spans="1:14" x14ac:dyDescent="0.3">
      <c r="A1396" s="5">
        <v>45611</v>
      </c>
      <c r="B1396" s="12">
        <v>813</v>
      </c>
      <c r="C1396" s="12">
        <v>37.5</v>
      </c>
      <c r="D1396" s="2" t="s">
        <v>6</v>
      </c>
      <c r="E1396" s="2" t="s">
        <v>8</v>
      </c>
      <c r="F1396" s="1">
        <v>540</v>
      </c>
      <c r="G1396" s="13">
        <v>698.97266256787634</v>
      </c>
      <c r="H1396" s="14" t="b">
        <v>0</v>
      </c>
      <c r="I1396" s="15">
        <f t="shared" si="84"/>
        <v>813</v>
      </c>
      <c r="J1396" s="15">
        <f t="shared" si="84"/>
        <v>38</v>
      </c>
      <c r="K1396" s="15">
        <f t="shared" si="85"/>
        <v>699</v>
      </c>
      <c r="L1396" s="3" t="str">
        <f t="shared" si="86"/>
        <v>Friday</v>
      </c>
      <c r="M1396" s="4" t="str">
        <f t="shared" si="87"/>
        <v>Normal Day</v>
      </c>
      <c r="N1396" s="4" t="str">
        <f>TEXT(CleanedData[[#This Row],[DAY]], "mmm yyyy")</f>
        <v>Nov 2024</v>
      </c>
    </row>
    <row r="1397" spans="1:14" x14ac:dyDescent="0.3">
      <c r="A1397" s="5">
        <v>45611</v>
      </c>
      <c r="B1397" s="12">
        <v>1186.5</v>
      </c>
      <c r="C1397" s="12">
        <v>37.5</v>
      </c>
      <c r="D1397" s="2" t="s">
        <v>6</v>
      </c>
      <c r="E1397" s="2" t="s">
        <v>7</v>
      </c>
      <c r="F1397" s="1">
        <v>556</v>
      </c>
      <c r="G1397" s="13">
        <v>1093.0874530924755</v>
      </c>
      <c r="H1397" s="14" t="b">
        <v>0</v>
      </c>
      <c r="I1397" s="15">
        <f t="shared" si="84"/>
        <v>1187</v>
      </c>
      <c r="J1397" s="15">
        <f t="shared" si="84"/>
        <v>38</v>
      </c>
      <c r="K1397" s="15">
        <f t="shared" si="85"/>
        <v>1093</v>
      </c>
      <c r="L1397" s="3" t="str">
        <f t="shared" si="86"/>
        <v>Friday</v>
      </c>
      <c r="M1397" s="4" t="str">
        <f t="shared" si="87"/>
        <v>Normal Day</v>
      </c>
      <c r="N1397" s="4" t="str">
        <f>TEXT(CleanedData[[#This Row],[DAY]], "mmm yyyy")</f>
        <v>Nov 2024</v>
      </c>
    </row>
    <row r="1398" spans="1:14" x14ac:dyDescent="0.3">
      <c r="A1398" s="5">
        <v>45611</v>
      </c>
      <c r="B1398" s="12">
        <v>4578</v>
      </c>
      <c r="C1398" s="12">
        <v>177</v>
      </c>
      <c r="D1398" s="2" t="s">
        <v>9</v>
      </c>
      <c r="E1398" s="2" t="s">
        <v>8</v>
      </c>
      <c r="F1398" s="1">
        <v>1406</v>
      </c>
      <c r="G1398" s="13">
        <v>4208.1844503203993</v>
      </c>
      <c r="H1398" s="14" t="b">
        <v>0</v>
      </c>
      <c r="I1398" s="15">
        <f t="shared" si="84"/>
        <v>4578</v>
      </c>
      <c r="J1398" s="15">
        <f t="shared" si="84"/>
        <v>177</v>
      </c>
      <c r="K1398" s="15">
        <f t="shared" si="85"/>
        <v>4208</v>
      </c>
      <c r="L1398" s="3" t="str">
        <f t="shared" si="86"/>
        <v>Friday</v>
      </c>
      <c r="M1398" s="4" t="str">
        <f t="shared" si="87"/>
        <v>Normal Day</v>
      </c>
      <c r="N1398" s="4" t="str">
        <f>TEXT(CleanedData[[#This Row],[DAY]], "mmm yyyy")</f>
        <v>Nov 2024</v>
      </c>
    </row>
    <row r="1399" spans="1:14" x14ac:dyDescent="0.3">
      <c r="A1399" s="5">
        <v>45611</v>
      </c>
      <c r="B1399" s="12">
        <v>5931</v>
      </c>
      <c r="C1399" s="12">
        <v>93</v>
      </c>
      <c r="D1399" s="2" t="s">
        <v>10</v>
      </c>
      <c r="E1399" s="2" t="s">
        <v>7</v>
      </c>
      <c r="F1399" s="1">
        <v>807</v>
      </c>
      <c r="G1399" s="13">
        <v>5629.2030403517074</v>
      </c>
      <c r="H1399" s="14" t="b">
        <v>0</v>
      </c>
      <c r="I1399" s="15">
        <f t="shared" si="84"/>
        <v>5931</v>
      </c>
      <c r="J1399" s="15">
        <f t="shared" si="84"/>
        <v>93</v>
      </c>
      <c r="K1399" s="15">
        <f t="shared" si="85"/>
        <v>5629</v>
      </c>
      <c r="L1399" s="3" t="str">
        <f t="shared" si="86"/>
        <v>Friday</v>
      </c>
      <c r="M1399" s="4" t="str">
        <f t="shared" si="87"/>
        <v>Normal Day</v>
      </c>
      <c r="N1399" s="4" t="str">
        <f>TEXT(CleanedData[[#This Row],[DAY]], "mmm yyyy")</f>
        <v>Nov 2024</v>
      </c>
    </row>
    <row r="1400" spans="1:14" x14ac:dyDescent="0.3">
      <c r="A1400" s="5">
        <v>45612</v>
      </c>
      <c r="B1400" s="12">
        <v>1.5</v>
      </c>
      <c r="C1400" s="12">
        <v>0</v>
      </c>
      <c r="D1400" s="2" t="s">
        <v>10</v>
      </c>
      <c r="E1400" s="2" t="s">
        <v>8</v>
      </c>
      <c r="F1400" s="1">
        <v>1</v>
      </c>
      <c r="G1400" s="13">
        <v>1.3265765225907122</v>
      </c>
      <c r="H1400" s="14" t="b">
        <v>0</v>
      </c>
      <c r="I1400" s="15">
        <f t="shared" si="84"/>
        <v>2</v>
      </c>
      <c r="J1400" s="15">
        <f t="shared" si="84"/>
        <v>0</v>
      </c>
      <c r="K1400" s="15">
        <f t="shared" si="85"/>
        <v>1</v>
      </c>
      <c r="L1400" s="3" t="str">
        <f t="shared" si="86"/>
        <v>Saturday</v>
      </c>
      <c r="M1400" s="4" t="str">
        <f t="shared" si="87"/>
        <v>Normal Day</v>
      </c>
      <c r="N1400" s="4" t="str">
        <f>TEXT(CleanedData[[#This Row],[DAY]], "mmm yyyy")</f>
        <v>Nov 2024</v>
      </c>
    </row>
    <row r="1401" spans="1:14" x14ac:dyDescent="0.3">
      <c r="A1401" s="5">
        <v>45612</v>
      </c>
      <c r="B1401" s="12">
        <v>1627.5</v>
      </c>
      <c r="C1401" s="12">
        <v>36</v>
      </c>
      <c r="D1401" s="2" t="s">
        <v>6</v>
      </c>
      <c r="E1401" s="2" t="s">
        <v>8</v>
      </c>
      <c r="F1401" s="1">
        <v>236</v>
      </c>
      <c r="G1401" s="13">
        <v>1386.4384097030215</v>
      </c>
      <c r="H1401" s="14" t="b">
        <v>0</v>
      </c>
      <c r="I1401" s="15">
        <f t="shared" si="84"/>
        <v>1628</v>
      </c>
      <c r="J1401" s="15">
        <f t="shared" si="84"/>
        <v>36</v>
      </c>
      <c r="K1401" s="15">
        <f t="shared" si="85"/>
        <v>1386</v>
      </c>
      <c r="L1401" s="3" t="str">
        <f t="shared" si="86"/>
        <v>Saturday</v>
      </c>
      <c r="M1401" s="4" t="str">
        <f t="shared" si="87"/>
        <v>Normal Day</v>
      </c>
      <c r="N1401" s="4" t="str">
        <f>TEXT(CleanedData[[#This Row],[DAY]], "mmm yyyy")</f>
        <v>Nov 2024</v>
      </c>
    </row>
    <row r="1402" spans="1:14" x14ac:dyDescent="0.3">
      <c r="A1402" s="5">
        <v>45612</v>
      </c>
      <c r="B1402" s="12">
        <v>3655.5</v>
      </c>
      <c r="C1402" s="12">
        <v>36</v>
      </c>
      <c r="D1402" s="2" t="s">
        <v>6</v>
      </c>
      <c r="E1402" s="2" t="s">
        <v>7</v>
      </c>
      <c r="F1402" s="1">
        <v>2193</v>
      </c>
      <c r="G1402" s="13">
        <v>3389.8120158301381</v>
      </c>
      <c r="H1402" s="14" t="b">
        <v>0</v>
      </c>
      <c r="I1402" s="15">
        <f t="shared" si="84"/>
        <v>3656</v>
      </c>
      <c r="J1402" s="15">
        <f t="shared" si="84"/>
        <v>36</v>
      </c>
      <c r="K1402" s="15">
        <f t="shared" si="85"/>
        <v>3390</v>
      </c>
      <c r="L1402" s="3" t="str">
        <f t="shared" si="86"/>
        <v>Saturday</v>
      </c>
      <c r="M1402" s="4" t="str">
        <f t="shared" si="87"/>
        <v>Normal Day</v>
      </c>
      <c r="N1402" s="4" t="str">
        <f>TEXT(CleanedData[[#This Row],[DAY]], "mmm yyyy")</f>
        <v>Nov 2024</v>
      </c>
    </row>
    <row r="1403" spans="1:14" x14ac:dyDescent="0.3">
      <c r="A1403" s="5">
        <v>45612</v>
      </c>
      <c r="B1403" s="12">
        <v>6130.5</v>
      </c>
      <c r="C1403" s="12">
        <v>141</v>
      </c>
      <c r="D1403" s="2" t="s">
        <v>10</v>
      </c>
      <c r="E1403" s="2" t="s">
        <v>7</v>
      </c>
      <c r="F1403" s="1">
        <v>1681</v>
      </c>
      <c r="G1403" s="13">
        <v>5740.0307831615664</v>
      </c>
      <c r="H1403" s="14" t="b">
        <v>0</v>
      </c>
      <c r="I1403" s="15">
        <f t="shared" si="84"/>
        <v>6131</v>
      </c>
      <c r="J1403" s="15">
        <f t="shared" si="84"/>
        <v>141</v>
      </c>
      <c r="K1403" s="15">
        <f t="shared" si="85"/>
        <v>5740</v>
      </c>
      <c r="L1403" s="3" t="str">
        <f t="shared" si="86"/>
        <v>Saturday</v>
      </c>
      <c r="M1403" s="4" t="str">
        <f t="shared" si="87"/>
        <v>Normal Day</v>
      </c>
      <c r="N1403" s="4" t="str">
        <f>TEXT(CleanedData[[#This Row],[DAY]], "mmm yyyy")</f>
        <v>Nov 2024</v>
      </c>
    </row>
    <row r="1404" spans="1:14" x14ac:dyDescent="0.3">
      <c r="A1404" s="5">
        <v>45612</v>
      </c>
      <c r="B1404" s="12">
        <v>6847.5</v>
      </c>
      <c r="C1404" s="12">
        <v>150</v>
      </c>
      <c r="D1404" s="2" t="s">
        <v>9</v>
      </c>
      <c r="E1404" s="2" t="s">
        <v>8</v>
      </c>
      <c r="F1404" s="1">
        <v>4398</v>
      </c>
      <c r="G1404" s="13">
        <v>5666.5218121805347</v>
      </c>
      <c r="H1404" s="14" t="b">
        <v>0</v>
      </c>
      <c r="I1404" s="15">
        <f t="shared" si="84"/>
        <v>6848</v>
      </c>
      <c r="J1404" s="15">
        <f t="shared" si="84"/>
        <v>150</v>
      </c>
      <c r="K1404" s="15">
        <f t="shared" si="85"/>
        <v>5667</v>
      </c>
      <c r="L1404" s="3" t="str">
        <f t="shared" si="86"/>
        <v>Saturday</v>
      </c>
      <c r="M1404" s="4" t="str">
        <f t="shared" si="87"/>
        <v>Normal Day</v>
      </c>
      <c r="N1404" s="4" t="str">
        <f>TEXT(CleanedData[[#This Row],[DAY]], "mmm yyyy")</f>
        <v>Nov 2024</v>
      </c>
    </row>
    <row r="1405" spans="1:14" x14ac:dyDescent="0.3">
      <c r="A1405" s="5">
        <v>45613</v>
      </c>
      <c r="B1405" s="12">
        <v>3</v>
      </c>
      <c r="C1405" s="12">
        <v>0</v>
      </c>
      <c r="D1405" s="2" t="s">
        <v>10</v>
      </c>
      <c r="E1405" s="2" t="s">
        <v>8</v>
      </c>
      <c r="F1405" s="1">
        <v>2</v>
      </c>
      <c r="G1405" s="13">
        <v>2.5333350530059167</v>
      </c>
      <c r="H1405" s="14" t="b">
        <v>0</v>
      </c>
      <c r="I1405" s="15">
        <f t="shared" si="84"/>
        <v>3</v>
      </c>
      <c r="J1405" s="15">
        <f t="shared" si="84"/>
        <v>0</v>
      </c>
      <c r="K1405" s="15">
        <f t="shared" si="85"/>
        <v>3</v>
      </c>
      <c r="L1405" s="3" t="str">
        <f t="shared" si="86"/>
        <v>Sunday</v>
      </c>
      <c r="M1405" s="4" t="str">
        <f t="shared" si="87"/>
        <v>Normal Day</v>
      </c>
      <c r="N1405" s="4" t="str">
        <f>TEXT(CleanedData[[#This Row],[DAY]], "mmm yyyy")</f>
        <v>Nov 2024</v>
      </c>
    </row>
    <row r="1406" spans="1:14" x14ac:dyDescent="0.3">
      <c r="A1406" s="5">
        <v>45613</v>
      </c>
      <c r="B1406" s="12">
        <v>2038.5</v>
      </c>
      <c r="C1406" s="12">
        <v>123</v>
      </c>
      <c r="D1406" s="2" t="s">
        <v>6</v>
      </c>
      <c r="E1406" s="2" t="s">
        <v>7</v>
      </c>
      <c r="F1406" s="1">
        <v>996</v>
      </c>
      <c r="G1406" s="13">
        <v>2000.9621373150526</v>
      </c>
      <c r="H1406" s="14" t="b">
        <v>0</v>
      </c>
      <c r="I1406" s="15">
        <f t="shared" si="84"/>
        <v>2039</v>
      </c>
      <c r="J1406" s="15">
        <f t="shared" si="84"/>
        <v>123</v>
      </c>
      <c r="K1406" s="15">
        <f t="shared" si="85"/>
        <v>2001</v>
      </c>
      <c r="L1406" s="3" t="str">
        <f t="shared" si="86"/>
        <v>Sunday</v>
      </c>
      <c r="M1406" s="4" t="str">
        <f t="shared" si="87"/>
        <v>Normal Day</v>
      </c>
      <c r="N1406" s="4" t="str">
        <f>TEXT(CleanedData[[#This Row],[DAY]], "mmm yyyy")</f>
        <v>Nov 2024</v>
      </c>
    </row>
    <row r="1407" spans="1:14" x14ac:dyDescent="0.3">
      <c r="A1407" s="5">
        <v>45613</v>
      </c>
      <c r="B1407" s="12">
        <v>2253</v>
      </c>
      <c r="C1407" s="12">
        <v>123</v>
      </c>
      <c r="D1407" s="2" t="s">
        <v>6</v>
      </c>
      <c r="E1407" s="2" t="s">
        <v>8</v>
      </c>
      <c r="F1407" s="1">
        <v>455</v>
      </c>
      <c r="G1407" s="13">
        <v>1956.3124991133559</v>
      </c>
      <c r="H1407" s="14" t="b">
        <v>0</v>
      </c>
      <c r="I1407" s="15">
        <f t="shared" si="84"/>
        <v>2253</v>
      </c>
      <c r="J1407" s="15">
        <f t="shared" si="84"/>
        <v>123</v>
      </c>
      <c r="K1407" s="15">
        <f t="shared" si="85"/>
        <v>1956</v>
      </c>
      <c r="L1407" s="3" t="str">
        <f t="shared" si="86"/>
        <v>Sunday</v>
      </c>
      <c r="M1407" s="4" t="str">
        <f t="shared" si="87"/>
        <v>Normal Day</v>
      </c>
      <c r="N1407" s="4" t="str">
        <f>TEXT(CleanedData[[#This Row],[DAY]], "mmm yyyy")</f>
        <v>Nov 2024</v>
      </c>
    </row>
    <row r="1408" spans="1:14" x14ac:dyDescent="0.3">
      <c r="A1408" s="5">
        <v>45613</v>
      </c>
      <c r="B1408" s="12">
        <v>4809</v>
      </c>
      <c r="C1408" s="12">
        <v>202.5</v>
      </c>
      <c r="D1408" s="2" t="s">
        <v>9</v>
      </c>
      <c r="E1408" s="2" t="s">
        <v>8</v>
      </c>
      <c r="F1408" s="1">
        <v>1776</v>
      </c>
      <c r="G1408" s="13">
        <v>4025.7227859534819</v>
      </c>
      <c r="H1408" s="14" t="b">
        <v>1</v>
      </c>
      <c r="I1408" s="15">
        <f t="shared" si="84"/>
        <v>4809</v>
      </c>
      <c r="J1408" s="15">
        <f t="shared" si="84"/>
        <v>203</v>
      </c>
      <c r="K1408" s="15">
        <f t="shared" si="85"/>
        <v>4026</v>
      </c>
      <c r="L1408" s="3" t="str">
        <f t="shared" si="86"/>
        <v>Sunday</v>
      </c>
      <c r="M1408" s="4" t="str">
        <f t="shared" si="87"/>
        <v>Outage Day</v>
      </c>
      <c r="N1408" s="4" t="str">
        <f>TEXT(CleanedData[[#This Row],[DAY]], "mmm yyyy")</f>
        <v>Nov 2024</v>
      </c>
    </row>
    <row r="1409" spans="1:14" x14ac:dyDescent="0.3">
      <c r="A1409" s="5">
        <v>45613</v>
      </c>
      <c r="B1409" s="12">
        <v>5637</v>
      </c>
      <c r="C1409" s="12">
        <v>88.5</v>
      </c>
      <c r="D1409" s="2" t="s">
        <v>10</v>
      </c>
      <c r="E1409" s="2" t="s">
        <v>7</v>
      </c>
      <c r="F1409" s="1">
        <v>2383</v>
      </c>
      <c r="G1409" s="13">
        <v>5243.8423631943388</v>
      </c>
      <c r="H1409" s="14" t="b">
        <v>0</v>
      </c>
      <c r="I1409" s="15">
        <f t="shared" si="84"/>
        <v>5637</v>
      </c>
      <c r="J1409" s="15">
        <f t="shared" si="84"/>
        <v>89</v>
      </c>
      <c r="K1409" s="15">
        <f t="shared" si="85"/>
        <v>5244</v>
      </c>
      <c r="L1409" s="3" t="str">
        <f t="shared" si="86"/>
        <v>Sunday</v>
      </c>
      <c r="M1409" s="4" t="str">
        <f t="shared" si="87"/>
        <v>Normal Day</v>
      </c>
      <c r="N1409" s="4" t="str">
        <f>TEXT(CleanedData[[#This Row],[DAY]], "mmm yyyy")</f>
        <v>Nov 2024</v>
      </c>
    </row>
    <row r="1410" spans="1:14" x14ac:dyDescent="0.3">
      <c r="A1410" s="5">
        <v>45614</v>
      </c>
      <c r="B1410" s="12">
        <v>3</v>
      </c>
      <c r="C1410" s="12">
        <v>0</v>
      </c>
      <c r="D1410" s="2" t="s">
        <v>10</v>
      </c>
      <c r="E1410" s="2" t="s">
        <v>8</v>
      </c>
      <c r="F1410" s="1">
        <v>2</v>
      </c>
      <c r="G1410" s="13">
        <v>2.4412604495316241</v>
      </c>
      <c r="H1410" s="14" t="b">
        <v>0</v>
      </c>
      <c r="I1410" s="15">
        <f t="shared" ref="I1410:J1473" si="88">ROUND(B1410, 0)</f>
        <v>3</v>
      </c>
      <c r="J1410" s="15">
        <f t="shared" si="88"/>
        <v>0</v>
      </c>
      <c r="K1410" s="15">
        <f t="shared" ref="K1410:K1473" si="89">ROUND(G1410, 0)</f>
        <v>2</v>
      </c>
      <c r="L1410" s="3" t="str">
        <f t="shared" si="86"/>
        <v>Monday</v>
      </c>
      <c r="M1410" s="4" t="str">
        <f t="shared" si="87"/>
        <v>Normal Day</v>
      </c>
      <c r="N1410" s="4" t="str">
        <f>TEXT(CleanedData[[#This Row],[DAY]], "mmm yyyy")</f>
        <v>Nov 2024</v>
      </c>
    </row>
    <row r="1411" spans="1:14" x14ac:dyDescent="0.3">
      <c r="A1411" s="5">
        <v>45614</v>
      </c>
      <c r="B1411" s="12">
        <v>1347</v>
      </c>
      <c r="C1411" s="12">
        <v>76.5</v>
      </c>
      <c r="D1411" s="2" t="s">
        <v>6</v>
      </c>
      <c r="E1411" s="2" t="s">
        <v>7</v>
      </c>
      <c r="F1411" s="1">
        <v>133</v>
      </c>
      <c r="G1411" s="13">
        <v>1281.979938398787</v>
      </c>
      <c r="H1411" s="14" t="b">
        <v>0</v>
      </c>
      <c r="I1411" s="15">
        <f t="shared" si="88"/>
        <v>1347</v>
      </c>
      <c r="J1411" s="15">
        <f t="shared" si="88"/>
        <v>77</v>
      </c>
      <c r="K1411" s="15">
        <f t="shared" si="89"/>
        <v>1282</v>
      </c>
      <c r="L1411" s="3" t="str">
        <f t="shared" ref="L1411:L1474" si="90">TEXT(A1411,"dddd")</f>
        <v>Monday</v>
      </c>
      <c r="M1411" s="4" t="str">
        <f t="shared" ref="M1411:M1474" si="91">IF(H1411=TRUE, "Outage Day", "Normal Day")</f>
        <v>Normal Day</v>
      </c>
      <c r="N1411" s="4" t="str">
        <f>TEXT(CleanedData[[#This Row],[DAY]], "mmm yyyy")</f>
        <v>Nov 2024</v>
      </c>
    </row>
    <row r="1412" spans="1:14" x14ac:dyDescent="0.3">
      <c r="A1412" s="5">
        <v>45614</v>
      </c>
      <c r="B1412" s="12">
        <v>1585.5</v>
      </c>
      <c r="C1412" s="12">
        <v>76.5</v>
      </c>
      <c r="D1412" s="2" t="s">
        <v>6</v>
      </c>
      <c r="E1412" s="2" t="s">
        <v>8</v>
      </c>
      <c r="F1412" s="1">
        <v>228</v>
      </c>
      <c r="G1412" s="13">
        <v>1459.0019480614258</v>
      </c>
      <c r="H1412" s="14" t="b">
        <v>0</v>
      </c>
      <c r="I1412" s="15">
        <f t="shared" si="88"/>
        <v>1586</v>
      </c>
      <c r="J1412" s="15">
        <f t="shared" si="88"/>
        <v>77</v>
      </c>
      <c r="K1412" s="15">
        <f t="shared" si="89"/>
        <v>1459</v>
      </c>
      <c r="L1412" s="3" t="str">
        <f t="shared" si="90"/>
        <v>Monday</v>
      </c>
      <c r="M1412" s="4" t="str">
        <f t="shared" si="91"/>
        <v>Normal Day</v>
      </c>
      <c r="N1412" s="4" t="str">
        <f>TEXT(CleanedData[[#This Row],[DAY]], "mmm yyyy")</f>
        <v>Nov 2024</v>
      </c>
    </row>
    <row r="1413" spans="1:14" x14ac:dyDescent="0.3">
      <c r="A1413" s="5">
        <v>45614</v>
      </c>
      <c r="B1413" s="12">
        <v>4131</v>
      </c>
      <c r="C1413" s="12">
        <v>112.5</v>
      </c>
      <c r="D1413" s="2" t="s">
        <v>9</v>
      </c>
      <c r="E1413" s="2" t="s">
        <v>8</v>
      </c>
      <c r="F1413" s="1">
        <v>539</v>
      </c>
      <c r="G1413" s="13">
        <v>3773.9902251466074</v>
      </c>
      <c r="H1413" s="14" t="b">
        <v>0</v>
      </c>
      <c r="I1413" s="15">
        <f t="shared" si="88"/>
        <v>4131</v>
      </c>
      <c r="J1413" s="15">
        <f t="shared" si="88"/>
        <v>113</v>
      </c>
      <c r="K1413" s="15">
        <f t="shared" si="89"/>
        <v>3774</v>
      </c>
      <c r="L1413" s="3" t="str">
        <f t="shared" si="90"/>
        <v>Monday</v>
      </c>
      <c r="M1413" s="4" t="str">
        <f t="shared" si="91"/>
        <v>Normal Day</v>
      </c>
      <c r="N1413" s="4" t="str">
        <f>TEXT(CleanedData[[#This Row],[DAY]], "mmm yyyy")</f>
        <v>Nov 2024</v>
      </c>
    </row>
    <row r="1414" spans="1:14" x14ac:dyDescent="0.3">
      <c r="A1414" s="5">
        <v>45614</v>
      </c>
      <c r="B1414" s="12">
        <v>6006</v>
      </c>
      <c r="C1414" s="12">
        <v>177</v>
      </c>
      <c r="D1414" s="2" t="s">
        <v>10</v>
      </c>
      <c r="E1414" s="2" t="s">
        <v>7</v>
      </c>
      <c r="F1414" s="1">
        <v>3834</v>
      </c>
      <c r="G1414" s="13">
        <v>5634.0772001949399</v>
      </c>
      <c r="H1414" s="14" t="b">
        <v>0</v>
      </c>
      <c r="I1414" s="15">
        <f t="shared" si="88"/>
        <v>6006</v>
      </c>
      <c r="J1414" s="15">
        <f t="shared" si="88"/>
        <v>177</v>
      </c>
      <c r="K1414" s="15">
        <f t="shared" si="89"/>
        <v>5634</v>
      </c>
      <c r="L1414" s="3" t="str">
        <f t="shared" si="90"/>
        <v>Monday</v>
      </c>
      <c r="M1414" s="4" t="str">
        <f t="shared" si="91"/>
        <v>Normal Day</v>
      </c>
      <c r="N1414" s="4" t="str">
        <f>TEXT(CleanedData[[#This Row],[DAY]], "mmm yyyy")</f>
        <v>Nov 2024</v>
      </c>
    </row>
    <row r="1415" spans="1:14" x14ac:dyDescent="0.3">
      <c r="A1415" s="5">
        <v>45615</v>
      </c>
      <c r="B1415" s="12">
        <v>999</v>
      </c>
      <c r="C1415" s="12">
        <v>51</v>
      </c>
      <c r="D1415" s="2" t="s">
        <v>6</v>
      </c>
      <c r="E1415" s="2" t="s">
        <v>8</v>
      </c>
      <c r="F1415" s="1">
        <v>40</v>
      </c>
      <c r="G1415" s="13">
        <v>859.17456722764803</v>
      </c>
      <c r="H1415" s="14" t="b">
        <v>0</v>
      </c>
      <c r="I1415" s="15">
        <f t="shared" si="88"/>
        <v>999</v>
      </c>
      <c r="J1415" s="15">
        <f t="shared" si="88"/>
        <v>51</v>
      </c>
      <c r="K1415" s="15">
        <f t="shared" si="89"/>
        <v>859</v>
      </c>
      <c r="L1415" s="3" t="str">
        <f t="shared" si="90"/>
        <v>Tuesday</v>
      </c>
      <c r="M1415" s="4" t="str">
        <f t="shared" si="91"/>
        <v>Normal Day</v>
      </c>
      <c r="N1415" s="4" t="str">
        <f>TEXT(CleanedData[[#This Row],[DAY]], "mmm yyyy")</f>
        <v>Nov 2024</v>
      </c>
    </row>
    <row r="1416" spans="1:14" x14ac:dyDescent="0.3">
      <c r="A1416" s="5">
        <v>45615</v>
      </c>
      <c r="B1416" s="12">
        <v>1150.5</v>
      </c>
      <c r="C1416" s="12">
        <v>51</v>
      </c>
      <c r="D1416" s="2" t="s">
        <v>6</v>
      </c>
      <c r="E1416" s="2" t="s">
        <v>7</v>
      </c>
      <c r="F1416" s="1">
        <v>602</v>
      </c>
      <c r="G1416" s="13">
        <v>1098.9660708756933</v>
      </c>
      <c r="H1416" s="14" t="b">
        <v>0</v>
      </c>
      <c r="I1416" s="15">
        <f t="shared" si="88"/>
        <v>1151</v>
      </c>
      <c r="J1416" s="15">
        <f t="shared" si="88"/>
        <v>51</v>
      </c>
      <c r="K1416" s="15">
        <f t="shared" si="89"/>
        <v>1099</v>
      </c>
      <c r="L1416" s="3" t="str">
        <f t="shared" si="90"/>
        <v>Tuesday</v>
      </c>
      <c r="M1416" s="4" t="str">
        <f t="shared" si="91"/>
        <v>Normal Day</v>
      </c>
      <c r="N1416" s="4" t="str">
        <f>TEXT(CleanedData[[#This Row],[DAY]], "mmm yyyy")</f>
        <v>Nov 2024</v>
      </c>
    </row>
    <row r="1417" spans="1:14" x14ac:dyDescent="0.3">
      <c r="A1417" s="5">
        <v>45615</v>
      </c>
      <c r="B1417" s="12">
        <v>4672.5</v>
      </c>
      <c r="C1417" s="12">
        <v>96</v>
      </c>
      <c r="D1417" s="2" t="s">
        <v>9</v>
      </c>
      <c r="E1417" s="2" t="s">
        <v>8</v>
      </c>
      <c r="F1417" s="1">
        <v>2790</v>
      </c>
      <c r="G1417" s="13">
        <v>3816.6556885586151</v>
      </c>
      <c r="H1417" s="14" t="b">
        <v>1</v>
      </c>
      <c r="I1417" s="15">
        <f t="shared" si="88"/>
        <v>4673</v>
      </c>
      <c r="J1417" s="15">
        <f t="shared" si="88"/>
        <v>96</v>
      </c>
      <c r="K1417" s="15">
        <f t="shared" si="89"/>
        <v>3817</v>
      </c>
      <c r="L1417" s="3" t="str">
        <f t="shared" si="90"/>
        <v>Tuesday</v>
      </c>
      <c r="M1417" s="4" t="str">
        <f t="shared" si="91"/>
        <v>Outage Day</v>
      </c>
      <c r="N1417" s="4" t="str">
        <f>TEXT(CleanedData[[#This Row],[DAY]], "mmm yyyy")</f>
        <v>Nov 2024</v>
      </c>
    </row>
    <row r="1418" spans="1:14" x14ac:dyDescent="0.3">
      <c r="A1418" s="5">
        <v>45615</v>
      </c>
      <c r="B1418" s="12">
        <v>5316</v>
      </c>
      <c r="C1418" s="12">
        <v>282</v>
      </c>
      <c r="D1418" s="2" t="s">
        <v>10</v>
      </c>
      <c r="E1418" s="2" t="s">
        <v>7</v>
      </c>
      <c r="F1418" s="1">
        <v>1281</v>
      </c>
      <c r="G1418" s="13">
        <v>5249.4405189107765</v>
      </c>
      <c r="H1418" s="14" t="b">
        <v>0</v>
      </c>
      <c r="I1418" s="15">
        <f t="shared" si="88"/>
        <v>5316</v>
      </c>
      <c r="J1418" s="15">
        <f t="shared" si="88"/>
        <v>282</v>
      </c>
      <c r="K1418" s="15">
        <f t="shared" si="89"/>
        <v>5249</v>
      </c>
      <c r="L1418" s="3" t="str">
        <f t="shared" si="90"/>
        <v>Tuesday</v>
      </c>
      <c r="M1418" s="4" t="str">
        <f t="shared" si="91"/>
        <v>Normal Day</v>
      </c>
      <c r="N1418" s="4" t="str">
        <f>TEXT(CleanedData[[#This Row],[DAY]], "mmm yyyy")</f>
        <v>Nov 2024</v>
      </c>
    </row>
    <row r="1419" spans="1:14" x14ac:dyDescent="0.3">
      <c r="A1419" s="5">
        <v>45616</v>
      </c>
      <c r="B1419" s="12">
        <v>1.5</v>
      </c>
      <c r="C1419" s="12">
        <v>0</v>
      </c>
      <c r="D1419" s="2" t="s">
        <v>10</v>
      </c>
      <c r="E1419" s="2" t="s">
        <v>8</v>
      </c>
      <c r="F1419" s="1">
        <v>1</v>
      </c>
      <c r="G1419" s="13">
        <v>1.2141090642423451</v>
      </c>
      <c r="H1419" s="14" t="b">
        <v>0</v>
      </c>
      <c r="I1419" s="15">
        <f t="shared" si="88"/>
        <v>2</v>
      </c>
      <c r="J1419" s="15">
        <f t="shared" si="88"/>
        <v>0</v>
      </c>
      <c r="K1419" s="15">
        <f t="shared" si="89"/>
        <v>1</v>
      </c>
      <c r="L1419" s="3" t="str">
        <f t="shared" si="90"/>
        <v>Wednesday</v>
      </c>
      <c r="M1419" s="4" t="str">
        <f t="shared" si="91"/>
        <v>Normal Day</v>
      </c>
      <c r="N1419" s="4" t="str">
        <f>TEXT(CleanedData[[#This Row],[DAY]], "mmm yyyy")</f>
        <v>Nov 2024</v>
      </c>
    </row>
    <row r="1420" spans="1:14" x14ac:dyDescent="0.3">
      <c r="A1420" s="5">
        <v>45616</v>
      </c>
      <c r="B1420" s="12">
        <v>1150.5</v>
      </c>
      <c r="C1420" s="12">
        <v>79.5</v>
      </c>
      <c r="D1420" s="2" t="s">
        <v>6</v>
      </c>
      <c r="E1420" s="2" t="s">
        <v>8</v>
      </c>
      <c r="F1420" s="1">
        <v>280</v>
      </c>
      <c r="G1420" s="13">
        <v>1011.5302971115636</v>
      </c>
      <c r="H1420" s="14" t="b">
        <v>0</v>
      </c>
      <c r="I1420" s="15">
        <f t="shared" si="88"/>
        <v>1151</v>
      </c>
      <c r="J1420" s="15">
        <f t="shared" si="88"/>
        <v>80</v>
      </c>
      <c r="K1420" s="15">
        <f t="shared" si="89"/>
        <v>1012</v>
      </c>
      <c r="L1420" s="3" t="str">
        <f t="shared" si="90"/>
        <v>Wednesday</v>
      </c>
      <c r="M1420" s="4" t="str">
        <f t="shared" si="91"/>
        <v>Normal Day</v>
      </c>
      <c r="N1420" s="4" t="str">
        <f>TEXT(CleanedData[[#This Row],[DAY]], "mmm yyyy")</f>
        <v>Nov 2024</v>
      </c>
    </row>
    <row r="1421" spans="1:14" x14ac:dyDescent="0.3">
      <c r="A1421" s="5">
        <v>45616</v>
      </c>
      <c r="B1421" s="12">
        <v>1308</v>
      </c>
      <c r="C1421" s="12">
        <v>79.5</v>
      </c>
      <c r="D1421" s="2" t="s">
        <v>6</v>
      </c>
      <c r="E1421" s="2" t="s">
        <v>7</v>
      </c>
      <c r="F1421" s="1">
        <v>754</v>
      </c>
      <c r="G1421" s="13">
        <v>1249.5677073126142</v>
      </c>
      <c r="H1421" s="14" t="b">
        <v>0</v>
      </c>
      <c r="I1421" s="15">
        <f t="shared" si="88"/>
        <v>1308</v>
      </c>
      <c r="J1421" s="15">
        <f t="shared" si="88"/>
        <v>80</v>
      </c>
      <c r="K1421" s="15">
        <f t="shared" si="89"/>
        <v>1250</v>
      </c>
      <c r="L1421" s="3" t="str">
        <f t="shared" si="90"/>
        <v>Wednesday</v>
      </c>
      <c r="M1421" s="4" t="str">
        <f t="shared" si="91"/>
        <v>Normal Day</v>
      </c>
      <c r="N1421" s="4" t="str">
        <f>TEXT(CleanedData[[#This Row],[DAY]], "mmm yyyy")</f>
        <v>Nov 2024</v>
      </c>
    </row>
    <row r="1422" spans="1:14" x14ac:dyDescent="0.3">
      <c r="A1422" s="5">
        <v>45616</v>
      </c>
      <c r="B1422" s="12">
        <v>4171.5</v>
      </c>
      <c r="C1422" s="12">
        <v>4.5</v>
      </c>
      <c r="D1422" s="2" t="s">
        <v>9</v>
      </c>
      <c r="E1422" s="2" t="s">
        <v>8</v>
      </c>
      <c r="F1422" s="1">
        <v>1145</v>
      </c>
      <c r="G1422" s="13">
        <v>3524.017228429228</v>
      </c>
      <c r="H1422" s="14" t="b">
        <v>0</v>
      </c>
      <c r="I1422" s="15">
        <f t="shared" si="88"/>
        <v>4172</v>
      </c>
      <c r="J1422" s="15">
        <f t="shared" si="88"/>
        <v>5</v>
      </c>
      <c r="K1422" s="15">
        <f t="shared" si="89"/>
        <v>3524</v>
      </c>
      <c r="L1422" s="3" t="str">
        <f t="shared" si="90"/>
        <v>Wednesday</v>
      </c>
      <c r="M1422" s="4" t="str">
        <f t="shared" si="91"/>
        <v>Normal Day</v>
      </c>
      <c r="N1422" s="4" t="str">
        <f>TEXT(CleanedData[[#This Row],[DAY]], "mmm yyyy")</f>
        <v>Nov 2024</v>
      </c>
    </row>
    <row r="1423" spans="1:14" x14ac:dyDescent="0.3">
      <c r="A1423" s="5">
        <v>45616</v>
      </c>
      <c r="B1423" s="12">
        <v>5469</v>
      </c>
      <c r="C1423" s="12">
        <v>324</v>
      </c>
      <c r="D1423" s="2" t="s">
        <v>10</v>
      </c>
      <c r="E1423" s="2" t="s">
        <v>7</v>
      </c>
      <c r="F1423" s="1">
        <v>3079</v>
      </c>
      <c r="G1423" s="13">
        <v>5194.2467936981075</v>
      </c>
      <c r="H1423" s="14" t="b">
        <v>0</v>
      </c>
      <c r="I1423" s="15">
        <f t="shared" si="88"/>
        <v>5469</v>
      </c>
      <c r="J1423" s="15">
        <f t="shared" si="88"/>
        <v>324</v>
      </c>
      <c r="K1423" s="15">
        <f t="shared" si="89"/>
        <v>5194</v>
      </c>
      <c r="L1423" s="3" t="str">
        <f t="shared" si="90"/>
        <v>Wednesday</v>
      </c>
      <c r="M1423" s="4" t="str">
        <f t="shared" si="91"/>
        <v>Normal Day</v>
      </c>
      <c r="N1423" s="4" t="str">
        <f>TEXT(CleanedData[[#This Row],[DAY]], "mmm yyyy")</f>
        <v>Nov 2024</v>
      </c>
    </row>
    <row r="1424" spans="1:14" x14ac:dyDescent="0.3">
      <c r="A1424" s="5">
        <v>45617</v>
      </c>
      <c r="B1424" s="12">
        <v>1.5</v>
      </c>
      <c r="C1424" s="12">
        <v>0</v>
      </c>
      <c r="D1424" s="2" t="s">
        <v>10</v>
      </c>
      <c r="E1424" s="2" t="s">
        <v>8</v>
      </c>
      <c r="F1424" s="1">
        <v>1</v>
      </c>
      <c r="G1424" s="13">
        <v>1.261931732767263</v>
      </c>
      <c r="H1424" s="14" t="b">
        <v>0</v>
      </c>
      <c r="I1424" s="15">
        <f t="shared" si="88"/>
        <v>2</v>
      </c>
      <c r="J1424" s="15">
        <f t="shared" si="88"/>
        <v>0</v>
      </c>
      <c r="K1424" s="15">
        <f t="shared" si="89"/>
        <v>1</v>
      </c>
      <c r="L1424" s="3" t="str">
        <f t="shared" si="90"/>
        <v>Thursday</v>
      </c>
      <c r="M1424" s="4" t="str">
        <f t="shared" si="91"/>
        <v>Normal Day</v>
      </c>
      <c r="N1424" s="4" t="str">
        <f>TEXT(CleanedData[[#This Row],[DAY]], "mmm yyyy")</f>
        <v>Nov 2024</v>
      </c>
    </row>
    <row r="1425" spans="1:14" x14ac:dyDescent="0.3">
      <c r="A1425" s="5">
        <v>45617</v>
      </c>
      <c r="B1425" s="12">
        <v>1680</v>
      </c>
      <c r="C1425" s="12">
        <v>108</v>
      </c>
      <c r="D1425" s="2" t="s">
        <v>6</v>
      </c>
      <c r="E1425" s="2" t="s">
        <v>8</v>
      </c>
      <c r="F1425" s="1">
        <v>63</v>
      </c>
      <c r="G1425" s="13">
        <v>1465.9942935910144</v>
      </c>
      <c r="H1425" s="14" t="b">
        <v>0</v>
      </c>
      <c r="I1425" s="15">
        <f t="shared" si="88"/>
        <v>1680</v>
      </c>
      <c r="J1425" s="15">
        <f t="shared" si="88"/>
        <v>108</v>
      </c>
      <c r="K1425" s="15">
        <f t="shared" si="89"/>
        <v>1466</v>
      </c>
      <c r="L1425" s="3" t="str">
        <f t="shared" si="90"/>
        <v>Thursday</v>
      </c>
      <c r="M1425" s="4" t="str">
        <f t="shared" si="91"/>
        <v>Normal Day</v>
      </c>
      <c r="N1425" s="4" t="str">
        <f>TEXT(CleanedData[[#This Row],[DAY]], "mmm yyyy")</f>
        <v>Nov 2024</v>
      </c>
    </row>
    <row r="1426" spans="1:14" x14ac:dyDescent="0.3">
      <c r="A1426" s="5">
        <v>45617</v>
      </c>
      <c r="B1426" s="12">
        <v>1924.5</v>
      </c>
      <c r="C1426" s="12">
        <v>108</v>
      </c>
      <c r="D1426" s="2" t="s">
        <v>6</v>
      </c>
      <c r="E1426" s="2" t="s">
        <v>7</v>
      </c>
      <c r="F1426" s="1">
        <v>858</v>
      </c>
      <c r="G1426" s="13">
        <v>1824.8002488522025</v>
      </c>
      <c r="H1426" s="14" t="b">
        <v>0</v>
      </c>
      <c r="I1426" s="15">
        <f t="shared" si="88"/>
        <v>1925</v>
      </c>
      <c r="J1426" s="15">
        <f t="shared" si="88"/>
        <v>108</v>
      </c>
      <c r="K1426" s="15">
        <f t="shared" si="89"/>
        <v>1825</v>
      </c>
      <c r="L1426" s="3" t="str">
        <f t="shared" si="90"/>
        <v>Thursday</v>
      </c>
      <c r="M1426" s="4" t="str">
        <f t="shared" si="91"/>
        <v>Normal Day</v>
      </c>
      <c r="N1426" s="4" t="str">
        <f>TEXT(CleanedData[[#This Row],[DAY]], "mmm yyyy")</f>
        <v>Nov 2024</v>
      </c>
    </row>
    <row r="1427" spans="1:14" x14ac:dyDescent="0.3">
      <c r="A1427" s="5">
        <v>45617</v>
      </c>
      <c r="B1427" s="12">
        <v>4782</v>
      </c>
      <c r="C1427" s="12">
        <v>37.5</v>
      </c>
      <c r="D1427" s="2" t="s">
        <v>9</v>
      </c>
      <c r="E1427" s="2" t="s">
        <v>8</v>
      </c>
      <c r="F1427" s="1">
        <v>2833</v>
      </c>
      <c r="G1427" s="13">
        <v>4037.5709743627012</v>
      </c>
      <c r="H1427" s="14" t="b">
        <v>0</v>
      </c>
      <c r="I1427" s="15">
        <f t="shared" si="88"/>
        <v>4782</v>
      </c>
      <c r="J1427" s="15">
        <f t="shared" si="88"/>
        <v>38</v>
      </c>
      <c r="K1427" s="15">
        <f t="shared" si="89"/>
        <v>4038</v>
      </c>
      <c r="L1427" s="3" t="str">
        <f t="shared" si="90"/>
        <v>Thursday</v>
      </c>
      <c r="M1427" s="4" t="str">
        <f t="shared" si="91"/>
        <v>Normal Day</v>
      </c>
      <c r="N1427" s="4" t="str">
        <f>TEXT(CleanedData[[#This Row],[DAY]], "mmm yyyy")</f>
        <v>Nov 2024</v>
      </c>
    </row>
    <row r="1428" spans="1:14" x14ac:dyDescent="0.3">
      <c r="A1428" s="5">
        <v>45617</v>
      </c>
      <c r="B1428" s="12">
        <v>6604.5</v>
      </c>
      <c r="C1428" s="12">
        <v>66</v>
      </c>
      <c r="D1428" s="2" t="s">
        <v>10</v>
      </c>
      <c r="E1428" s="2" t="s">
        <v>7</v>
      </c>
      <c r="F1428" s="1">
        <v>3866</v>
      </c>
      <c r="G1428" s="13">
        <v>5888.3866807781824</v>
      </c>
      <c r="H1428" s="14" t="b">
        <v>0</v>
      </c>
      <c r="I1428" s="15">
        <f t="shared" si="88"/>
        <v>6605</v>
      </c>
      <c r="J1428" s="15">
        <f t="shared" si="88"/>
        <v>66</v>
      </c>
      <c r="K1428" s="15">
        <f t="shared" si="89"/>
        <v>5888</v>
      </c>
      <c r="L1428" s="3" t="str">
        <f t="shared" si="90"/>
        <v>Thursday</v>
      </c>
      <c r="M1428" s="4" t="str">
        <f t="shared" si="91"/>
        <v>Normal Day</v>
      </c>
      <c r="N1428" s="4" t="str">
        <f>TEXT(CleanedData[[#This Row],[DAY]], "mmm yyyy")</f>
        <v>Nov 2024</v>
      </c>
    </row>
    <row r="1429" spans="1:14" x14ac:dyDescent="0.3">
      <c r="A1429" s="5">
        <v>45618</v>
      </c>
      <c r="B1429" s="12">
        <v>1.5</v>
      </c>
      <c r="C1429" s="12">
        <v>0</v>
      </c>
      <c r="D1429" s="2" t="s">
        <v>10</v>
      </c>
      <c r="E1429" s="2" t="s">
        <v>8</v>
      </c>
      <c r="F1429" s="1">
        <v>1</v>
      </c>
      <c r="G1429" s="13">
        <v>1.2421850951055107</v>
      </c>
      <c r="H1429" s="14" t="b">
        <v>0</v>
      </c>
      <c r="I1429" s="15">
        <f t="shared" si="88"/>
        <v>2</v>
      </c>
      <c r="J1429" s="15">
        <f t="shared" si="88"/>
        <v>0</v>
      </c>
      <c r="K1429" s="15">
        <f t="shared" si="89"/>
        <v>1</v>
      </c>
      <c r="L1429" s="3" t="str">
        <f t="shared" si="90"/>
        <v>Friday</v>
      </c>
      <c r="M1429" s="4" t="str">
        <f t="shared" si="91"/>
        <v>Normal Day</v>
      </c>
      <c r="N1429" s="4" t="str">
        <f>TEXT(CleanedData[[#This Row],[DAY]], "mmm yyyy")</f>
        <v>Nov 2024</v>
      </c>
    </row>
    <row r="1430" spans="1:14" x14ac:dyDescent="0.3">
      <c r="A1430" s="5">
        <v>45618</v>
      </c>
      <c r="B1430" s="12">
        <v>1843.5</v>
      </c>
      <c r="C1430" s="12">
        <v>51</v>
      </c>
      <c r="D1430" s="2" t="s">
        <v>6</v>
      </c>
      <c r="E1430" s="2" t="s">
        <v>8</v>
      </c>
      <c r="F1430" s="1">
        <v>1002</v>
      </c>
      <c r="G1430" s="13">
        <v>1618.2450835770862</v>
      </c>
      <c r="H1430" s="14" t="b">
        <v>0</v>
      </c>
      <c r="I1430" s="15">
        <f t="shared" si="88"/>
        <v>1844</v>
      </c>
      <c r="J1430" s="15">
        <f t="shared" si="88"/>
        <v>51</v>
      </c>
      <c r="K1430" s="15">
        <f t="shared" si="89"/>
        <v>1618</v>
      </c>
      <c r="L1430" s="3" t="str">
        <f t="shared" si="90"/>
        <v>Friday</v>
      </c>
      <c r="M1430" s="4" t="str">
        <f t="shared" si="91"/>
        <v>Normal Day</v>
      </c>
      <c r="N1430" s="4" t="str">
        <f>TEXT(CleanedData[[#This Row],[DAY]], "mmm yyyy")</f>
        <v>Nov 2024</v>
      </c>
    </row>
    <row r="1431" spans="1:14" x14ac:dyDescent="0.3">
      <c r="A1431" s="5">
        <v>45618</v>
      </c>
      <c r="B1431" s="12">
        <v>1944</v>
      </c>
      <c r="C1431" s="12">
        <v>51</v>
      </c>
      <c r="D1431" s="2" t="s">
        <v>6</v>
      </c>
      <c r="E1431" s="2" t="s">
        <v>7</v>
      </c>
      <c r="F1431" s="1">
        <v>893</v>
      </c>
      <c r="G1431" s="13">
        <v>1860.915182754695</v>
      </c>
      <c r="H1431" s="14" t="b">
        <v>0</v>
      </c>
      <c r="I1431" s="15">
        <f t="shared" si="88"/>
        <v>1944</v>
      </c>
      <c r="J1431" s="15">
        <f t="shared" si="88"/>
        <v>51</v>
      </c>
      <c r="K1431" s="15">
        <f t="shared" si="89"/>
        <v>1861</v>
      </c>
      <c r="L1431" s="3" t="str">
        <f t="shared" si="90"/>
        <v>Friday</v>
      </c>
      <c r="M1431" s="4" t="str">
        <f t="shared" si="91"/>
        <v>Normal Day</v>
      </c>
      <c r="N1431" s="4" t="str">
        <f>TEXT(CleanedData[[#This Row],[DAY]], "mmm yyyy")</f>
        <v>Nov 2024</v>
      </c>
    </row>
    <row r="1432" spans="1:14" x14ac:dyDescent="0.3">
      <c r="A1432" s="5">
        <v>45618</v>
      </c>
      <c r="B1432" s="12">
        <v>5398.5</v>
      </c>
      <c r="C1432" s="12">
        <v>31.5</v>
      </c>
      <c r="D1432" s="2" t="s">
        <v>9</v>
      </c>
      <c r="E1432" s="2" t="s">
        <v>8</v>
      </c>
      <c r="F1432" s="1">
        <v>41</v>
      </c>
      <c r="G1432" s="13">
        <v>4379.1871065143887</v>
      </c>
      <c r="H1432" s="14" t="b">
        <v>0</v>
      </c>
      <c r="I1432" s="15">
        <f t="shared" si="88"/>
        <v>5399</v>
      </c>
      <c r="J1432" s="15">
        <f t="shared" si="88"/>
        <v>32</v>
      </c>
      <c r="K1432" s="15">
        <f t="shared" si="89"/>
        <v>4379</v>
      </c>
      <c r="L1432" s="3" t="str">
        <f t="shared" si="90"/>
        <v>Friday</v>
      </c>
      <c r="M1432" s="4" t="str">
        <f t="shared" si="91"/>
        <v>Normal Day</v>
      </c>
      <c r="N1432" s="4" t="str">
        <f>TEXT(CleanedData[[#This Row],[DAY]], "mmm yyyy")</f>
        <v>Nov 2024</v>
      </c>
    </row>
    <row r="1433" spans="1:14" x14ac:dyDescent="0.3">
      <c r="A1433" s="5">
        <v>45618</v>
      </c>
      <c r="B1433" s="12">
        <v>7246.5</v>
      </c>
      <c r="C1433" s="12">
        <v>252</v>
      </c>
      <c r="D1433" s="2" t="s">
        <v>10</v>
      </c>
      <c r="E1433" s="2" t="s">
        <v>7</v>
      </c>
      <c r="F1433" s="1">
        <v>4826</v>
      </c>
      <c r="G1433" s="13">
        <v>6813.9362574915031</v>
      </c>
      <c r="H1433" s="14" t="b">
        <v>0</v>
      </c>
      <c r="I1433" s="15">
        <f t="shared" si="88"/>
        <v>7247</v>
      </c>
      <c r="J1433" s="15">
        <f t="shared" si="88"/>
        <v>252</v>
      </c>
      <c r="K1433" s="15">
        <f t="shared" si="89"/>
        <v>6814</v>
      </c>
      <c r="L1433" s="3" t="str">
        <f t="shared" si="90"/>
        <v>Friday</v>
      </c>
      <c r="M1433" s="4" t="str">
        <f t="shared" si="91"/>
        <v>Normal Day</v>
      </c>
      <c r="N1433" s="4" t="str">
        <f>TEXT(CleanedData[[#This Row],[DAY]], "mmm yyyy")</f>
        <v>Nov 2024</v>
      </c>
    </row>
    <row r="1434" spans="1:14" x14ac:dyDescent="0.3">
      <c r="A1434" s="5">
        <v>45619</v>
      </c>
      <c r="B1434" s="12">
        <v>1692</v>
      </c>
      <c r="C1434" s="12">
        <v>91.5</v>
      </c>
      <c r="D1434" s="2" t="s">
        <v>6</v>
      </c>
      <c r="E1434" s="2" t="s">
        <v>7</v>
      </c>
      <c r="F1434" s="1">
        <v>346</v>
      </c>
      <c r="G1434" s="13">
        <v>1552.0361726009755</v>
      </c>
      <c r="H1434" s="14" t="b">
        <v>1</v>
      </c>
      <c r="I1434" s="15">
        <f t="shared" si="88"/>
        <v>1692</v>
      </c>
      <c r="J1434" s="15">
        <f t="shared" si="88"/>
        <v>92</v>
      </c>
      <c r="K1434" s="15">
        <f t="shared" si="89"/>
        <v>1552</v>
      </c>
      <c r="L1434" s="3" t="str">
        <f t="shared" si="90"/>
        <v>Saturday</v>
      </c>
      <c r="M1434" s="4" t="str">
        <f t="shared" si="91"/>
        <v>Outage Day</v>
      </c>
      <c r="N1434" s="4" t="str">
        <f>TEXT(CleanedData[[#This Row],[DAY]], "mmm yyyy")</f>
        <v>Nov 2024</v>
      </c>
    </row>
    <row r="1435" spans="1:14" x14ac:dyDescent="0.3">
      <c r="A1435" s="5">
        <v>45619</v>
      </c>
      <c r="B1435" s="12">
        <v>1845</v>
      </c>
      <c r="C1435" s="12">
        <v>91.5</v>
      </c>
      <c r="D1435" s="2" t="s">
        <v>6</v>
      </c>
      <c r="E1435" s="2" t="s">
        <v>8</v>
      </c>
      <c r="F1435" s="1">
        <v>125</v>
      </c>
      <c r="G1435" s="13">
        <v>1556.615439140952</v>
      </c>
      <c r="H1435" s="14" t="b">
        <v>0</v>
      </c>
      <c r="I1435" s="15">
        <f t="shared" si="88"/>
        <v>1845</v>
      </c>
      <c r="J1435" s="15">
        <f t="shared" si="88"/>
        <v>92</v>
      </c>
      <c r="K1435" s="15">
        <f t="shared" si="89"/>
        <v>1557</v>
      </c>
      <c r="L1435" s="3" t="str">
        <f t="shared" si="90"/>
        <v>Saturday</v>
      </c>
      <c r="M1435" s="4" t="str">
        <f t="shared" si="91"/>
        <v>Normal Day</v>
      </c>
      <c r="N1435" s="4" t="str">
        <f>TEXT(CleanedData[[#This Row],[DAY]], "mmm yyyy")</f>
        <v>Nov 2024</v>
      </c>
    </row>
    <row r="1436" spans="1:14" x14ac:dyDescent="0.3">
      <c r="A1436" s="5">
        <v>45619</v>
      </c>
      <c r="B1436" s="12">
        <v>7320</v>
      </c>
      <c r="C1436" s="12">
        <v>45</v>
      </c>
      <c r="D1436" s="2" t="s">
        <v>9</v>
      </c>
      <c r="E1436" s="2" t="s">
        <v>8</v>
      </c>
      <c r="F1436" s="1">
        <v>2134</v>
      </c>
      <c r="G1436" s="13">
        <v>6311.4870705816693</v>
      </c>
      <c r="H1436" s="14" t="b">
        <v>0</v>
      </c>
      <c r="I1436" s="15">
        <f t="shared" si="88"/>
        <v>7320</v>
      </c>
      <c r="J1436" s="15">
        <f t="shared" si="88"/>
        <v>45</v>
      </c>
      <c r="K1436" s="15">
        <f t="shared" si="89"/>
        <v>6311</v>
      </c>
      <c r="L1436" s="3" t="str">
        <f t="shared" si="90"/>
        <v>Saturday</v>
      </c>
      <c r="M1436" s="4" t="str">
        <f t="shared" si="91"/>
        <v>Normal Day</v>
      </c>
      <c r="N1436" s="4" t="str">
        <f>TEXT(CleanedData[[#This Row],[DAY]], "mmm yyyy")</f>
        <v>Nov 2024</v>
      </c>
    </row>
    <row r="1437" spans="1:14" x14ac:dyDescent="0.3">
      <c r="A1437" s="5">
        <v>45619</v>
      </c>
      <c r="B1437" s="12">
        <v>7371</v>
      </c>
      <c r="C1437" s="12">
        <v>186</v>
      </c>
      <c r="D1437" s="2" t="s">
        <v>10</v>
      </c>
      <c r="E1437" s="2" t="s">
        <v>7</v>
      </c>
      <c r="F1437" s="1">
        <v>623</v>
      </c>
      <c r="G1437" s="13">
        <v>6951.6344037855579</v>
      </c>
      <c r="H1437" s="14" t="b">
        <v>0</v>
      </c>
      <c r="I1437" s="15">
        <f t="shared" si="88"/>
        <v>7371</v>
      </c>
      <c r="J1437" s="15">
        <f t="shared" si="88"/>
        <v>186</v>
      </c>
      <c r="K1437" s="15">
        <f t="shared" si="89"/>
        <v>6952</v>
      </c>
      <c r="L1437" s="3" t="str">
        <f t="shared" si="90"/>
        <v>Saturday</v>
      </c>
      <c r="M1437" s="4" t="str">
        <f t="shared" si="91"/>
        <v>Normal Day</v>
      </c>
      <c r="N1437" s="4" t="str">
        <f>TEXT(CleanedData[[#This Row],[DAY]], "mmm yyyy")</f>
        <v>Nov 2024</v>
      </c>
    </row>
    <row r="1438" spans="1:14" x14ac:dyDescent="0.3">
      <c r="A1438" s="5">
        <v>45620</v>
      </c>
      <c r="B1438" s="12">
        <v>1750.5</v>
      </c>
      <c r="C1438" s="12">
        <v>49.5</v>
      </c>
      <c r="D1438" s="2" t="s">
        <v>6</v>
      </c>
      <c r="E1438" s="2" t="s">
        <v>8</v>
      </c>
      <c r="F1438" s="1">
        <v>971</v>
      </c>
      <c r="G1438" s="13">
        <v>1591.3642618871945</v>
      </c>
      <c r="H1438" s="14" t="b">
        <v>0</v>
      </c>
      <c r="I1438" s="15">
        <f t="shared" si="88"/>
        <v>1751</v>
      </c>
      <c r="J1438" s="15">
        <f t="shared" si="88"/>
        <v>50</v>
      </c>
      <c r="K1438" s="15">
        <f t="shared" si="89"/>
        <v>1591</v>
      </c>
      <c r="L1438" s="3" t="str">
        <f t="shared" si="90"/>
        <v>Sunday</v>
      </c>
      <c r="M1438" s="4" t="str">
        <f t="shared" si="91"/>
        <v>Normal Day</v>
      </c>
      <c r="N1438" s="4" t="str">
        <f>TEXT(CleanedData[[#This Row],[DAY]], "mmm yyyy")</f>
        <v>Nov 2024</v>
      </c>
    </row>
    <row r="1439" spans="1:14" x14ac:dyDescent="0.3">
      <c r="A1439" s="5">
        <v>45620</v>
      </c>
      <c r="B1439" s="12">
        <v>1756.5</v>
      </c>
      <c r="C1439" s="12">
        <v>49.5</v>
      </c>
      <c r="D1439" s="2" t="s">
        <v>6</v>
      </c>
      <c r="E1439" s="2" t="s">
        <v>7</v>
      </c>
      <c r="F1439" s="1">
        <v>116</v>
      </c>
      <c r="G1439" s="13">
        <v>1573.225089053775</v>
      </c>
      <c r="H1439" s="14" t="b">
        <v>1</v>
      </c>
      <c r="I1439" s="15">
        <f t="shared" si="88"/>
        <v>1757</v>
      </c>
      <c r="J1439" s="15">
        <f t="shared" si="88"/>
        <v>50</v>
      </c>
      <c r="K1439" s="15">
        <f t="shared" si="89"/>
        <v>1573</v>
      </c>
      <c r="L1439" s="3" t="str">
        <f t="shared" si="90"/>
        <v>Sunday</v>
      </c>
      <c r="M1439" s="4" t="str">
        <f t="shared" si="91"/>
        <v>Outage Day</v>
      </c>
      <c r="N1439" s="4" t="str">
        <f>TEXT(CleanedData[[#This Row],[DAY]], "mmm yyyy")</f>
        <v>Nov 2024</v>
      </c>
    </row>
    <row r="1440" spans="1:14" x14ac:dyDescent="0.3">
      <c r="A1440" s="5">
        <v>45620</v>
      </c>
      <c r="B1440" s="12">
        <v>5343</v>
      </c>
      <c r="C1440" s="12">
        <v>327</v>
      </c>
      <c r="D1440" s="2" t="s">
        <v>10</v>
      </c>
      <c r="E1440" s="2" t="s">
        <v>7</v>
      </c>
      <c r="F1440" s="1">
        <v>753</v>
      </c>
      <c r="G1440" s="13">
        <v>5066.6749845619124</v>
      </c>
      <c r="H1440" s="14" t="b">
        <v>0</v>
      </c>
      <c r="I1440" s="15">
        <f t="shared" si="88"/>
        <v>5343</v>
      </c>
      <c r="J1440" s="15">
        <f t="shared" si="88"/>
        <v>327</v>
      </c>
      <c r="K1440" s="15">
        <f t="shared" si="89"/>
        <v>5067</v>
      </c>
      <c r="L1440" s="3" t="str">
        <f t="shared" si="90"/>
        <v>Sunday</v>
      </c>
      <c r="M1440" s="4" t="str">
        <f t="shared" si="91"/>
        <v>Normal Day</v>
      </c>
      <c r="N1440" s="4" t="str">
        <f>TEXT(CleanedData[[#This Row],[DAY]], "mmm yyyy")</f>
        <v>Nov 2024</v>
      </c>
    </row>
    <row r="1441" spans="1:14" x14ac:dyDescent="0.3">
      <c r="A1441" s="5">
        <v>45620</v>
      </c>
      <c r="B1441" s="12">
        <v>6261</v>
      </c>
      <c r="C1441" s="12">
        <v>15</v>
      </c>
      <c r="D1441" s="2" t="s">
        <v>9</v>
      </c>
      <c r="E1441" s="2" t="s">
        <v>8</v>
      </c>
      <c r="F1441" s="1">
        <v>2879</v>
      </c>
      <c r="G1441" s="13">
        <v>5482.7326659119008</v>
      </c>
      <c r="H1441" s="14" t="b">
        <v>0</v>
      </c>
      <c r="I1441" s="15">
        <f t="shared" si="88"/>
        <v>6261</v>
      </c>
      <c r="J1441" s="15">
        <f t="shared" si="88"/>
        <v>15</v>
      </c>
      <c r="K1441" s="15">
        <f t="shared" si="89"/>
        <v>5483</v>
      </c>
      <c r="L1441" s="3" t="str">
        <f t="shared" si="90"/>
        <v>Sunday</v>
      </c>
      <c r="M1441" s="4" t="str">
        <f t="shared" si="91"/>
        <v>Normal Day</v>
      </c>
      <c r="N1441" s="4" t="str">
        <f>TEXT(CleanedData[[#This Row],[DAY]], "mmm yyyy")</f>
        <v>Nov 2024</v>
      </c>
    </row>
    <row r="1442" spans="1:14" x14ac:dyDescent="0.3">
      <c r="A1442" s="5">
        <v>45621</v>
      </c>
      <c r="B1442" s="12">
        <v>994.5</v>
      </c>
      <c r="C1442" s="12">
        <v>75</v>
      </c>
      <c r="D1442" s="2" t="s">
        <v>6</v>
      </c>
      <c r="E1442" s="2" t="s">
        <v>8</v>
      </c>
      <c r="F1442" s="1">
        <v>379</v>
      </c>
      <c r="G1442" s="13">
        <v>885.99251784466833</v>
      </c>
      <c r="H1442" s="14" t="b">
        <v>0</v>
      </c>
      <c r="I1442" s="15">
        <f t="shared" si="88"/>
        <v>995</v>
      </c>
      <c r="J1442" s="15">
        <f t="shared" si="88"/>
        <v>75</v>
      </c>
      <c r="K1442" s="15">
        <f t="shared" si="89"/>
        <v>886</v>
      </c>
      <c r="L1442" s="3" t="str">
        <f t="shared" si="90"/>
        <v>Monday</v>
      </c>
      <c r="M1442" s="4" t="str">
        <f t="shared" si="91"/>
        <v>Normal Day</v>
      </c>
      <c r="N1442" s="4" t="str">
        <f>TEXT(CleanedData[[#This Row],[DAY]], "mmm yyyy")</f>
        <v>Nov 2024</v>
      </c>
    </row>
    <row r="1443" spans="1:14" x14ac:dyDescent="0.3">
      <c r="A1443" s="5">
        <v>45621</v>
      </c>
      <c r="B1443" s="12">
        <v>1177.5</v>
      </c>
      <c r="C1443" s="12">
        <v>75</v>
      </c>
      <c r="D1443" s="2" t="s">
        <v>6</v>
      </c>
      <c r="E1443" s="2" t="s">
        <v>7</v>
      </c>
      <c r="F1443" s="1">
        <v>677</v>
      </c>
      <c r="G1443" s="13">
        <v>1140.1696855431553</v>
      </c>
      <c r="H1443" s="14" t="b">
        <v>0</v>
      </c>
      <c r="I1443" s="15">
        <f t="shared" si="88"/>
        <v>1178</v>
      </c>
      <c r="J1443" s="15">
        <f t="shared" si="88"/>
        <v>75</v>
      </c>
      <c r="K1443" s="15">
        <f t="shared" si="89"/>
        <v>1140</v>
      </c>
      <c r="L1443" s="3" t="str">
        <f t="shared" si="90"/>
        <v>Monday</v>
      </c>
      <c r="M1443" s="4" t="str">
        <f t="shared" si="91"/>
        <v>Normal Day</v>
      </c>
      <c r="N1443" s="4" t="str">
        <f>TEXT(CleanedData[[#This Row],[DAY]], "mmm yyyy")</f>
        <v>Nov 2024</v>
      </c>
    </row>
    <row r="1444" spans="1:14" x14ac:dyDescent="0.3">
      <c r="A1444" s="5">
        <v>45621</v>
      </c>
      <c r="B1444" s="12">
        <v>5473.5</v>
      </c>
      <c r="C1444" s="12">
        <v>289.5</v>
      </c>
      <c r="D1444" s="2" t="s">
        <v>10</v>
      </c>
      <c r="E1444" s="2" t="s">
        <v>7</v>
      </c>
      <c r="F1444" s="1">
        <v>3222</v>
      </c>
      <c r="G1444" s="13">
        <v>5153.1235795928651</v>
      </c>
      <c r="H1444" s="14" t="b">
        <v>0</v>
      </c>
      <c r="I1444" s="15">
        <f t="shared" si="88"/>
        <v>5474</v>
      </c>
      <c r="J1444" s="15">
        <f t="shared" si="88"/>
        <v>290</v>
      </c>
      <c r="K1444" s="15">
        <f t="shared" si="89"/>
        <v>5153</v>
      </c>
      <c r="L1444" s="3" t="str">
        <f t="shared" si="90"/>
        <v>Monday</v>
      </c>
      <c r="M1444" s="4" t="str">
        <f t="shared" si="91"/>
        <v>Normal Day</v>
      </c>
      <c r="N1444" s="4" t="str">
        <f>TEXT(CleanedData[[#This Row],[DAY]], "mmm yyyy")</f>
        <v>Nov 2024</v>
      </c>
    </row>
    <row r="1445" spans="1:14" x14ac:dyDescent="0.3">
      <c r="A1445" s="5">
        <v>45621</v>
      </c>
      <c r="B1445" s="12">
        <v>5722.5</v>
      </c>
      <c r="C1445" s="12">
        <v>216</v>
      </c>
      <c r="D1445" s="2" t="s">
        <v>9</v>
      </c>
      <c r="E1445" s="2" t="s">
        <v>8</v>
      </c>
      <c r="F1445" s="1">
        <v>3145</v>
      </c>
      <c r="G1445" s="13">
        <v>4853.2025240608527</v>
      </c>
      <c r="H1445" s="14" t="b">
        <v>0</v>
      </c>
      <c r="I1445" s="15">
        <f t="shared" si="88"/>
        <v>5723</v>
      </c>
      <c r="J1445" s="15">
        <f t="shared" si="88"/>
        <v>216</v>
      </c>
      <c r="K1445" s="15">
        <f t="shared" si="89"/>
        <v>4853</v>
      </c>
      <c r="L1445" s="3" t="str">
        <f t="shared" si="90"/>
        <v>Monday</v>
      </c>
      <c r="M1445" s="4" t="str">
        <f t="shared" si="91"/>
        <v>Normal Day</v>
      </c>
      <c r="N1445" s="4" t="str">
        <f>TEXT(CleanedData[[#This Row],[DAY]], "mmm yyyy")</f>
        <v>Nov 2024</v>
      </c>
    </row>
    <row r="1446" spans="1:14" x14ac:dyDescent="0.3">
      <c r="A1446" s="5">
        <v>45622</v>
      </c>
      <c r="B1446" s="12">
        <v>1.5</v>
      </c>
      <c r="C1446" s="12">
        <v>1.5</v>
      </c>
      <c r="D1446" s="2" t="s">
        <v>9</v>
      </c>
      <c r="E1446" s="2" t="s">
        <v>7</v>
      </c>
      <c r="F1446" s="1">
        <v>1</v>
      </c>
      <c r="G1446" s="13">
        <v>2.6119651503888872</v>
      </c>
      <c r="H1446" s="14" t="b">
        <v>1</v>
      </c>
      <c r="I1446" s="15">
        <f t="shared" si="88"/>
        <v>2</v>
      </c>
      <c r="J1446" s="15">
        <f t="shared" si="88"/>
        <v>2</v>
      </c>
      <c r="K1446" s="15">
        <f t="shared" si="89"/>
        <v>3</v>
      </c>
      <c r="L1446" s="3" t="str">
        <f t="shared" si="90"/>
        <v>Tuesday</v>
      </c>
      <c r="M1446" s="4" t="str">
        <f t="shared" si="91"/>
        <v>Outage Day</v>
      </c>
      <c r="N1446" s="4" t="str">
        <f>TEXT(CleanedData[[#This Row],[DAY]], "mmm yyyy")</f>
        <v>Nov 2024</v>
      </c>
    </row>
    <row r="1447" spans="1:14" x14ac:dyDescent="0.3">
      <c r="A1447" s="5">
        <v>45622</v>
      </c>
      <c r="B1447" s="12">
        <v>862.5</v>
      </c>
      <c r="C1447" s="12">
        <v>25.5</v>
      </c>
      <c r="D1447" s="2" t="s">
        <v>6</v>
      </c>
      <c r="E1447" s="2" t="s">
        <v>8</v>
      </c>
      <c r="F1447" s="1">
        <v>367</v>
      </c>
      <c r="G1447" s="13">
        <v>778.0604161777029</v>
      </c>
      <c r="H1447" s="14" t="b">
        <v>0</v>
      </c>
      <c r="I1447" s="15">
        <f t="shared" si="88"/>
        <v>863</v>
      </c>
      <c r="J1447" s="15">
        <f t="shared" si="88"/>
        <v>26</v>
      </c>
      <c r="K1447" s="15">
        <f t="shared" si="89"/>
        <v>778</v>
      </c>
      <c r="L1447" s="3" t="str">
        <f t="shared" si="90"/>
        <v>Tuesday</v>
      </c>
      <c r="M1447" s="4" t="str">
        <f t="shared" si="91"/>
        <v>Normal Day</v>
      </c>
      <c r="N1447" s="4" t="str">
        <f>TEXT(CleanedData[[#This Row],[DAY]], "mmm yyyy")</f>
        <v>Nov 2024</v>
      </c>
    </row>
    <row r="1448" spans="1:14" x14ac:dyDescent="0.3">
      <c r="A1448" s="5">
        <v>45622</v>
      </c>
      <c r="B1448" s="12">
        <v>990</v>
      </c>
      <c r="C1448" s="12">
        <v>25.5</v>
      </c>
      <c r="D1448" s="2" t="s">
        <v>6</v>
      </c>
      <c r="E1448" s="2" t="s">
        <v>7</v>
      </c>
      <c r="F1448" s="1">
        <v>394</v>
      </c>
      <c r="G1448" s="13">
        <v>921.12918721584151</v>
      </c>
      <c r="H1448" s="14" t="b">
        <v>0</v>
      </c>
      <c r="I1448" s="15">
        <f t="shared" si="88"/>
        <v>990</v>
      </c>
      <c r="J1448" s="15">
        <f t="shared" si="88"/>
        <v>26</v>
      </c>
      <c r="K1448" s="15">
        <f t="shared" si="89"/>
        <v>921</v>
      </c>
      <c r="L1448" s="3" t="str">
        <f t="shared" si="90"/>
        <v>Tuesday</v>
      </c>
      <c r="M1448" s="4" t="str">
        <f t="shared" si="91"/>
        <v>Normal Day</v>
      </c>
      <c r="N1448" s="4" t="str">
        <f>TEXT(CleanedData[[#This Row],[DAY]], "mmm yyyy")</f>
        <v>Nov 2024</v>
      </c>
    </row>
    <row r="1449" spans="1:14" x14ac:dyDescent="0.3">
      <c r="A1449" s="5">
        <v>45622</v>
      </c>
      <c r="B1449" s="12">
        <v>5527.5</v>
      </c>
      <c r="C1449" s="12">
        <v>63</v>
      </c>
      <c r="D1449" s="2" t="s">
        <v>9</v>
      </c>
      <c r="E1449" s="2" t="s">
        <v>8</v>
      </c>
      <c r="F1449" s="1">
        <v>2688</v>
      </c>
      <c r="G1449" s="13">
        <v>4573.6735709166578</v>
      </c>
      <c r="H1449" s="14" t="b">
        <v>0</v>
      </c>
      <c r="I1449" s="15">
        <f t="shared" si="88"/>
        <v>5528</v>
      </c>
      <c r="J1449" s="15">
        <f t="shared" si="88"/>
        <v>63</v>
      </c>
      <c r="K1449" s="15">
        <f t="shared" si="89"/>
        <v>4574</v>
      </c>
      <c r="L1449" s="3" t="str">
        <f t="shared" si="90"/>
        <v>Tuesday</v>
      </c>
      <c r="M1449" s="4" t="str">
        <f t="shared" si="91"/>
        <v>Normal Day</v>
      </c>
      <c r="N1449" s="4" t="str">
        <f>TEXT(CleanedData[[#This Row],[DAY]], "mmm yyyy")</f>
        <v>Nov 2024</v>
      </c>
    </row>
    <row r="1450" spans="1:14" x14ac:dyDescent="0.3">
      <c r="A1450" s="5">
        <v>45622</v>
      </c>
      <c r="B1450" s="12">
        <v>6196.5</v>
      </c>
      <c r="C1450" s="12">
        <v>397.5</v>
      </c>
      <c r="D1450" s="2" t="s">
        <v>10</v>
      </c>
      <c r="E1450" s="2" t="s">
        <v>7</v>
      </c>
      <c r="F1450" s="1">
        <v>863</v>
      </c>
      <c r="G1450" s="13">
        <v>6015.7491210297458</v>
      </c>
      <c r="H1450" s="14" t="b">
        <v>0</v>
      </c>
      <c r="I1450" s="15">
        <f t="shared" si="88"/>
        <v>6197</v>
      </c>
      <c r="J1450" s="15">
        <f t="shared" si="88"/>
        <v>398</v>
      </c>
      <c r="K1450" s="15">
        <f t="shared" si="89"/>
        <v>6016</v>
      </c>
      <c r="L1450" s="3" t="str">
        <f t="shared" si="90"/>
        <v>Tuesday</v>
      </c>
      <c r="M1450" s="4" t="str">
        <f t="shared" si="91"/>
        <v>Normal Day</v>
      </c>
      <c r="N1450" s="4" t="str">
        <f>TEXT(CleanedData[[#This Row],[DAY]], "mmm yyyy")</f>
        <v>Nov 2024</v>
      </c>
    </row>
    <row r="1451" spans="1:14" x14ac:dyDescent="0.3">
      <c r="A1451" s="5">
        <v>45623</v>
      </c>
      <c r="B1451" s="12">
        <v>1347</v>
      </c>
      <c r="C1451" s="12">
        <v>88.5</v>
      </c>
      <c r="D1451" s="2" t="s">
        <v>6</v>
      </c>
      <c r="E1451" s="2" t="s">
        <v>7</v>
      </c>
      <c r="F1451" s="1">
        <v>113</v>
      </c>
      <c r="G1451" s="13">
        <v>1257.9452785489682</v>
      </c>
      <c r="H1451" s="14" t="b">
        <v>0</v>
      </c>
      <c r="I1451" s="15">
        <f t="shared" si="88"/>
        <v>1347</v>
      </c>
      <c r="J1451" s="15">
        <f t="shared" si="88"/>
        <v>89</v>
      </c>
      <c r="K1451" s="15">
        <f t="shared" si="89"/>
        <v>1258</v>
      </c>
      <c r="L1451" s="3" t="str">
        <f t="shared" si="90"/>
        <v>Wednesday</v>
      </c>
      <c r="M1451" s="4" t="str">
        <f t="shared" si="91"/>
        <v>Normal Day</v>
      </c>
      <c r="N1451" s="4" t="str">
        <f>TEXT(CleanedData[[#This Row],[DAY]], "mmm yyyy")</f>
        <v>Nov 2024</v>
      </c>
    </row>
    <row r="1452" spans="1:14" x14ac:dyDescent="0.3">
      <c r="A1452" s="5">
        <v>45623</v>
      </c>
      <c r="B1452" s="12">
        <v>1470</v>
      </c>
      <c r="C1452" s="12">
        <v>88.5</v>
      </c>
      <c r="D1452" s="2" t="s">
        <v>6</v>
      </c>
      <c r="E1452" s="2" t="s">
        <v>8</v>
      </c>
      <c r="F1452" s="1">
        <v>776</v>
      </c>
      <c r="G1452" s="13">
        <v>1294.9524770787057</v>
      </c>
      <c r="H1452" s="14" t="b">
        <v>0</v>
      </c>
      <c r="I1452" s="15">
        <f t="shared" si="88"/>
        <v>1470</v>
      </c>
      <c r="J1452" s="15">
        <f t="shared" si="88"/>
        <v>89</v>
      </c>
      <c r="K1452" s="15">
        <f t="shared" si="89"/>
        <v>1295</v>
      </c>
      <c r="L1452" s="3" t="str">
        <f t="shared" si="90"/>
        <v>Wednesday</v>
      </c>
      <c r="M1452" s="4" t="str">
        <f t="shared" si="91"/>
        <v>Normal Day</v>
      </c>
      <c r="N1452" s="4" t="str">
        <f>TEXT(CleanedData[[#This Row],[DAY]], "mmm yyyy")</f>
        <v>Nov 2024</v>
      </c>
    </row>
    <row r="1453" spans="1:14" x14ac:dyDescent="0.3">
      <c r="A1453" s="5">
        <v>45623</v>
      </c>
      <c r="B1453" s="12">
        <v>4270.5</v>
      </c>
      <c r="C1453" s="12">
        <v>46.5</v>
      </c>
      <c r="D1453" s="2" t="s">
        <v>9</v>
      </c>
      <c r="E1453" s="2" t="s">
        <v>8</v>
      </c>
      <c r="F1453" s="1">
        <v>2305</v>
      </c>
      <c r="G1453" s="13">
        <v>3794.8945043899421</v>
      </c>
      <c r="H1453" s="14" t="b">
        <v>0</v>
      </c>
      <c r="I1453" s="15">
        <f t="shared" si="88"/>
        <v>4271</v>
      </c>
      <c r="J1453" s="15">
        <f t="shared" si="88"/>
        <v>47</v>
      </c>
      <c r="K1453" s="15">
        <f t="shared" si="89"/>
        <v>3795</v>
      </c>
      <c r="L1453" s="3" t="str">
        <f t="shared" si="90"/>
        <v>Wednesday</v>
      </c>
      <c r="M1453" s="4" t="str">
        <f t="shared" si="91"/>
        <v>Normal Day</v>
      </c>
      <c r="N1453" s="4" t="str">
        <f>TEXT(CleanedData[[#This Row],[DAY]], "mmm yyyy")</f>
        <v>Nov 2024</v>
      </c>
    </row>
    <row r="1454" spans="1:14" x14ac:dyDescent="0.3">
      <c r="A1454" s="5">
        <v>45623</v>
      </c>
      <c r="B1454" s="12">
        <v>6561</v>
      </c>
      <c r="C1454" s="12">
        <v>202.5</v>
      </c>
      <c r="D1454" s="2" t="s">
        <v>10</v>
      </c>
      <c r="E1454" s="2" t="s">
        <v>7</v>
      </c>
      <c r="F1454" s="1">
        <v>4004</v>
      </c>
      <c r="G1454" s="13">
        <v>5905.1575787100428</v>
      </c>
      <c r="H1454" s="14" t="b">
        <v>0</v>
      </c>
      <c r="I1454" s="15">
        <f t="shared" si="88"/>
        <v>6561</v>
      </c>
      <c r="J1454" s="15">
        <f t="shared" si="88"/>
        <v>203</v>
      </c>
      <c r="K1454" s="15">
        <f t="shared" si="89"/>
        <v>5905</v>
      </c>
      <c r="L1454" s="3" t="str">
        <f t="shared" si="90"/>
        <v>Wednesday</v>
      </c>
      <c r="M1454" s="4" t="str">
        <f t="shared" si="91"/>
        <v>Normal Day</v>
      </c>
      <c r="N1454" s="4" t="str">
        <f>TEXT(CleanedData[[#This Row],[DAY]], "mmm yyyy")</f>
        <v>Nov 2024</v>
      </c>
    </row>
    <row r="1455" spans="1:14" x14ac:dyDescent="0.3">
      <c r="A1455" s="5">
        <v>45624</v>
      </c>
      <c r="B1455" s="12">
        <v>1290</v>
      </c>
      <c r="C1455" s="12">
        <v>37.5</v>
      </c>
      <c r="D1455" s="2" t="s">
        <v>6</v>
      </c>
      <c r="E1455" s="2" t="s">
        <v>8</v>
      </c>
      <c r="F1455" s="1">
        <v>706</v>
      </c>
      <c r="G1455" s="13">
        <v>1065.2386010922116</v>
      </c>
      <c r="H1455" s="14" t="b">
        <v>0</v>
      </c>
      <c r="I1455" s="15">
        <f t="shared" si="88"/>
        <v>1290</v>
      </c>
      <c r="J1455" s="15">
        <f t="shared" si="88"/>
        <v>38</v>
      </c>
      <c r="K1455" s="15">
        <f t="shared" si="89"/>
        <v>1065</v>
      </c>
      <c r="L1455" s="3" t="str">
        <f t="shared" si="90"/>
        <v>Thursday</v>
      </c>
      <c r="M1455" s="4" t="str">
        <f t="shared" si="91"/>
        <v>Normal Day</v>
      </c>
      <c r="N1455" s="4" t="str">
        <f>TEXT(CleanedData[[#This Row],[DAY]], "mmm yyyy")</f>
        <v>Nov 2024</v>
      </c>
    </row>
    <row r="1456" spans="1:14" x14ac:dyDescent="0.3">
      <c r="A1456" s="5">
        <v>45624</v>
      </c>
      <c r="B1456" s="12">
        <v>1641</v>
      </c>
      <c r="C1456" s="12">
        <v>37.5</v>
      </c>
      <c r="D1456" s="2" t="s">
        <v>6</v>
      </c>
      <c r="E1456" s="2" t="s">
        <v>7</v>
      </c>
      <c r="F1456" s="1">
        <v>450</v>
      </c>
      <c r="G1456" s="13">
        <v>1462.4775255155621</v>
      </c>
      <c r="H1456" s="14" t="b">
        <v>1</v>
      </c>
      <c r="I1456" s="15">
        <f t="shared" si="88"/>
        <v>1641</v>
      </c>
      <c r="J1456" s="15">
        <f t="shared" si="88"/>
        <v>38</v>
      </c>
      <c r="K1456" s="15">
        <f t="shared" si="89"/>
        <v>1462</v>
      </c>
      <c r="L1456" s="3" t="str">
        <f t="shared" si="90"/>
        <v>Thursday</v>
      </c>
      <c r="M1456" s="4" t="str">
        <f t="shared" si="91"/>
        <v>Outage Day</v>
      </c>
      <c r="N1456" s="4" t="str">
        <f>TEXT(CleanedData[[#This Row],[DAY]], "mmm yyyy")</f>
        <v>Nov 2024</v>
      </c>
    </row>
    <row r="1457" spans="1:14" x14ac:dyDescent="0.3">
      <c r="A1457" s="5">
        <v>45624</v>
      </c>
      <c r="B1457" s="12">
        <v>4597.5</v>
      </c>
      <c r="C1457" s="12">
        <v>192</v>
      </c>
      <c r="D1457" s="2" t="s">
        <v>9</v>
      </c>
      <c r="E1457" s="2" t="s">
        <v>8</v>
      </c>
      <c r="F1457" s="1">
        <v>1428</v>
      </c>
      <c r="G1457" s="13">
        <v>3901.1127073868247</v>
      </c>
      <c r="H1457" s="14" t="b">
        <v>0</v>
      </c>
      <c r="I1457" s="15">
        <f t="shared" si="88"/>
        <v>4598</v>
      </c>
      <c r="J1457" s="15">
        <f t="shared" si="88"/>
        <v>192</v>
      </c>
      <c r="K1457" s="15">
        <f t="shared" si="89"/>
        <v>3901</v>
      </c>
      <c r="L1457" s="3" t="str">
        <f t="shared" si="90"/>
        <v>Thursday</v>
      </c>
      <c r="M1457" s="4" t="str">
        <f t="shared" si="91"/>
        <v>Normal Day</v>
      </c>
      <c r="N1457" s="4" t="str">
        <f>TEXT(CleanedData[[#This Row],[DAY]], "mmm yyyy")</f>
        <v>Nov 2024</v>
      </c>
    </row>
    <row r="1458" spans="1:14" x14ac:dyDescent="0.3">
      <c r="A1458" s="5">
        <v>45624</v>
      </c>
      <c r="B1458" s="12">
        <v>5674.5</v>
      </c>
      <c r="C1458" s="12">
        <v>358.5</v>
      </c>
      <c r="D1458" s="2" t="s">
        <v>10</v>
      </c>
      <c r="E1458" s="2" t="s">
        <v>7</v>
      </c>
      <c r="F1458" s="1">
        <v>2791</v>
      </c>
      <c r="G1458" s="13">
        <v>5363.2821581742364</v>
      </c>
      <c r="H1458" s="14" t="b">
        <v>0</v>
      </c>
      <c r="I1458" s="15">
        <f t="shared" si="88"/>
        <v>5675</v>
      </c>
      <c r="J1458" s="15">
        <f t="shared" si="88"/>
        <v>359</v>
      </c>
      <c r="K1458" s="15">
        <f t="shared" si="89"/>
        <v>5363</v>
      </c>
      <c r="L1458" s="3" t="str">
        <f t="shared" si="90"/>
        <v>Thursday</v>
      </c>
      <c r="M1458" s="4" t="str">
        <f t="shared" si="91"/>
        <v>Normal Day</v>
      </c>
      <c r="N1458" s="4" t="str">
        <f>TEXT(CleanedData[[#This Row],[DAY]], "mmm yyyy")</f>
        <v>Nov 2024</v>
      </c>
    </row>
    <row r="1459" spans="1:14" x14ac:dyDescent="0.3">
      <c r="A1459" s="5">
        <v>45625</v>
      </c>
      <c r="B1459" s="12">
        <v>502.5</v>
      </c>
      <c r="C1459" s="12">
        <v>4.5</v>
      </c>
      <c r="D1459" s="2" t="s">
        <v>6</v>
      </c>
      <c r="E1459" s="2" t="s">
        <v>8</v>
      </c>
      <c r="F1459" s="1">
        <v>246</v>
      </c>
      <c r="G1459" s="13">
        <v>408.38873949321697</v>
      </c>
      <c r="H1459" s="14" t="b">
        <v>0</v>
      </c>
      <c r="I1459" s="15">
        <f t="shared" si="88"/>
        <v>503</v>
      </c>
      <c r="J1459" s="15">
        <f t="shared" si="88"/>
        <v>5</v>
      </c>
      <c r="K1459" s="15">
        <f t="shared" si="89"/>
        <v>408</v>
      </c>
      <c r="L1459" s="3" t="str">
        <f t="shared" si="90"/>
        <v>Friday</v>
      </c>
      <c r="M1459" s="4" t="str">
        <f t="shared" si="91"/>
        <v>Normal Day</v>
      </c>
      <c r="N1459" s="4" t="str">
        <f>TEXT(CleanedData[[#This Row],[DAY]], "mmm yyyy")</f>
        <v>Nov 2024</v>
      </c>
    </row>
    <row r="1460" spans="1:14" x14ac:dyDescent="0.3">
      <c r="A1460" s="5">
        <v>45625</v>
      </c>
      <c r="B1460" s="12">
        <v>598.5</v>
      </c>
      <c r="C1460" s="12">
        <v>4.5</v>
      </c>
      <c r="D1460" s="2" t="s">
        <v>6</v>
      </c>
      <c r="E1460" s="2" t="s">
        <v>7</v>
      </c>
      <c r="F1460" s="1">
        <v>382</v>
      </c>
      <c r="G1460" s="13">
        <v>552.8493697766346</v>
      </c>
      <c r="H1460" s="14" t="b">
        <v>0</v>
      </c>
      <c r="I1460" s="15">
        <f t="shared" si="88"/>
        <v>599</v>
      </c>
      <c r="J1460" s="15">
        <f t="shared" si="88"/>
        <v>5</v>
      </c>
      <c r="K1460" s="15">
        <f t="shared" si="89"/>
        <v>553</v>
      </c>
      <c r="L1460" s="3" t="str">
        <f t="shared" si="90"/>
        <v>Friday</v>
      </c>
      <c r="M1460" s="4" t="str">
        <f t="shared" si="91"/>
        <v>Normal Day</v>
      </c>
      <c r="N1460" s="4" t="str">
        <f>TEXT(CleanedData[[#This Row],[DAY]], "mmm yyyy")</f>
        <v>Nov 2024</v>
      </c>
    </row>
    <row r="1461" spans="1:14" x14ac:dyDescent="0.3">
      <c r="A1461" s="5">
        <v>45625</v>
      </c>
      <c r="B1461" s="12">
        <v>3537</v>
      </c>
      <c r="C1461" s="12">
        <v>175.5</v>
      </c>
      <c r="D1461" s="2" t="s">
        <v>9</v>
      </c>
      <c r="E1461" s="2" t="s">
        <v>8</v>
      </c>
      <c r="F1461" s="1">
        <v>1754</v>
      </c>
      <c r="G1461" s="13">
        <v>3067.1109038473819</v>
      </c>
      <c r="H1461" s="14" t="b">
        <v>0</v>
      </c>
      <c r="I1461" s="15">
        <f t="shared" si="88"/>
        <v>3537</v>
      </c>
      <c r="J1461" s="15">
        <f t="shared" si="88"/>
        <v>176</v>
      </c>
      <c r="K1461" s="15">
        <f t="shared" si="89"/>
        <v>3067</v>
      </c>
      <c r="L1461" s="3" t="str">
        <f t="shared" si="90"/>
        <v>Friday</v>
      </c>
      <c r="M1461" s="4" t="str">
        <f t="shared" si="91"/>
        <v>Normal Day</v>
      </c>
      <c r="N1461" s="4" t="str">
        <f>TEXT(CleanedData[[#This Row],[DAY]], "mmm yyyy")</f>
        <v>Nov 2024</v>
      </c>
    </row>
    <row r="1462" spans="1:14" x14ac:dyDescent="0.3">
      <c r="A1462" s="5">
        <v>45625</v>
      </c>
      <c r="B1462" s="12">
        <v>4519.5</v>
      </c>
      <c r="C1462" s="12">
        <v>178.5</v>
      </c>
      <c r="D1462" s="2" t="s">
        <v>10</v>
      </c>
      <c r="E1462" s="2" t="s">
        <v>7</v>
      </c>
      <c r="F1462" s="1">
        <v>1129</v>
      </c>
      <c r="G1462" s="13">
        <v>4168.3052206037273</v>
      </c>
      <c r="H1462" s="14" t="b">
        <v>0</v>
      </c>
      <c r="I1462" s="15">
        <f t="shared" si="88"/>
        <v>4520</v>
      </c>
      <c r="J1462" s="15">
        <f t="shared" si="88"/>
        <v>179</v>
      </c>
      <c r="K1462" s="15">
        <f t="shared" si="89"/>
        <v>4168</v>
      </c>
      <c r="L1462" s="3" t="str">
        <f t="shared" si="90"/>
        <v>Friday</v>
      </c>
      <c r="M1462" s="4" t="str">
        <f t="shared" si="91"/>
        <v>Normal Day</v>
      </c>
      <c r="N1462" s="4" t="str">
        <f>TEXT(CleanedData[[#This Row],[DAY]], "mmm yyyy")</f>
        <v>Nov 2024</v>
      </c>
    </row>
    <row r="1463" spans="1:14" x14ac:dyDescent="0.3">
      <c r="A1463" s="5">
        <v>45626</v>
      </c>
      <c r="B1463" s="12">
        <v>721.5</v>
      </c>
      <c r="C1463" s="12">
        <v>64.5</v>
      </c>
      <c r="D1463" s="2" t="s">
        <v>6</v>
      </c>
      <c r="E1463" s="2" t="s">
        <v>8</v>
      </c>
      <c r="F1463" s="1">
        <v>391</v>
      </c>
      <c r="G1463" s="13">
        <v>666.728545228489</v>
      </c>
      <c r="H1463" s="14" t="b">
        <v>0</v>
      </c>
      <c r="I1463" s="15">
        <f t="shared" si="88"/>
        <v>722</v>
      </c>
      <c r="J1463" s="15">
        <f t="shared" si="88"/>
        <v>65</v>
      </c>
      <c r="K1463" s="15">
        <f t="shared" si="89"/>
        <v>667</v>
      </c>
      <c r="L1463" s="3" t="str">
        <f t="shared" si="90"/>
        <v>Saturday</v>
      </c>
      <c r="M1463" s="4" t="str">
        <f t="shared" si="91"/>
        <v>Normal Day</v>
      </c>
      <c r="N1463" s="4" t="str">
        <f>TEXT(CleanedData[[#This Row],[DAY]], "mmm yyyy")</f>
        <v>Nov 2024</v>
      </c>
    </row>
    <row r="1464" spans="1:14" x14ac:dyDescent="0.3">
      <c r="A1464" s="5">
        <v>45626</v>
      </c>
      <c r="B1464" s="12">
        <v>1158</v>
      </c>
      <c r="C1464" s="12">
        <v>64.5</v>
      </c>
      <c r="D1464" s="2" t="s">
        <v>6</v>
      </c>
      <c r="E1464" s="2" t="s">
        <v>7</v>
      </c>
      <c r="F1464" s="1">
        <v>181</v>
      </c>
      <c r="G1464" s="13">
        <v>1146.8569498729669</v>
      </c>
      <c r="H1464" s="14" t="b">
        <v>0</v>
      </c>
      <c r="I1464" s="15">
        <f t="shared" si="88"/>
        <v>1158</v>
      </c>
      <c r="J1464" s="15">
        <f t="shared" si="88"/>
        <v>65</v>
      </c>
      <c r="K1464" s="15">
        <f t="shared" si="89"/>
        <v>1147</v>
      </c>
      <c r="L1464" s="3" t="str">
        <f t="shared" si="90"/>
        <v>Saturday</v>
      </c>
      <c r="M1464" s="4" t="str">
        <f t="shared" si="91"/>
        <v>Normal Day</v>
      </c>
      <c r="N1464" s="4" t="str">
        <f>TEXT(CleanedData[[#This Row],[DAY]], "mmm yyyy")</f>
        <v>Nov 2024</v>
      </c>
    </row>
    <row r="1465" spans="1:14" x14ac:dyDescent="0.3">
      <c r="A1465" s="5">
        <v>45626</v>
      </c>
      <c r="B1465" s="12">
        <v>4581</v>
      </c>
      <c r="C1465" s="12">
        <v>156</v>
      </c>
      <c r="D1465" s="2" t="s">
        <v>9</v>
      </c>
      <c r="E1465" s="2" t="s">
        <v>8</v>
      </c>
      <c r="F1465" s="1">
        <v>2922</v>
      </c>
      <c r="G1465" s="13">
        <v>4168.8583137508231</v>
      </c>
      <c r="H1465" s="14" t="b">
        <v>0</v>
      </c>
      <c r="I1465" s="15">
        <f t="shared" si="88"/>
        <v>4581</v>
      </c>
      <c r="J1465" s="15">
        <f t="shared" si="88"/>
        <v>156</v>
      </c>
      <c r="K1465" s="15">
        <f t="shared" si="89"/>
        <v>4169</v>
      </c>
      <c r="L1465" s="3" t="str">
        <f t="shared" si="90"/>
        <v>Saturday</v>
      </c>
      <c r="M1465" s="4" t="str">
        <f t="shared" si="91"/>
        <v>Normal Day</v>
      </c>
      <c r="N1465" s="4" t="str">
        <f>TEXT(CleanedData[[#This Row],[DAY]], "mmm yyyy")</f>
        <v>Nov 2024</v>
      </c>
    </row>
    <row r="1466" spans="1:14" x14ac:dyDescent="0.3">
      <c r="A1466" s="5">
        <v>45626</v>
      </c>
      <c r="B1466" s="12">
        <v>5601</v>
      </c>
      <c r="C1466" s="12">
        <v>292.5</v>
      </c>
      <c r="D1466" s="2" t="s">
        <v>10</v>
      </c>
      <c r="E1466" s="2" t="s">
        <v>7</v>
      </c>
      <c r="F1466" s="1">
        <v>742</v>
      </c>
      <c r="G1466" s="13">
        <v>5155.9571703954462</v>
      </c>
      <c r="H1466" s="14" t="b">
        <v>0</v>
      </c>
      <c r="I1466" s="15">
        <f t="shared" si="88"/>
        <v>5601</v>
      </c>
      <c r="J1466" s="15">
        <f t="shared" si="88"/>
        <v>293</v>
      </c>
      <c r="K1466" s="15">
        <f t="shared" si="89"/>
        <v>5156</v>
      </c>
      <c r="L1466" s="3" t="str">
        <f t="shared" si="90"/>
        <v>Saturday</v>
      </c>
      <c r="M1466" s="4" t="str">
        <f t="shared" si="91"/>
        <v>Normal Day</v>
      </c>
      <c r="N1466" s="4" t="str">
        <f>TEXT(CleanedData[[#This Row],[DAY]], "mmm yyyy")</f>
        <v>Nov 2024</v>
      </c>
    </row>
    <row r="1467" spans="1:14" x14ac:dyDescent="0.3">
      <c r="A1467" s="5">
        <v>45627</v>
      </c>
      <c r="B1467" s="12">
        <v>1.5</v>
      </c>
      <c r="C1467" s="12">
        <v>0</v>
      </c>
      <c r="D1467" s="2" t="s">
        <v>10</v>
      </c>
      <c r="E1467" s="2" t="s">
        <v>8</v>
      </c>
      <c r="F1467" s="1">
        <v>1</v>
      </c>
      <c r="G1467" s="13">
        <v>1.227485897187627</v>
      </c>
      <c r="H1467" s="14" t="b">
        <v>0</v>
      </c>
      <c r="I1467" s="15">
        <f t="shared" si="88"/>
        <v>2</v>
      </c>
      <c r="J1467" s="15">
        <f t="shared" si="88"/>
        <v>0</v>
      </c>
      <c r="K1467" s="15">
        <f t="shared" si="89"/>
        <v>1</v>
      </c>
      <c r="L1467" s="3" t="str">
        <f t="shared" si="90"/>
        <v>Sunday</v>
      </c>
      <c r="M1467" s="4" t="str">
        <f t="shared" si="91"/>
        <v>Normal Day</v>
      </c>
      <c r="N1467" s="4" t="str">
        <f>TEXT(CleanedData[[#This Row],[DAY]], "mmm yyyy")</f>
        <v>Dec 2024</v>
      </c>
    </row>
    <row r="1468" spans="1:14" x14ac:dyDescent="0.3">
      <c r="A1468" s="5">
        <v>45627</v>
      </c>
      <c r="B1468" s="12">
        <v>1830</v>
      </c>
      <c r="C1468" s="12">
        <v>118.5</v>
      </c>
      <c r="D1468" s="2" t="s">
        <v>6</v>
      </c>
      <c r="E1468" s="2" t="s">
        <v>8</v>
      </c>
      <c r="F1468" s="1">
        <v>922</v>
      </c>
      <c r="G1468" s="13">
        <v>1560.4005496674399</v>
      </c>
      <c r="H1468" s="14" t="b">
        <v>1</v>
      </c>
      <c r="I1468" s="15">
        <f t="shared" si="88"/>
        <v>1830</v>
      </c>
      <c r="J1468" s="15">
        <f t="shared" si="88"/>
        <v>119</v>
      </c>
      <c r="K1468" s="15">
        <f t="shared" si="89"/>
        <v>1560</v>
      </c>
      <c r="L1468" s="3" t="str">
        <f t="shared" si="90"/>
        <v>Sunday</v>
      </c>
      <c r="M1468" s="4" t="str">
        <f t="shared" si="91"/>
        <v>Outage Day</v>
      </c>
      <c r="N1468" s="4" t="str">
        <f>TEXT(CleanedData[[#This Row],[DAY]], "mmm yyyy")</f>
        <v>Dec 2024</v>
      </c>
    </row>
    <row r="1469" spans="1:14" x14ac:dyDescent="0.3">
      <c r="A1469" s="5">
        <v>45627</v>
      </c>
      <c r="B1469" s="12">
        <v>2353.5</v>
      </c>
      <c r="C1469" s="12">
        <v>118.5</v>
      </c>
      <c r="D1469" s="2" t="s">
        <v>6</v>
      </c>
      <c r="E1469" s="2" t="s">
        <v>7</v>
      </c>
      <c r="F1469" s="1">
        <v>262</v>
      </c>
      <c r="G1469" s="13">
        <v>2200.3771733791486</v>
      </c>
      <c r="H1469" s="14" t="b">
        <v>0</v>
      </c>
      <c r="I1469" s="15">
        <f t="shared" si="88"/>
        <v>2354</v>
      </c>
      <c r="J1469" s="15">
        <f t="shared" si="88"/>
        <v>119</v>
      </c>
      <c r="K1469" s="15">
        <f t="shared" si="89"/>
        <v>2200</v>
      </c>
      <c r="L1469" s="3" t="str">
        <f t="shared" si="90"/>
        <v>Sunday</v>
      </c>
      <c r="M1469" s="4" t="str">
        <f t="shared" si="91"/>
        <v>Normal Day</v>
      </c>
      <c r="N1469" s="4" t="str">
        <f>TEXT(CleanedData[[#This Row],[DAY]], "mmm yyyy")</f>
        <v>Dec 2024</v>
      </c>
    </row>
    <row r="1470" spans="1:14" x14ac:dyDescent="0.3">
      <c r="A1470" s="5">
        <v>45627</v>
      </c>
      <c r="B1470" s="12">
        <v>4765.5</v>
      </c>
      <c r="C1470" s="12">
        <v>186</v>
      </c>
      <c r="D1470" s="2" t="s">
        <v>9</v>
      </c>
      <c r="E1470" s="2" t="s">
        <v>8</v>
      </c>
      <c r="F1470" s="1">
        <v>2459</v>
      </c>
      <c r="G1470" s="13">
        <v>4289.0101437476642</v>
      </c>
      <c r="H1470" s="14" t="b">
        <v>0</v>
      </c>
      <c r="I1470" s="15">
        <f t="shared" si="88"/>
        <v>4766</v>
      </c>
      <c r="J1470" s="15">
        <f t="shared" si="88"/>
        <v>186</v>
      </c>
      <c r="K1470" s="15">
        <f t="shared" si="89"/>
        <v>4289</v>
      </c>
      <c r="L1470" s="3" t="str">
        <f t="shared" si="90"/>
        <v>Sunday</v>
      </c>
      <c r="M1470" s="4" t="str">
        <f t="shared" si="91"/>
        <v>Normal Day</v>
      </c>
      <c r="N1470" s="4" t="str">
        <f>TEXT(CleanedData[[#This Row],[DAY]], "mmm yyyy")</f>
        <v>Dec 2024</v>
      </c>
    </row>
    <row r="1471" spans="1:14" x14ac:dyDescent="0.3">
      <c r="A1471" s="5">
        <v>45627</v>
      </c>
      <c r="B1471" s="12">
        <v>6453</v>
      </c>
      <c r="C1471" s="12">
        <v>303</v>
      </c>
      <c r="D1471" s="2" t="s">
        <v>10</v>
      </c>
      <c r="E1471" s="2" t="s">
        <v>7</v>
      </c>
      <c r="F1471" s="1">
        <v>2655</v>
      </c>
      <c r="G1471" s="13">
        <v>6307.8263370850436</v>
      </c>
      <c r="H1471" s="14" t="b">
        <v>0</v>
      </c>
      <c r="I1471" s="15">
        <f t="shared" si="88"/>
        <v>6453</v>
      </c>
      <c r="J1471" s="15">
        <f t="shared" si="88"/>
        <v>303</v>
      </c>
      <c r="K1471" s="15">
        <f t="shared" si="89"/>
        <v>6308</v>
      </c>
      <c r="L1471" s="3" t="str">
        <f t="shared" si="90"/>
        <v>Sunday</v>
      </c>
      <c r="M1471" s="4" t="str">
        <f t="shared" si="91"/>
        <v>Normal Day</v>
      </c>
      <c r="N1471" s="4" t="str">
        <f>TEXT(CleanedData[[#This Row],[DAY]], "mmm yyyy")</f>
        <v>Dec 2024</v>
      </c>
    </row>
    <row r="1472" spans="1:14" x14ac:dyDescent="0.3">
      <c r="A1472" s="5">
        <v>45628</v>
      </c>
      <c r="B1472" s="12">
        <v>1.5</v>
      </c>
      <c r="C1472" s="12">
        <v>0</v>
      </c>
      <c r="D1472" s="2" t="s">
        <v>10</v>
      </c>
      <c r="E1472" s="2" t="s">
        <v>8</v>
      </c>
      <c r="F1472" s="1">
        <v>1</v>
      </c>
      <c r="G1472" s="13">
        <v>1.2996968068846846</v>
      </c>
      <c r="H1472" s="14" t="b">
        <v>0</v>
      </c>
      <c r="I1472" s="15">
        <f t="shared" si="88"/>
        <v>2</v>
      </c>
      <c r="J1472" s="15">
        <f t="shared" si="88"/>
        <v>0</v>
      </c>
      <c r="K1472" s="15">
        <f t="shared" si="89"/>
        <v>1</v>
      </c>
      <c r="L1472" s="3" t="str">
        <f t="shared" si="90"/>
        <v>Monday</v>
      </c>
      <c r="M1472" s="4" t="str">
        <f t="shared" si="91"/>
        <v>Normal Day</v>
      </c>
      <c r="N1472" s="4" t="str">
        <f>TEXT(CleanedData[[#This Row],[DAY]], "mmm yyyy")</f>
        <v>Dec 2024</v>
      </c>
    </row>
    <row r="1473" spans="1:14" x14ac:dyDescent="0.3">
      <c r="A1473" s="5">
        <v>45628</v>
      </c>
      <c r="B1473" s="12">
        <v>1002</v>
      </c>
      <c r="C1473" s="12">
        <v>51</v>
      </c>
      <c r="D1473" s="2" t="s">
        <v>6</v>
      </c>
      <c r="E1473" s="2" t="s">
        <v>7</v>
      </c>
      <c r="F1473" s="1">
        <v>249</v>
      </c>
      <c r="G1473" s="13">
        <v>982.8569078711763</v>
      </c>
      <c r="H1473" s="14" t="b">
        <v>0</v>
      </c>
      <c r="I1473" s="15">
        <f t="shared" si="88"/>
        <v>1002</v>
      </c>
      <c r="J1473" s="15">
        <f t="shared" si="88"/>
        <v>51</v>
      </c>
      <c r="K1473" s="15">
        <f t="shared" si="89"/>
        <v>983</v>
      </c>
      <c r="L1473" s="3" t="str">
        <f t="shared" si="90"/>
        <v>Monday</v>
      </c>
      <c r="M1473" s="4" t="str">
        <f t="shared" si="91"/>
        <v>Normal Day</v>
      </c>
      <c r="N1473" s="4" t="str">
        <f>TEXT(CleanedData[[#This Row],[DAY]], "mmm yyyy")</f>
        <v>Dec 2024</v>
      </c>
    </row>
    <row r="1474" spans="1:14" x14ac:dyDescent="0.3">
      <c r="A1474" s="5">
        <v>45628</v>
      </c>
      <c r="B1474" s="12">
        <v>1359</v>
      </c>
      <c r="C1474" s="12">
        <v>51</v>
      </c>
      <c r="D1474" s="2" t="s">
        <v>6</v>
      </c>
      <c r="E1474" s="2" t="s">
        <v>8</v>
      </c>
      <c r="F1474" s="1">
        <v>301</v>
      </c>
      <c r="G1474" s="13">
        <v>1228.0793598295309</v>
      </c>
      <c r="H1474" s="14" t="b">
        <v>0</v>
      </c>
      <c r="I1474" s="15">
        <f t="shared" ref="I1474:J1537" si="92">ROUND(B1474, 0)</f>
        <v>1359</v>
      </c>
      <c r="J1474" s="15">
        <f t="shared" si="92"/>
        <v>51</v>
      </c>
      <c r="K1474" s="15">
        <f t="shared" ref="K1474:K1537" si="93">ROUND(G1474, 0)</f>
        <v>1228</v>
      </c>
      <c r="L1474" s="3" t="str">
        <f t="shared" si="90"/>
        <v>Monday</v>
      </c>
      <c r="M1474" s="4" t="str">
        <f t="shared" si="91"/>
        <v>Normal Day</v>
      </c>
      <c r="N1474" s="4" t="str">
        <f>TEXT(CleanedData[[#This Row],[DAY]], "mmm yyyy")</f>
        <v>Dec 2024</v>
      </c>
    </row>
    <row r="1475" spans="1:14" x14ac:dyDescent="0.3">
      <c r="A1475" s="5">
        <v>45628</v>
      </c>
      <c r="B1475" s="12">
        <v>6055.5</v>
      </c>
      <c r="C1475" s="12">
        <v>25.5</v>
      </c>
      <c r="D1475" s="2" t="s">
        <v>9</v>
      </c>
      <c r="E1475" s="2" t="s">
        <v>8</v>
      </c>
      <c r="F1475" s="1">
        <v>2678</v>
      </c>
      <c r="G1475" s="13">
        <v>5366.630319446318</v>
      </c>
      <c r="H1475" s="14" t="b">
        <v>0</v>
      </c>
      <c r="I1475" s="15">
        <f t="shared" si="92"/>
        <v>6056</v>
      </c>
      <c r="J1475" s="15">
        <f t="shared" si="92"/>
        <v>26</v>
      </c>
      <c r="K1475" s="15">
        <f t="shared" si="93"/>
        <v>5367</v>
      </c>
      <c r="L1475" s="3" t="str">
        <f t="shared" ref="L1475:L1538" si="94">TEXT(A1475,"dddd")</f>
        <v>Monday</v>
      </c>
      <c r="M1475" s="4" t="str">
        <f t="shared" ref="M1475:M1538" si="95">IF(H1475=TRUE, "Outage Day", "Normal Day")</f>
        <v>Normal Day</v>
      </c>
      <c r="N1475" s="4" t="str">
        <f>TEXT(CleanedData[[#This Row],[DAY]], "mmm yyyy")</f>
        <v>Dec 2024</v>
      </c>
    </row>
    <row r="1476" spans="1:14" x14ac:dyDescent="0.3">
      <c r="A1476" s="5">
        <v>45628</v>
      </c>
      <c r="B1476" s="12">
        <v>8082</v>
      </c>
      <c r="C1476" s="12">
        <v>127.5</v>
      </c>
      <c r="D1476" s="2" t="s">
        <v>10</v>
      </c>
      <c r="E1476" s="2" t="s">
        <v>7</v>
      </c>
      <c r="F1476" s="1">
        <v>3791</v>
      </c>
      <c r="G1476" s="13">
        <v>7503.8071153622532</v>
      </c>
      <c r="H1476" s="14" t="b">
        <v>0</v>
      </c>
      <c r="I1476" s="15">
        <f t="shared" si="92"/>
        <v>8082</v>
      </c>
      <c r="J1476" s="15">
        <f t="shared" si="92"/>
        <v>128</v>
      </c>
      <c r="K1476" s="15">
        <f t="shared" si="93"/>
        <v>7504</v>
      </c>
      <c r="L1476" s="3" t="str">
        <f t="shared" si="94"/>
        <v>Monday</v>
      </c>
      <c r="M1476" s="4" t="str">
        <f t="shared" si="95"/>
        <v>Normal Day</v>
      </c>
      <c r="N1476" s="4" t="str">
        <f>TEXT(CleanedData[[#This Row],[DAY]], "mmm yyyy")</f>
        <v>Dec 2024</v>
      </c>
    </row>
    <row r="1477" spans="1:14" x14ac:dyDescent="0.3">
      <c r="A1477" s="5">
        <v>45629</v>
      </c>
      <c r="B1477" s="12">
        <v>975</v>
      </c>
      <c r="C1477" s="12">
        <v>54</v>
      </c>
      <c r="D1477" s="2" t="s">
        <v>6</v>
      </c>
      <c r="E1477" s="2" t="s">
        <v>7</v>
      </c>
      <c r="F1477" s="1">
        <v>532</v>
      </c>
      <c r="G1477" s="13">
        <v>950.69552822696915</v>
      </c>
      <c r="H1477" s="14" t="b">
        <v>0</v>
      </c>
      <c r="I1477" s="15">
        <f t="shared" si="92"/>
        <v>975</v>
      </c>
      <c r="J1477" s="15">
        <f t="shared" si="92"/>
        <v>54</v>
      </c>
      <c r="K1477" s="15">
        <f t="shared" si="93"/>
        <v>951</v>
      </c>
      <c r="L1477" s="3" t="str">
        <f t="shared" si="94"/>
        <v>Tuesday</v>
      </c>
      <c r="M1477" s="4" t="str">
        <f t="shared" si="95"/>
        <v>Normal Day</v>
      </c>
      <c r="N1477" s="4" t="str">
        <f>TEXT(CleanedData[[#This Row],[DAY]], "mmm yyyy")</f>
        <v>Dec 2024</v>
      </c>
    </row>
    <row r="1478" spans="1:14" x14ac:dyDescent="0.3">
      <c r="A1478" s="5">
        <v>45629</v>
      </c>
      <c r="B1478" s="12">
        <v>1333.5</v>
      </c>
      <c r="C1478" s="12">
        <v>54</v>
      </c>
      <c r="D1478" s="2" t="s">
        <v>6</v>
      </c>
      <c r="E1478" s="2" t="s">
        <v>8</v>
      </c>
      <c r="F1478" s="1">
        <v>165</v>
      </c>
      <c r="G1478" s="13">
        <v>1110.8079152711896</v>
      </c>
      <c r="H1478" s="14" t="b">
        <v>1</v>
      </c>
      <c r="I1478" s="15">
        <f t="shared" si="92"/>
        <v>1334</v>
      </c>
      <c r="J1478" s="15">
        <f t="shared" si="92"/>
        <v>54</v>
      </c>
      <c r="K1478" s="15">
        <f t="shared" si="93"/>
        <v>1111</v>
      </c>
      <c r="L1478" s="3" t="str">
        <f t="shared" si="94"/>
        <v>Tuesday</v>
      </c>
      <c r="M1478" s="4" t="str">
        <f t="shared" si="95"/>
        <v>Outage Day</v>
      </c>
      <c r="N1478" s="4" t="str">
        <f>TEXT(CleanedData[[#This Row],[DAY]], "mmm yyyy")</f>
        <v>Dec 2024</v>
      </c>
    </row>
    <row r="1479" spans="1:14" x14ac:dyDescent="0.3">
      <c r="A1479" s="5">
        <v>45629</v>
      </c>
      <c r="B1479" s="12">
        <v>3915</v>
      </c>
      <c r="C1479" s="12">
        <v>136.5</v>
      </c>
      <c r="D1479" s="2" t="s">
        <v>9</v>
      </c>
      <c r="E1479" s="2" t="s">
        <v>8</v>
      </c>
      <c r="F1479" s="1">
        <v>2100</v>
      </c>
      <c r="G1479" s="13">
        <v>3422.8116605963637</v>
      </c>
      <c r="H1479" s="14" t="b">
        <v>0</v>
      </c>
      <c r="I1479" s="15">
        <f t="shared" si="92"/>
        <v>3915</v>
      </c>
      <c r="J1479" s="15">
        <f t="shared" si="92"/>
        <v>137</v>
      </c>
      <c r="K1479" s="15">
        <f t="shared" si="93"/>
        <v>3423</v>
      </c>
      <c r="L1479" s="3" t="str">
        <f t="shared" si="94"/>
        <v>Tuesday</v>
      </c>
      <c r="M1479" s="4" t="str">
        <f t="shared" si="95"/>
        <v>Normal Day</v>
      </c>
      <c r="N1479" s="4" t="str">
        <f>TEXT(CleanedData[[#This Row],[DAY]], "mmm yyyy")</f>
        <v>Dec 2024</v>
      </c>
    </row>
    <row r="1480" spans="1:14" x14ac:dyDescent="0.3">
      <c r="A1480" s="5">
        <v>45629</v>
      </c>
      <c r="B1480" s="12">
        <v>6927</v>
      </c>
      <c r="C1480" s="12">
        <v>409.5</v>
      </c>
      <c r="D1480" s="2" t="s">
        <v>10</v>
      </c>
      <c r="E1480" s="2" t="s">
        <v>7</v>
      </c>
      <c r="F1480" s="1">
        <v>3648</v>
      </c>
      <c r="G1480" s="13">
        <v>6627.5372426905669</v>
      </c>
      <c r="H1480" s="14" t="b">
        <v>0</v>
      </c>
      <c r="I1480" s="15">
        <f t="shared" si="92"/>
        <v>6927</v>
      </c>
      <c r="J1480" s="15">
        <f t="shared" si="92"/>
        <v>410</v>
      </c>
      <c r="K1480" s="15">
        <f t="shared" si="93"/>
        <v>6628</v>
      </c>
      <c r="L1480" s="3" t="str">
        <f t="shared" si="94"/>
        <v>Tuesday</v>
      </c>
      <c r="M1480" s="4" t="str">
        <f t="shared" si="95"/>
        <v>Normal Day</v>
      </c>
      <c r="N1480" s="4" t="str">
        <f>TEXT(CleanedData[[#This Row],[DAY]], "mmm yyyy")</f>
        <v>Dec 2024</v>
      </c>
    </row>
    <row r="1481" spans="1:14" x14ac:dyDescent="0.3">
      <c r="A1481" s="5">
        <v>45630</v>
      </c>
      <c r="B1481" s="12">
        <v>1383</v>
      </c>
      <c r="C1481" s="12">
        <v>36</v>
      </c>
      <c r="D1481" s="2" t="s">
        <v>6</v>
      </c>
      <c r="E1481" s="2" t="s">
        <v>7</v>
      </c>
      <c r="F1481" s="1">
        <v>181</v>
      </c>
      <c r="G1481" s="13">
        <v>1256.0697602882601</v>
      </c>
      <c r="H1481" s="14" t="b">
        <v>0</v>
      </c>
      <c r="I1481" s="15">
        <f t="shared" si="92"/>
        <v>1383</v>
      </c>
      <c r="J1481" s="15">
        <f t="shared" si="92"/>
        <v>36</v>
      </c>
      <c r="K1481" s="15">
        <f t="shared" si="93"/>
        <v>1256</v>
      </c>
      <c r="L1481" s="3" t="str">
        <f t="shared" si="94"/>
        <v>Wednesday</v>
      </c>
      <c r="M1481" s="4" t="str">
        <f t="shared" si="95"/>
        <v>Normal Day</v>
      </c>
      <c r="N1481" s="4" t="str">
        <f>TEXT(CleanedData[[#This Row],[DAY]], "mmm yyyy")</f>
        <v>Dec 2024</v>
      </c>
    </row>
    <row r="1482" spans="1:14" x14ac:dyDescent="0.3">
      <c r="A1482" s="5">
        <v>45630</v>
      </c>
      <c r="B1482" s="12">
        <v>2293.5</v>
      </c>
      <c r="C1482" s="12">
        <v>36</v>
      </c>
      <c r="D1482" s="2" t="s">
        <v>6</v>
      </c>
      <c r="E1482" s="2" t="s">
        <v>8</v>
      </c>
      <c r="F1482" s="1">
        <v>1311</v>
      </c>
      <c r="G1482" s="13">
        <v>2068.0822733187856</v>
      </c>
      <c r="H1482" s="14" t="b">
        <v>0</v>
      </c>
      <c r="I1482" s="15">
        <f t="shared" si="92"/>
        <v>2294</v>
      </c>
      <c r="J1482" s="15">
        <f t="shared" si="92"/>
        <v>36</v>
      </c>
      <c r="K1482" s="15">
        <f t="shared" si="93"/>
        <v>2068</v>
      </c>
      <c r="L1482" s="3" t="str">
        <f t="shared" si="94"/>
        <v>Wednesday</v>
      </c>
      <c r="M1482" s="4" t="str">
        <f t="shared" si="95"/>
        <v>Normal Day</v>
      </c>
      <c r="N1482" s="4" t="str">
        <f>TEXT(CleanedData[[#This Row],[DAY]], "mmm yyyy")</f>
        <v>Dec 2024</v>
      </c>
    </row>
    <row r="1483" spans="1:14" x14ac:dyDescent="0.3">
      <c r="A1483" s="5">
        <v>45630</v>
      </c>
      <c r="B1483" s="12">
        <v>4459.5</v>
      </c>
      <c r="C1483" s="12">
        <v>61.5</v>
      </c>
      <c r="D1483" s="2" t="s">
        <v>9</v>
      </c>
      <c r="E1483" s="2" t="s">
        <v>8</v>
      </c>
      <c r="F1483" s="1">
        <v>2692</v>
      </c>
      <c r="G1483" s="13">
        <v>3663.4204838247033</v>
      </c>
      <c r="H1483" s="14" t="b">
        <v>0</v>
      </c>
      <c r="I1483" s="15">
        <f t="shared" si="92"/>
        <v>4460</v>
      </c>
      <c r="J1483" s="15">
        <f t="shared" si="92"/>
        <v>62</v>
      </c>
      <c r="K1483" s="15">
        <f t="shared" si="93"/>
        <v>3663</v>
      </c>
      <c r="L1483" s="3" t="str">
        <f t="shared" si="94"/>
        <v>Wednesday</v>
      </c>
      <c r="M1483" s="4" t="str">
        <f t="shared" si="95"/>
        <v>Normal Day</v>
      </c>
      <c r="N1483" s="4" t="str">
        <f>TEXT(CleanedData[[#This Row],[DAY]], "mmm yyyy")</f>
        <v>Dec 2024</v>
      </c>
    </row>
    <row r="1484" spans="1:14" x14ac:dyDescent="0.3">
      <c r="A1484" s="5">
        <v>45630</v>
      </c>
      <c r="B1484" s="12">
        <v>6711</v>
      </c>
      <c r="C1484" s="12">
        <v>186</v>
      </c>
      <c r="D1484" s="2" t="s">
        <v>10</v>
      </c>
      <c r="E1484" s="2" t="s">
        <v>7</v>
      </c>
      <c r="F1484" s="1">
        <v>4102</v>
      </c>
      <c r="G1484" s="13">
        <v>6368.5396891449254</v>
      </c>
      <c r="H1484" s="14" t="b">
        <v>0</v>
      </c>
      <c r="I1484" s="15">
        <f t="shared" si="92"/>
        <v>6711</v>
      </c>
      <c r="J1484" s="15">
        <f t="shared" si="92"/>
        <v>186</v>
      </c>
      <c r="K1484" s="15">
        <f t="shared" si="93"/>
        <v>6369</v>
      </c>
      <c r="L1484" s="3" t="str">
        <f t="shared" si="94"/>
        <v>Wednesday</v>
      </c>
      <c r="M1484" s="4" t="str">
        <f t="shared" si="95"/>
        <v>Normal Day</v>
      </c>
      <c r="N1484" s="4" t="str">
        <f>TEXT(CleanedData[[#This Row],[DAY]], "mmm yyyy")</f>
        <v>Dec 2024</v>
      </c>
    </row>
    <row r="1485" spans="1:14" x14ac:dyDescent="0.3">
      <c r="A1485" s="5">
        <v>45631</v>
      </c>
      <c r="B1485" s="12">
        <v>2062.5</v>
      </c>
      <c r="C1485" s="12">
        <v>123</v>
      </c>
      <c r="D1485" s="2" t="s">
        <v>6</v>
      </c>
      <c r="E1485" s="2" t="s">
        <v>7</v>
      </c>
      <c r="F1485" s="1">
        <v>1286</v>
      </c>
      <c r="G1485" s="13">
        <v>2007.3785704147954</v>
      </c>
      <c r="H1485" s="14" t="b">
        <v>0</v>
      </c>
      <c r="I1485" s="15">
        <f t="shared" si="92"/>
        <v>2063</v>
      </c>
      <c r="J1485" s="15">
        <f t="shared" si="92"/>
        <v>123</v>
      </c>
      <c r="K1485" s="15">
        <f t="shared" si="93"/>
        <v>2007</v>
      </c>
      <c r="L1485" s="3" t="str">
        <f t="shared" si="94"/>
        <v>Thursday</v>
      </c>
      <c r="M1485" s="4" t="str">
        <f t="shared" si="95"/>
        <v>Normal Day</v>
      </c>
      <c r="N1485" s="4" t="str">
        <f>TEXT(CleanedData[[#This Row],[DAY]], "mmm yyyy")</f>
        <v>Dec 2024</v>
      </c>
    </row>
    <row r="1486" spans="1:14" x14ac:dyDescent="0.3">
      <c r="A1486" s="5">
        <v>45631</v>
      </c>
      <c r="B1486" s="12">
        <v>2311.5</v>
      </c>
      <c r="C1486" s="12">
        <v>123</v>
      </c>
      <c r="D1486" s="2" t="s">
        <v>6</v>
      </c>
      <c r="E1486" s="2" t="s">
        <v>8</v>
      </c>
      <c r="F1486" s="1">
        <v>1235</v>
      </c>
      <c r="G1486" s="13">
        <v>1992.3596555616957</v>
      </c>
      <c r="H1486" s="14" t="b">
        <v>0</v>
      </c>
      <c r="I1486" s="15">
        <f t="shared" si="92"/>
        <v>2312</v>
      </c>
      <c r="J1486" s="15">
        <f t="shared" si="92"/>
        <v>123</v>
      </c>
      <c r="K1486" s="15">
        <f t="shared" si="93"/>
        <v>1992</v>
      </c>
      <c r="L1486" s="3" t="str">
        <f t="shared" si="94"/>
        <v>Thursday</v>
      </c>
      <c r="M1486" s="4" t="str">
        <f t="shared" si="95"/>
        <v>Normal Day</v>
      </c>
      <c r="N1486" s="4" t="str">
        <f>TEXT(CleanedData[[#This Row],[DAY]], "mmm yyyy")</f>
        <v>Dec 2024</v>
      </c>
    </row>
    <row r="1487" spans="1:14" x14ac:dyDescent="0.3">
      <c r="A1487" s="5">
        <v>45631</v>
      </c>
      <c r="B1487" s="12">
        <v>5049</v>
      </c>
      <c r="C1487" s="12">
        <v>73.5</v>
      </c>
      <c r="D1487" s="2" t="s">
        <v>9</v>
      </c>
      <c r="E1487" s="2" t="s">
        <v>8</v>
      </c>
      <c r="F1487" s="1">
        <v>995</v>
      </c>
      <c r="G1487" s="13">
        <v>4477.8501017889121</v>
      </c>
      <c r="H1487" s="14" t="b">
        <v>0</v>
      </c>
      <c r="I1487" s="15">
        <f t="shared" si="92"/>
        <v>5049</v>
      </c>
      <c r="J1487" s="15">
        <f t="shared" si="92"/>
        <v>74</v>
      </c>
      <c r="K1487" s="15">
        <f t="shared" si="93"/>
        <v>4478</v>
      </c>
      <c r="L1487" s="3" t="str">
        <f t="shared" si="94"/>
        <v>Thursday</v>
      </c>
      <c r="M1487" s="4" t="str">
        <f t="shared" si="95"/>
        <v>Normal Day</v>
      </c>
      <c r="N1487" s="4" t="str">
        <f>TEXT(CleanedData[[#This Row],[DAY]], "mmm yyyy")</f>
        <v>Dec 2024</v>
      </c>
    </row>
    <row r="1488" spans="1:14" x14ac:dyDescent="0.3">
      <c r="A1488" s="5">
        <v>45631</v>
      </c>
      <c r="B1488" s="12">
        <v>6621</v>
      </c>
      <c r="C1488" s="12">
        <v>342</v>
      </c>
      <c r="D1488" s="2" t="s">
        <v>10</v>
      </c>
      <c r="E1488" s="2" t="s">
        <v>7</v>
      </c>
      <c r="F1488" s="1">
        <v>377</v>
      </c>
      <c r="G1488" s="13">
        <v>6456.4467734341306</v>
      </c>
      <c r="H1488" s="14" t="b">
        <v>1</v>
      </c>
      <c r="I1488" s="15">
        <f t="shared" si="92"/>
        <v>6621</v>
      </c>
      <c r="J1488" s="15">
        <f t="shared" si="92"/>
        <v>342</v>
      </c>
      <c r="K1488" s="15">
        <f t="shared" si="93"/>
        <v>6456</v>
      </c>
      <c r="L1488" s="3" t="str">
        <f t="shared" si="94"/>
        <v>Thursday</v>
      </c>
      <c r="M1488" s="4" t="str">
        <f t="shared" si="95"/>
        <v>Outage Day</v>
      </c>
      <c r="N1488" s="4" t="str">
        <f>TEXT(CleanedData[[#This Row],[DAY]], "mmm yyyy")</f>
        <v>Dec 2024</v>
      </c>
    </row>
    <row r="1489" spans="1:14" x14ac:dyDescent="0.3">
      <c r="A1489" s="5">
        <v>45632</v>
      </c>
      <c r="B1489" s="12">
        <v>1.5</v>
      </c>
      <c r="C1489" s="12">
        <v>0</v>
      </c>
      <c r="D1489" s="2" t="s">
        <v>10</v>
      </c>
      <c r="E1489" s="2" t="s">
        <v>8</v>
      </c>
      <c r="F1489" s="1">
        <v>1</v>
      </c>
      <c r="G1489" s="13">
        <v>1.2885300326542533</v>
      </c>
      <c r="H1489" s="14" t="b">
        <v>0</v>
      </c>
      <c r="I1489" s="15">
        <f t="shared" si="92"/>
        <v>2</v>
      </c>
      <c r="J1489" s="15">
        <f t="shared" si="92"/>
        <v>0</v>
      </c>
      <c r="K1489" s="15">
        <f t="shared" si="93"/>
        <v>1</v>
      </c>
      <c r="L1489" s="3" t="str">
        <f t="shared" si="94"/>
        <v>Friday</v>
      </c>
      <c r="M1489" s="4" t="str">
        <f t="shared" si="95"/>
        <v>Normal Day</v>
      </c>
      <c r="N1489" s="4" t="str">
        <f>TEXT(CleanedData[[#This Row],[DAY]], "mmm yyyy")</f>
        <v>Dec 2024</v>
      </c>
    </row>
    <row r="1490" spans="1:14" x14ac:dyDescent="0.3">
      <c r="A1490" s="5">
        <v>45632</v>
      </c>
      <c r="B1490" s="12">
        <v>1695</v>
      </c>
      <c r="C1490" s="12">
        <v>115.5</v>
      </c>
      <c r="D1490" s="2" t="s">
        <v>6</v>
      </c>
      <c r="E1490" s="2" t="s">
        <v>8</v>
      </c>
      <c r="F1490" s="1">
        <v>778</v>
      </c>
      <c r="G1490" s="13">
        <v>1476.2257675240044</v>
      </c>
      <c r="H1490" s="14" t="b">
        <v>0</v>
      </c>
      <c r="I1490" s="15">
        <f t="shared" si="92"/>
        <v>1695</v>
      </c>
      <c r="J1490" s="15">
        <f t="shared" si="92"/>
        <v>116</v>
      </c>
      <c r="K1490" s="15">
        <f t="shared" si="93"/>
        <v>1476</v>
      </c>
      <c r="L1490" s="3" t="str">
        <f t="shared" si="94"/>
        <v>Friday</v>
      </c>
      <c r="M1490" s="4" t="str">
        <f t="shared" si="95"/>
        <v>Normal Day</v>
      </c>
      <c r="N1490" s="4" t="str">
        <f>TEXT(CleanedData[[#This Row],[DAY]], "mmm yyyy")</f>
        <v>Dec 2024</v>
      </c>
    </row>
    <row r="1491" spans="1:14" x14ac:dyDescent="0.3">
      <c r="A1491" s="5">
        <v>45632</v>
      </c>
      <c r="B1491" s="12">
        <v>2137.5</v>
      </c>
      <c r="C1491" s="12">
        <v>115.5</v>
      </c>
      <c r="D1491" s="2" t="s">
        <v>6</v>
      </c>
      <c r="E1491" s="2" t="s">
        <v>7</v>
      </c>
      <c r="F1491" s="1">
        <v>1212</v>
      </c>
      <c r="G1491" s="13">
        <v>2034.8440885893738</v>
      </c>
      <c r="H1491" s="14" t="b">
        <v>0</v>
      </c>
      <c r="I1491" s="15">
        <f t="shared" si="92"/>
        <v>2138</v>
      </c>
      <c r="J1491" s="15">
        <f t="shared" si="92"/>
        <v>116</v>
      </c>
      <c r="K1491" s="15">
        <f t="shared" si="93"/>
        <v>2035</v>
      </c>
      <c r="L1491" s="3" t="str">
        <f t="shared" si="94"/>
        <v>Friday</v>
      </c>
      <c r="M1491" s="4" t="str">
        <f t="shared" si="95"/>
        <v>Normal Day</v>
      </c>
      <c r="N1491" s="4" t="str">
        <f>TEXT(CleanedData[[#This Row],[DAY]], "mmm yyyy")</f>
        <v>Dec 2024</v>
      </c>
    </row>
    <row r="1492" spans="1:14" x14ac:dyDescent="0.3">
      <c r="A1492" s="5">
        <v>45632</v>
      </c>
      <c r="B1492" s="12">
        <v>5293.5</v>
      </c>
      <c r="C1492" s="12">
        <v>121.5</v>
      </c>
      <c r="D1492" s="2" t="s">
        <v>9</v>
      </c>
      <c r="E1492" s="2" t="s">
        <v>8</v>
      </c>
      <c r="F1492" s="1">
        <v>1183</v>
      </c>
      <c r="G1492" s="13">
        <v>4818.3520444591759</v>
      </c>
      <c r="H1492" s="14" t="b">
        <v>0</v>
      </c>
      <c r="I1492" s="15">
        <f t="shared" si="92"/>
        <v>5294</v>
      </c>
      <c r="J1492" s="15">
        <f t="shared" si="92"/>
        <v>122</v>
      </c>
      <c r="K1492" s="15">
        <f t="shared" si="93"/>
        <v>4818</v>
      </c>
      <c r="L1492" s="3" t="str">
        <f t="shared" si="94"/>
        <v>Friday</v>
      </c>
      <c r="M1492" s="4" t="str">
        <f t="shared" si="95"/>
        <v>Normal Day</v>
      </c>
      <c r="N1492" s="4" t="str">
        <f>TEXT(CleanedData[[#This Row],[DAY]], "mmm yyyy")</f>
        <v>Dec 2024</v>
      </c>
    </row>
    <row r="1493" spans="1:14" x14ac:dyDescent="0.3">
      <c r="A1493" s="5">
        <v>45632</v>
      </c>
      <c r="B1493" s="12">
        <v>6441</v>
      </c>
      <c r="C1493" s="12">
        <v>348</v>
      </c>
      <c r="D1493" s="2" t="s">
        <v>10</v>
      </c>
      <c r="E1493" s="2" t="s">
        <v>7</v>
      </c>
      <c r="F1493" s="1">
        <v>361</v>
      </c>
      <c r="G1493" s="13">
        <v>6377.7227063591035</v>
      </c>
      <c r="H1493" s="14" t="b">
        <v>0</v>
      </c>
      <c r="I1493" s="15">
        <f t="shared" si="92"/>
        <v>6441</v>
      </c>
      <c r="J1493" s="15">
        <f t="shared" si="92"/>
        <v>348</v>
      </c>
      <c r="K1493" s="15">
        <f t="shared" si="93"/>
        <v>6378</v>
      </c>
      <c r="L1493" s="3" t="str">
        <f t="shared" si="94"/>
        <v>Friday</v>
      </c>
      <c r="M1493" s="4" t="str">
        <f t="shared" si="95"/>
        <v>Normal Day</v>
      </c>
      <c r="N1493" s="4" t="str">
        <f>TEXT(CleanedData[[#This Row],[DAY]], "mmm yyyy")</f>
        <v>Dec 2024</v>
      </c>
    </row>
    <row r="1494" spans="1:14" x14ac:dyDescent="0.3">
      <c r="A1494" s="5">
        <v>45633</v>
      </c>
      <c r="B1494" s="12">
        <v>1789.5</v>
      </c>
      <c r="C1494" s="12">
        <v>105</v>
      </c>
      <c r="D1494" s="2" t="s">
        <v>6</v>
      </c>
      <c r="E1494" s="2" t="s">
        <v>7</v>
      </c>
      <c r="F1494" s="1">
        <v>721</v>
      </c>
      <c r="G1494" s="13">
        <v>1773.8457293112351</v>
      </c>
      <c r="H1494" s="14" t="b">
        <v>0</v>
      </c>
      <c r="I1494" s="15">
        <f t="shared" si="92"/>
        <v>1790</v>
      </c>
      <c r="J1494" s="15">
        <f t="shared" si="92"/>
        <v>105</v>
      </c>
      <c r="K1494" s="15">
        <f t="shared" si="93"/>
        <v>1774</v>
      </c>
      <c r="L1494" s="3" t="str">
        <f t="shared" si="94"/>
        <v>Saturday</v>
      </c>
      <c r="M1494" s="4" t="str">
        <f t="shared" si="95"/>
        <v>Normal Day</v>
      </c>
      <c r="N1494" s="4" t="str">
        <f>TEXT(CleanedData[[#This Row],[DAY]], "mmm yyyy")</f>
        <v>Dec 2024</v>
      </c>
    </row>
    <row r="1495" spans="1:14" x14ac:dyDescent="0.3">
      <c r="A1495" s="5">
        <v>45633</v>
      </c>
      <c r="B1495" s="12">
        <v>2226</v>
      </c>
      <c r="C1495" s="12">
        <v>105</v>
      </c>
      <c r="D1495" s="2" t="s">
        <v>6</v>
      </c>
      <c r="E1495" s="2" t="s">
        <v>8</v>
      </c>
      <c r="F1495" s="1">
        <v>921</v>
      </c>
      <c r="G1495" s="13">
        <v>2033.5985670254693</v>
      </c>
      <c r="H1495" s="14" t="b">
        <v>0</v>
      </c>
      <c r="I1495" s="15">
        <f t="shared" si="92"/>
        <v>2226</v>
      </c>
      <c r="J1495" s="15">
        <f t="shared" si="92"/>
        <v>105</v>
      </c>
      <c r="K1495" s="15">
        <f t="shared" si="93"/>
        <v>2034</v>
      </c>
      <c r="L1495" s="3" t="str">
        <f t="shared" si="94"/>
        <v>Saturday</v>
      </c>
      <c r="M1495" s="4" t="str">
        <f t="shared" si="95"/>
        <v>Normal Day</v>
      </c>
      <c r="N1495" s="4" t="str">
        <f>TEXT(CleanedData[[#This Row],[DAY]], "mmm yyyy")</f>
        <v>Dec 2024</v>
      </c>
    </row>
    <row r="1496" spans="1:14" x14ac:dyDescent="0.3">
      <c r="A1496" s="5">
        <v>45633</v>
      </c>
      <c r="B1496" s="12">
        <v>5356.5</v>
      </c>
      <c r="C1496" s="12">
        <v>55.5</v>
      </c>
      <c r="D1496" s="2" t="s">
        <v>9</v>
      </c>
      <c r="E1496" s="2" t="s">
        <v>8</v>
      </c>
      <c r="F1496" s="1">
        <v>2837</v>
      </c>
      <c r="G1496" s="13">
        <v>4611.2926631916653</v>
      </c>
      <c r="H1496" s="14" t="b">
        <v>0</v>
      </c>
      <c r="I1496" s="15">
        <f t="shared" si="92"/>
        <v>5357</v>
      </c>
      <c r="J1496" s="15">
        <f t="shared" si="92"/>
        <v>56</v>
      </c>
      <c r="K1496" s="15">
        <f t="shared" si="93"/>
        <v>4611</v>
      </c>
      <c r="L1496" s="3" t="str">
        <f t="shared" si="94"/>
        <v>Saturday</v>
      </c>
      <c r="M1496" s="4" t="str">
        <f t="shared" si="95"/>
        <v>Normal Day</v>
      </c>
      <c r="N1496" s="4" t="str">
        <f>TEXT(CleanedData[[#This Row],[DAY]], "mmm yyyy")</f>
        <v>Dec 2024</v>
      </c>
    </row>
    <row r="1497" spans="1:14" x14ac:dyDescent="0.3">
      <c r="A1497" s="5">
        <v>45633</v>
      </c>
      <c r="B1497" s="12">
        <v>7545</v>
      </c>
      <c r="C1497" s="12">
        <v>514.5</v>
      </c>
      <c r="D1497" s="2" t="s">
        <v>10</v>
      </c>
      <c r="E1497" s="2" t="s">
        <v>7</v>
      </c>
      <c r="F1497" s="1">
        <v>3048</v>
      </c>
      <c r="G1497" s="13">
        <v>7235.6325649251012</v>
      </c>
      <c r="H1497" s="14" t="b">
        <v>1</v>
      </c>
      <c r="I1497" s="15">
        <f t="shared" si="92"/>
        <v>7545</v>
      </c>
      <c r="J1497" s="15">
        <f t="shared" si="92"/>
        <v>515</v>
      </c>
      <c r="K1497" s="15">
        <f t="shared" si="93"/>
        <v>7236</v>
      </c>
      <c r="L1497" s="3" t="str">
        <f t="shared" si="94"/>
        <v>Saturday</v>
      </c>
      <c r="M1497" s="4" t="str">
        <f t="shared" si="95"/>
        <v>Outage Day</v>
      </c>
      <c r="N1497" s="4" t="str">
        <f>TEXT(CleanedData[[#This Row],[DAY]], "mmm yyyy")</f>
        <v>Dec 2024</v>
      </c>
    </row>
    <row r="1498" spans="1:14" x14ac:dyDescent="0.3">
      <c r="A1498" s="5">
        <v>45634</v>
      </c>
      <c r="B1498" s="12">
        <v>1549.5</v>
      </c>
      <c r="C1498" s="12">
        <v>9</v>
      </c>
      <c r="D1498" s="2" t="s">
        <v>6</v>
      </c>
      <c r="E1498" s="2" t="s">
        <v>8</v>
      </c>
      <c r="F1498" s="1">
        <v>254</v>
      </c>
      <c r="G1498" s="13">
        <v>1303.4223784937494</v>
      </c>
      <c r="H1498" s="14" t="b">
        <v>0</v>
      </c>
      <c r="I1498" s="15">
        <f t="shared" si="92"/>
        <v>1550</v>
      </c>
      <c r="J1498" s="15">
        <f t="shared" si="92"/>
        <v>9</v>
      </c>
      <c r="K1498" s="15">
        <f t="shared" si="93"/>
        <v>1303</v>
      </c>
      <c r="L1498" s="3" t="str">
        <f t="shared" si="94"/>
        <v>Sunday</v>
      </c>
      <c r="M1498" s="4" t="str">
        <f t="shared" si="95"/>
        <v>Normal Day</v>
      </c>
      <c r="N1498" s="4" t="str">
        <f>TEXT(CleanedData[[#This Row],[DAY]], "mmm yyyy")</f>
        <v>Dec 2024</v>
      </c>
    </row>
    <row r="1499" spans="1:14" x14ac:dyDescent="0.3">
      <c r="A1499" s="5">
        <v>45634</v>
      </c>
      <c r="B1499" s="12">
        <v>1927.5</v>
      </c>
      <c r="C1499" s="12">
        <v>9</v>
      </c>
      <c r="D1499" s="2" t="s">
        <v>6</v>
      </c>
      <c r="E1499" s="2" t="s">
        <v>7</v>
      </c>
      <c r="F1499" s="1">
        <v>223</v>
      </c>
      <c r="G1499" s="13">
        <v>1809.0363259395624</v>
      </c>
      <c r="H1499" s="14" t="b">
        <v>0</v>
      </c>
      <c r="I1499" s="15">
        <f t="shared" si="92"/>
        <v>1928</v>
      </c>
      <c r="J1499" s="15">
        <f t="shared" si="92"/>
        <v>9</v>
      </c>
      <c r="K1499" s="15">
        <f t="shared" si="93"/>
        <v>1809</v>
      </c>
      <c r="L1499" s="3" t="str">
        <f t="shared" si="94"/>
        <v>Sunday</v>
      </c>
      <c r="M1499" s="4" t="str">
        <f t="shared" si="95"/>
        <v>Normal Day</v>
      </c>
      <c r="N1499" s="4" t="str">
        <f>TEXT(CleanedData[[#This Row],[DAY]], "mmm yyyy")</f>
        <v>Dec 2024</v>
      </c>
    </row>
    <row r="1500" spans="1:14" x14ac:dyDescent="0.3">
      <c r="A1500" s="5">
        <v>45634</v>
      </c>
      <c r="B1500" s="12">
        <v>5478</v>
      </c>
      <c r="C1500" s="12">
        <v>123</v>
      </c>
      <c r="D1500" s="2" t="s">
        <v>9</v>
      </c>
      <c r="E1500" s="2" t="s">
        <v>8</v>
      </c>
      <c r="F1500" s="1">
        <v>3475</v>
      </c>
      <c r="G1500" s="13">
        <v>4535.5823781563968</v>
      </c>
      <c r="H1500" s="14" t="b">
        <v>0</v>
      </c>
      <c r="I1500" s="15">
        <f t="shared" si="92"/>
        <v>5478</v>
      </c>
      <c r="J1500" s="15">
        <f t="shared" si="92"/>
        <v>123</v>
      </c>
      <c r="K1500" s="15">
        <f t="shared" si="93"/>
        <v>4536</v>
      </c>
      <c r="L1500" s="3" t="str">
        <f t="shared" si="94"/>
        <v>Sunday</v>
      </c>
      <c r="M1500" s="4" t="str">
        <f t="shared" si="95"/>
        <v>Normal Day</v>
      </c>
      <c r="N1500" s="4" t="str">
        <f>TEXT(CleanedData[[#This Row],[DAY]], "mmm yyyy")</f>
        <v>Dec 2024</v>
      </c>
    </row>
    <row r="1501" spans="1:14" x14ac:dyDescent="0.3">
      <c r="A1501" s="5">
        <v>45634</v>
      </c>
      <c r="B1501" s="12">
        <v>6762</v>
      </c>
      <c r="C1501" s="12">
        <v>232.5</v>
      </c>
      <c r="D1501" s="2" t="s">
        <v>10</v>
      </c>
      <c r="E1501" s="2" t="s">
        <v>7</v>
      </c>
      <c r="F1501" s="1">
        <v>2650</v>
      </c>
      <c r="G1501" s="13">
        <v>6546.4175580189813</v>
      </c>
      <c r="H1501" s="14" t="b">
        <v>0</v>
      </c>
      <c r="I1501" s="15">
        <f t="shared" si="92"/>
        <v>6762</v>
      </c>
      <c r="J1501" s="15">
        <f t="shared" si="92"/>
        <v>233</v>
      </c>
      <c r="K1501" s="15">
        <f t="shared" si="93"/>
        <v>6546</v>
      </c>
      <c r="L1501" s="3" t="str">
        <f t="shared" si="94"/>
        <v>Sunday</v>
      </c>
      <c r="M1501" s="4" t="str">
        <f t="shared" si="95"/>
        <v>Normal Day</v>
      </c>
      <c r="N1501" s="4" t="str">
        <f>TEXT(CleanedData[[#This Row],[DAY]], "mmm yyyy")</f>
        <v>Dec 2024</v>
      </c>
    </row>
    <row r="1502" spans="1:14" x14ac:dyDescent="0.3">
      <c r="A1502" s="5">
        <v>45635</v>
      </c>
      <c r="B1502" s="12">
        <v>1342.5</v>
      </c>
      <c r="C1502" s="12">
        <v>45</v>
      </c>
      <c r="D1502" s="2" t="s">
        <v>6</v>
      </c>
      <c r="E1502" s="2" t="s">
        <v>8</v>
      </c>
      <c r="F1502" s="1">
        <v>502</v>
      </c>
      <c r="G1502" s="13">
        <v>1118.1680094172125</v>
      </c>
      <c r="H1502" s="14" t="b">
        <v>0</v>
      </c>
      <c r="I1502" s="15">
        <f t="shared" si="92"/>
        <v>1343</v>
      </c>
      <c r="J1502" s="15">
        <f t="shared" si="92"/>
        <v>45</v>
      </c>
      <c r="K1502" s="15">
        <f t="shared" si="93"/>
        <v>1118</v>
      </c>
      <c r="L1502" s="3" t="str">
        <f t="shared" si="94"/>
        <v>Monday</v>
      </c>
      <c r="M1502" s="4" t="str">
        <f t="shared" si="95"/>
        <v>Normal Day</v>
      </c>
      <c r="N1502" s="4" t="str">
        <f>TEXT(CleanedData[[#This Row],[DAY]], "mmm yyyy")</f>
        <v>Dec 2024</v>
      </c>
    </row>
    <row r="1503" spans="1:14" x14ac:dyDescent="0.3">
      <c r="A1503" s="5">
        <v>45635</v>
      </c>
      <c r="B1503" s="12">
        <v>1410</v>
      </c>
      <c r="C1503" s="12">
        <v>45</v>
      </c>
      <c r="D1503" s="2" t="s">
        <v>6</v>
      </c>
      <c r="E1503" s="2" t="s">
        <v>7</v>
      </c>
      <c r="F1503" s="1">
        <v>305</v>
      </c>
      <c r="G1503" s="13">
        <v>1290.0929114099824</v>
      </c>
      <c r="H1503" s="14" t="b">
        <v>0</v>
      </c>
      <c r="I1503" s="15">
        <f t="shared" si="92"/>
        <v>1410</v>
      </c>
      <c r="J1503" s="15">
        <f t="shared" si="92"/>
        <v>45</v>
      </c>
      <c r="K1503" s="15">
        <f t="shared" si="93"/>
        <v>1290</v>
      </c>
      <c r="L1503" s="3" t="str">
        <f t="shared" si="94"/>
        <v>Monday</v>
      </c>
      <c r="M1503" s="4" t="str">
        <f t="shared" si="95"/>
        <v>Normal Day</v>
      </c>
      <c r="N1503" s="4" t="str">
        <f>TEXT(CleanedData[[#This Row],[DAY]], "mmm yyyy")</f>
        <v>Dec 2024</v>
      </c>
    </row>
    <row r="1504" spans="1:14" x14ac:dyDescent="0.3">
      <c r="A1504" s="5">
        <v>45635</v>
      </c>
      <c r="B1504" s="12">
        <v>4221</v>
      </c>
      <c r="C1504" s="12">
        <v>78</v>
      </c>
      <c r="D1504" s="2" t="s">
        <v>9</v>
      </c>
      <c r="E1504" s="2" t="s">
        <v>8</v>
      </c>
      <c r="F1504" s="1">
        <v>2751</v>
      </c>
      <c r="G1504" s="13">
        <v>3674.5651636128418</v>
      </c>
      <c r="H1504" s="14" t="b">
        <v>0</v>
      </c>
      <c r="I1504" s="15">
        <f t="shared" si="92"/>
        <v>4221</v>
      </c>
      <c r="J1504" s="15">
        <f t="shared" si="92"/>
        <v>78</v>
      </c>
      <c r="K1504" s="15">
        <f t="shared" si="93"/>
        <v>3675</v>
      </c>
      <c r="L1504" s="3" t="str">
        <f t="shared" si="94"/>
        <v>Monday</v>
      </c>
      <c r="M1504" s="4" t="str">
        <f t="shared" si="95"/>
        <v>Normal Day</v>
      </c>
      <c r="N1504" s="4" t="str">
        <f>TEXT(CleanedData[[#This Row],[DAY]], "mmm yyyy")</f>
        <v>Dec 2024</v>
      </c>
    </row>
    <row r="1505" spans="1:14" x14ac:dyDescent="0.3">
      <c r="A1505" s="5">
        <v>45635</v>
      </c>
      <c r="B1505" s="12">
        <v>5061</v>
      </c>
      <c r="C1505" s="12">
        <v>147</v>
      </c>
      <c r="D1505" s="2" t="s">
        <v>10</v>
      </c>
      <c r="E1505" s="2" t="s">
        <v>7</v>
      </c>
      <c r="F1505" s="1">
        <v>1307</v>
      </c>
      <c r="G1505" s="13">
        <v>4800.4729195680529</v>
      </c>
      <c r="H1505" s="14" t="b">
        <v>0</v>
      </c>
      <c r="I1505" s="15">
        <f t="shared" si="92"/>
        <v>5061</v>
      </c>
      <c r="J1505" s="15">
        <f t="shared" si="92"/>
        <v>147</v>
      </c>
      <c r="K1505" s="15">
        <f t="shared" si="93"/>
        <v>4800</v>
      </c>
      <c r="L1505" s="3" t="str">
        <f t="shared" si="94"/>
        <v>Monday</v>
      </c>
      <c r="M1505" s="4" t="str">
        <f t="shared" si="95"/>
        <v>Normal Day</v>
      </c>
      <c r="N1505" s="4" t="str">
        <f>TEXT(CleanedData[[#This Row],[DAY]], "mmm yyyy")</f>
        <v>Dec 2024</v>
      </c>
    </row>
    <row r="1506" spans="1:14" x14ac:dyDescent="0.3">
      <c r="A1506" s="5">
        <v>45636</v>
      </c>
      <c r="B1506" s="12">
        <v>904.5</v>
      </c>
      <c r="C1506" s="12">
        <v>55.5</v>
      </c>
      <c r="D1506" s="2" t="s">
        <v>6</v>
      </c>
      <c r="E1506" s="2" t="s">
        <v>8</v>
      </c>
      <c r="F1506" s="1">
        <v>518</v>
      </c>
      <c r="G1506" s="13">
        <v>792.45711175333736</v>
      </c>
      <c r="H1506" s="14" t="b">
        <v>0</v>
      </c>
      <c r="I1506" s="15">
        <f t="shared" si="92"/>
        <v>905</v>
      </c>
      <c r="J1506" s="15">
        <f t="shared" si="92"/>
        <v>56</v>
      </c>
      <c r="K1506" s="15">
        <f t="shared" si="93"/>
        <v>792</v>
      </c>
      <c r="L1506" s="3" t="str">
        <f t="shared" si="94"/>
        <v>Tuesday</v>
      </c>
      <c r="M1506" s="4" t="str">
        <f t="shared" si="95"/>
        <v>Normal Day</v>
      </c>
      <c r="N1506" s="4" t="str">
        <f>TEXT(CleanedData[[#This Row],[DAY]], "mmm yyyy")</f>
        <v>Dec 2024</v>
      </c>
    </row>
    <row r="1507" spans="1:14" x14ac:dyDescent="0.3">
      <c r="A1507" s="5">
        <v>45636</v>
      </c>
      <c r="B1507" s="12">
        <v>919.5</v>
      </c>
      <c r="C1507" s="12">
        <v>55.5</v>
      </c>
      <c r="D1507" s="2" t="s">
        <v>6</v>
      </c>
      <c r="E1507" s="2" t="s">
        <v>7</v>
      </c>
      <c r="F1507" s="1">
        <v>468</v>
      </c>
      <c r="G1507" s="13">
        <v>872.54786692280697</v>
      </c>
      <c r="H1507" s="14" t="b">
        <v>0</v>
      </c>
      <c r="I1507" s="15">
        <f t="shared" si="92"/>
        <v>920</v>
      </c>
      <c r="J1507" s="15">
        <f t="shared" si="92"/>
        <v>56</v>
      </c>
      <c r="K1507" s="15">
        <f t="shared" si="93"/>
        <v>873</v>
      </c>
      <c r="L1507" s="3" t="str">
        <f t="shared" si="94"/>
        <v>Tuesday</v>
      </c>
      <c r="M1507" s="4" t="str">
        <f t="shared" si="95"/>
        <v>Normal Day</v>
      </c>
      <c r="N1507" s="4" t="str">
        <f>TEXT(CleanedData[[#This Row],[DAY]], "mmm yyyy")</f>
        <v>Dec 2024</v>
      </c>
    </row>
    <row r="1508" spans="1:14" x14ac:dyDescent="0.3">
      <c r="A1508" s="5">
        <v>45636</v>
      </c>
      <c r="B1508" s="12">
        <v>4393.5</v>
      </c>
      <c r="C1508" s="12">
        <v>283.5</v>
      </c>
      <c r="D1508" s="2" t="s">
        <v>10</v>
      </c>
      <c r="E1508" s="2" t="s">
        <v>7</v>
      </c>
      <c r="F1508" s="1">
        <v>1131</v>
      </c>
      <c r="G1508" s="13">
        <v>4211.78302728978</v>
      </c>
      <c r="H1508" s="14" t="b">
        <v>0</v>
      </c>
      <c r="I1508" s="15">
        <f t="shared" si="92"/>
        <v>4394</v>
      </c>
      <c r="J1508" s="15">
        <f t="shared" si="92"/>
        <v>284</v>
      </c>
      <c r="K1508" s="15">
        <f t="shared" si="93"/>
        <v>4212</v>
      </c>
      <c r="L1508" s="3" t="str">
        <f t="shared" si="94"/>
        <v>Tuesday</v>
      </c>
      <c r="M1508" s="4" t="str">
        <f t="shared" si="95"/>
        <v>Normal Day</v>
      </c>
      <c r="N1508" s="4" t="str">
        <f>TEXT(CleanedData[[#This Row],[DAY]], "mmm yyyy")</f>
        <v>Dec 2024</v>
      </c>
    </row>
    <row r="1509" spans="1:14" x14ac:dyDescent="0.3">
      <c r="A1509" s="5">
        <v>45636</v>
      </c>
      <c r="B1509" s="12">
        <v>4986</v>
      </c>
      <c r="C1509" s="12">
        <v>180</v>
      </c>
      <c r="D1509" s="2" t="s">
        <v>9</v>
      </c>
      <c r="E1509" s="2" t="s">
        <v>8</v>
      </c>
      <c r="F1509" s="1">
        <v>2022</v>
      </c>
      <c r="G1509" s="13">
        <v>4145.8629944282357</v>
      </c>
      <c r="H1509" s="14" t="b">
        <v>1</v>
      </c>
      <c r="I1509" s="15">
        <f t="shared" si="92"/>
        <v>4986</v>
      </c>
      <c r="J1509" s="15">
        <f t="shared" si="92"/>
        <v>180</v>
      </c>
      <c r="K1509" s="15">
        <f t="shared" si="93"/>
        <v>4146</v>
      </c>
      <c r="L1509" s="3" t="str">
        <f t="shared" si="94"/>
        <v>Tuesday</v>
      </c>
      <c r="M1509" s="4" t="str">
        <f t="shared" si="95"/>
        <v>Outage Day</v>
      </c>
      <c r="N1509" s="4" t="str">
        <f>TEXT(CleanedData[[#This Row],[DAY]], "mmm yyyy")</f>
        <v>Dec 2024</v>
      </c>
    </row>
    <row r="1510" spans="1:14" x14ac:dyDescent="0.3">
      <c r="A1510" s="5">
        <v>45637</v>
      </c>
      <c r="B1510" s="12">
        <v>1275</v>
      </c>
      <c r="C1510" s="12">
        <v>84</v>
      </c>
      <c r="D1510" s="2" t="s">
        <v>6</v>
      </c>
      <c r="E1510" s="2" t="s">
        <v>7</v>
      </c>
      <c r="F1510" s="1">
        <v>41</v>
      </c>
      <c r="G1510" s="13">
        <v>1218.9595277489557</v>
      </c>
      <c r="H1510" s="14" t="b">
        <v>0</v>
      </c>
      <c r="I1510" s="15">
        <f t="shared" si="92"/>
        <v>1275</v>
      </c>
      <c r="J1510" s="15">
        <f t="shared" si="92"/>
        <v>84</v>
      </c>
      <c r="K1510" s="15">
        <f t="shared" si="93"/>
        <v>1219</v>
      </c>
      <c r="L1510" s="3" t="str">
        <f t="shared" si="94"/>
        <v>Wednesday</v>
      </c>
      <c r="M1510" s="4" t="str">
        <f t="shared" si="95"/>
        <v>Normal Day</v>
      </c>
      <c r="N1510" s="4" t="str">
        <f>TEXT(CleanedData[[#This Row],[DAY]], "mmm yyyy")</f>
        <v>Dec 2024</v>
      </c>
    </row>
    <row r="1511" spans="1:14" x14ac:dyDescent="0.3">
      <c r="A1511" s="5">
        <v>45637</v>
      </c>
      <c r="B1511" s="12">
        <v>1797</v>
      </c>
      <c r="C1511" s="12">
        <v>84</v>
      </c>
      <c r="D1511" s="2" t="s">
        <v>6</v>
      </c>
      <c r="E1511" s="2" t="s">
        <v>8</v>
      </c>
      <c r="F1511" s="1">
        <v>805</v>
      </c>
      <c r="G1511" s="13">
        <v>1629.5916782627385</v>
      </c>
      <c r="H1511" s="14" t="b">
        <v>0</v>
      </c>
      <c r="I1511" s="15">
        <f t="shared" si="92"/>
        <v>1797</v>
      </c>
      <c r="J1511" s="15">
        <f t="shared" si="92"/>
        <v>84</v>
      </c>
      <c r="K1511" s="15">
        <f t="shared" si="93"/>
        <v>1630</v>
      </c>
      <c r="L1511" s="3" t="str">
        <f t="shared" si="94"/>
        <v>Wednesday</v>
      </c>
      <c r="M1511" s="4" t="str">
        <f t="shared" si="95"/>
        <v>Normal Day</v>
      </c>
      <c r="N1511" s="4" t="str">
        <f>TEXT(CleanedData[[#This Row],[DAY]], "mmm yyyy")</f>
        <v>Dec 2024</v>
      </c>
    </row>
    <row r="1512" spans="1:14" x14ac:dyDescent="0.3">
      <c r="A1512" s="5">
        <v>45637</v>
      </c>
      <c r="B1512" s="12">
        <v>3283.5</v>
      </c>
      <c r="C1512" s="12">
        <v>147</v>
      </c>
      <c r="D1512" s="2" t="s">
        <v>9</v>
      </c>
      <c r="E1512" s="2" t="s">
        <v>8</v>
      </c>
      <c r="F1512" s="1">
        <v>1982</v>
      </c>
      <c r="G1512" s="13">
        <v>2804.2005178866866</v>
      </c>
      <c r="H1512" s="14" t="b">
        <v>0</v>
      </c>
      <c r="I1512" s="15">
        <f t="shared" si="92"/>
        <v>3284</v>
      </c>
      <c r="J1512" s="15">
        <f t="shared" si="92"/>
        <v>147</v>
      </c>
      <c r="K1512" s="15">
        <f t="shared" si="93"/>
        <v>2804</v>
      </c>
      <c r="L1512" s="3" t="str">
        <f t="shared" si="94"/>
        <v>Wednesday</v>
      </c>
      <c r="M1512" s="4" t="str">
        <f t="shared" si="95"/>
        <v>Normal Day</v>
      </c>
      <c r="N1512" s="4" t="str">
        <f>TEXT(CleanedData[[#This Row],[DAY]], "mmm yyyy")</f>
        <v>Dec 2024</v>
      </c>
    </row>
    <row r="1513" spans="1:14" x14ac:dyDescent="0.3">
      <c r="A1513" s="5">
        <v>45637</v>
      </c>
      <c r="B1513" s="12">
        <v>5002.5</v>
      </c>
      <c r="C1513" s="12">
        <v>346.5</v>
      </c>
      <c r="D1513" s="2" t="s">
        <v>10</v>
      </c>
      <c r="E1513" s="2" t="s">
        <v>7</v>
      </c>
      <c r="F1513" s="1">
        <v>2931</v>
      </c>
      <c r="G1513" s="13">
        <v>4871.7808635135643</v>
      </c>
      <c r="H1513" s="14" t="b">
        <v>0</v>
      </c>
      <c r="I1513" s="15">
        <f t="shared" si="92"/>
        <v>5003</v>
      </c>
      <c r="J1513" s="15">
        <f t="shared" si="92"/>
        <v>347</v>
      </c>
      <c r="K1513" s="15">
        <f t="shared" si="93"/>
        <v>4872</v>
      </c>
      <c r="L1513" s="3" t="str">
        <f t="shared" si="94"/>
        <v>Wednesday</v>
      </c>
      <c r="M1513" s="4" t="str">
        <f t="shared" si="95"/>
        <v>Normal Day</v>
      </c>
      <c r="N1513" s="4" t="str">
        <f>TEXT(CleanedData[[#This Row],[DAY]], "mmm yyyy")</f>
        <v>Dec 2024</v>
      </c>
    </row>
    <row r="1514" spans="1:14" x14ac:dyDescent="0.3">
      <c r="A1514" s="5">
        <v>45638</v>
      </c>
      <c r="B1514" s="12">
        <v>1209</v>
      </c>
      <c r="C1514" s="12">
        <v>36</v>
      </c>
      <c r="D1514" s="2" t="s">
        <v>6</v>
      </c>
      <c r="E1514" s="2" t="s">
        <v>8</v>
      </c>
      <c r="F1514" s="1">
        <v>572</v>
      </c>
      <c r="G1514" s="13">
        <v>1032.6001785619153</v>
      </c>
      <c r="H1514" s="14" t="b">
        <v>0</v>
      </c>
      <c r="I1514" s="15">
        <f t="shared" si="92"/>
        <v>1209</v>
      </c>
      <c r="J1514" s="15">
        <f t="shared" si="92"/>
        <v>36</v>
      </c>
      <c r="K1514" s="15">
        <f t="shared" si="93"/>
        <v>1033</v>
      </c>
      <c r="L1514" s="3" t="str">
        <f t="shared" si="94"/>
        <v>Thursday</v>
      </c>
      <c r="M1514" s="4" t="str">
        <f t="shared" si="95"/>
        <v>Normal Day</v>
      </c>
      <c r="N1514" s="4" t="str">
        <f>TEXT(CleanedData[[#This Row],[DAY]], "mmm yyyy")</f>
        <v>Dec 2024</v>
      </c>
    </row>
    <row r="1515" spans="1:14" x14ac:dyDescent="0.3">
      <c r="A1515" s="5">
        <v>45638</v>
      </c>
      <c r="B1515" s="12">
        <v>1314</v>
      </c>
      <c r="C1515" s="12">
        <v>36</v>
      </c>
      <c r="D1515" s="2" t="s">
        <v>6</v>
      </c>
      <c r="E1515" s="2" t="s">
        <v>7</v>
      </c>
      <c r="F1515" s="1">
        <v>626</v>
      </c>
      <c r="G1515" s="13">
        <v>1208.2115382076129</v>
      </c>
      <c r="H1515" s="14" t="b">
        <v>0</v>
      </c>
      <c r="I1515" s="15">
        <f t="shared" si="92"/>
        <v>1314</v>
      </c>
      <c r="J1515" s="15">
        <f t="shared" si="92"/>
        <v>36</v>
      </c>
      <c r="K1515" s="15">
        <f t="shared" si="93"/>
        <v>1208</v>
      </c>
      <c r="L1515" s="3" t="str">
        <f t="shared" si="94"/>
        <v>Thursday</v>
      </c>
      <c r="M1515" s="4" t="str">
        <f t="shared" si="95"/>
        <v>Normal Day</v>
      </c>
      <c r="N1515" s="4" t="str">
        <f>TEXT(CleanedData[[#This Row],[DAY]], "mmm yyyy")</f>
        <v>Dec 2024</v>
      </c>
    </row>
    <row r="1516" spans="1:14" x14ac:dyDescent="0.3">
      <c r="A1516" s="5">
        <v>45638</v>
      </c>
      <c r="B1516" s="12">
        <v>4318.5</v>
      </c>
      <c r="C1516" s="12">
        <v>100.5</v>
      </c>
      <c r="D1516" s="2" t="s">
        <v>9</v>
      </c>
      <c r="E1516" s="2" t="s">
        <v>8</v>
      </c>
      <c r="F1516" s="1">
        <v>1543</v>
      </c>
      <c r="G1516" s="13">
        <v>3700.455692218165</v>
      </c>
      <c r="H1516" s="14" t="b">
        <v>0</v>
      </c>
      <c r="I1516" s="15">
        <f t="shared" si="92"/>
        <v>4319</v>
      </c>
      <c r="J1516" s="15">
        <f t="shared" si="92"/>
        <v>101</v>
      </c>
      <c r="K1516" s="15">
        <f t="shared" si="93"/>
        <v>3700</v>
      </c>
      <c r="L1516" s="3" t="str">
        <f t="shared" si="94"/>
        <v>Thursday</v>
      </c>
      <c r="M1516" s="4" t="str">
        <f t="shared" si="95"/>
        <v>Normal Day</v>
      </c>
      <c r="N1516" s="4" t="str">
        <f>TEXT(CleanedData[[#This Row],[DAY]], "mmm yyyy")</f>
        <v>Dec 2024</v>
      </c>
    </row>
    <row r="1517" spans="1:14" x14ac:dyDescent="0.3">
      <c r="A1517" s="5">
        <v>45638</v>
      </c>
      <c r="B1517" s="12">
        <v>5826</v>
      </c>
      <c r="C1517" s="12">
        <v>264</v>
      </c>
      <c r="D1517" s="2" t="s">
        <v>10</v>
      </c>
      <c r="E1517" s="2" t="s">
        <v>7</v>
      </c>
      <c r="F1517" s="1">
        <v>1029</v>
      </c>
      <c r="G1517" s="13">
        <v>5447.6627327914166</v>
      </c>
      <c r="H1517" s="14" t="b">
        <v>0</v>
      </c>
      <c r="I1517" s="15">
        <f t="shared" si="92"/>
        <v>5826</v>
      </c>
      <c r="J1517" s="15">
        <f t="shared" si="92"/>
        <v>264</v>
      </c>
      <c r="K1517" s="15">
        <f t="shared" si="93"/>
        <v>5448</v>
      </c>
      <c r="L1517" s="3" t="str">
        <f t="shared" si="94"/>
        <v>Thursday</v>
      </c>
      <c r="M1517" s="4" t="str">
        <f t="shared" si="95"/>
        <v>Normal Day</v>
      </c>
      <c r="N1517" s="4" t="str">
        <f>TEXT(CleanedData[[#This Row],[DAY]], "mmm yyyy")</f>
        <v>Dec 2024</v>
      </c>
    </row>
    <row r="1518" spans="1:14" x14ac:dyDescent="0.3">
      <c r="A1518" s="5">
        <v>45639</v>
      </c>
      <c r="B1518" s="12">
        <v>1.5</v>
      </c>
      <c r="C1518" s="12">
        <v>0</v>
      </c>
      <c r="D1518" s="2" t="s">
        <v>10</v>
      </c>
      <c r="E1518" s="2" t="s">
        <v>8</v>
      </c>
      <c r="F1518" s="1">
        <v>1</v>
      </c>
      <c r="G1518" s="13">
        <v>1.215158022829752</v>
      </c>
      <c r="H1518" s="14" t="b">
        <v>0</v>
      </c>
      <c r="I1518" s="15">
        <f t="shared" si="92"/>
        <v>2</v>
      </c>
      <c r="J1518" s="15">
        <f t="shared" si="92"/>
        <v>0</v>
      </c>
      <c r="K1518" s="15">
        <f t="shared" si="93"/>
        <v>1</v>
      </c>
      <c r="L1518" s="3" t="str">
        <f t="shared" si="94"/>
        <v>Friday</v>
      </c>
      <c r="M1518" s="4" t="str">
        <f t="shared" si="95"/>
        <v>Normal Day</v>
      </c>
      <c r="N1518" s="4" t="str">
        <f>TEXT(CleanedData[[#This Row],[DAY]], "mmm yyyy")</f>
        <v>Dec 2024</v>
      </c>
    </row>
    <row r="1519" spans="1:14" x14ac:dyDescent="0.3">
      <c r="A1519" s="5">
        <v>45639</v>
      </c>
      <c r="B1519" s="12">
        <v>855</v>
      </c>
      <c r="C1519" s="12">
        <v>79.5</v>
      </c>
      <c r="D1519" s="2" t="s">
        <v>6</v>
      </c>
      <c r="E1519" s="2" t="s">
        <v>8</v>
      </c>
      <c r="F1519" s="1">
        <v>138</v>
      </c>
      <c r="G1519" s="13">
        <v>786.16080944467171</v>
      </c>
      <c r="H1519" s="14" t="b">
        <v>0</v>
      </c>
      <c r="I1519" s="15">
        <f t="shared" si="92"/>
        <v>855</v>
      </c>
      <c r="J1519" s="15">
        <f t="shared" si="92"/>
        <v>80</v>
      </c>
      <c r="K1519" s="15">
        <f t="shared" si="93"/>
        <v>786</v>
      </c>
      <c r="L1519" s="3" t="str">
        <f t="shared" si="94"/>
        <v>Friday</v>
      </c>
      <c r="M1519" s="4" t="str">
        <f t="shared" si="95"/>
        <v>Normal Day</v>
      </c>
      <c r="N1519" s="4" t="str">
        <f>TEXT(CleanedData[[#This Row],[DAY]], "mmm yyyy")</f>
        <v>Dec 2024</v>
      </c>
    </row>
    <row r="1520" spans="1:14" x14ac:dyDescent="0.3">
      <c r="A1520" s="5">
        <v>45639</v>
      </c>
      <c r="B1520" s="12">
        <v>1281</v>
      </c>
      <c r="C1520" s="12">
        <v>79.5</v>
      </c>
      <c r="D1520" s="2" t="s">
        <v>6</v>
      </c>
      <c r="E1520" s="2" t="s">
        <v>7</v>
      </c>
      <c r="F1520" s="1">
        <v>527</v>
      </c>
      <c r="G1520" s="13">
        <v>1242.3704677299227</v>
      </c>
      <c r="H1520" s="14" t="b">
        <v>0</v>
      </c>
      <c r="I1520" s="15">
        <f t="shared" si="92"/>
        <v>1281</v>
      </c>
      <c r="J1520" s="15">
        <f t="shared" si="92"/>
        <v>80</v>
      </c>
      <c r="K1520" s="15">
        <f t="shared" si="93"/>
        <v>1242</v>
      </c>
      <c r="L1520" s="3" t="str">
        <f t="shared" si="94"/>
        <v>Friday</v>
      </c>
      <c r="M1520" s="4" t="str">
        <f t="shared" si="95"/>
        <v>Normal Day</v>
      </c>
      <c r="N1520" s="4" t="str">
        <f>TEXT(CleanedData[[#This Row],[DAY]], "mmm yyyy")</f>
        <v>Dec 2024</v>
      </c>
    </row>
    <row r="1521" spans="1:14" x14ac:dyDescent="0.3">
      <c r="A1521" s="5">
        <v>45639</v>
      </c>
      <c r="B1521" s="12">
        <v>5400</v>
      </c>
      <c r="C1521" s="12">
        <v>66</v>
      </c>
      <c r="D1521" s="2" t="s">
        <v>9</v>
      </c>
      <c r="E1521" s="2" t="s">
        <v>8</v>
      </c>
      <c r="F1521" s="1">
        <v>3424</v>
      </c>
      <c r="G1521" s="13">
        <v>4764.7904262733246</v>
      </c>
      <c r="H1521" s="14" t="b">
        <v>0</v>
      </c>
      <c r="I1521" s="15">
        <f t="shared" si="92"/>
        <v>5400</v>
      </c>
      <c r="J1521" s="15">
        <f t="shared" si="92"/>
        <v>66</v>
      </c>
      <c r="K1521" s="15">
        <f t="shared" si="93"/>
        <v>4765</v>
      </c>
      <c r="L1521" s="3" t="str">
        <f t="shared" si="94"/>
        <v>Friday</v>
      </c>
      <c r="M1521" s="4" t="str">
        <f t="shared" si="95"/>
        <v>Normal Day</v>
      </c>
      <c r="N1521" s="4" t="str">
        <f>TEXT(CleanedData[[#This Row],[DAY]], "mmm yyyy")</f>
        <v>Dec 2024</v>
      </c>
    </row>
    <row r="1522" spans="1:14" x14ac:dyDescent="0.3">
      <c r="A1522" s="5">
        <v>45639</v>
      </c>
      <c r="B1522" s="12">
        <v>6577.5</v>
      </c>
      <c r="C1522" s="12">
        <v>316.5</v>
      </c>
      <c r="D1522" s="2" t="s">
        <v>10</v>
      </c>
      <c r="E1522" s="2" t="s">
        <v>7</v>
      </c>
      <c r="F1522" s="1">
        <v>3422</v>
      </c>
      <c r="G1522" s="13">
        <v>6474.0610784832788</v>
      </c>
      <c r="H1522" s="14" t="b">
        <v>0</v>
      </c>
      <c r="I1522" s="15">
        <f t="shared" si="92"/>
        <v>6578</v>
      </c>
      <c r="J1522" s="15">
        <f t="shared" si="92"/>
        <v>317</v>
      </c>
      <c r="K1522" s="15">
        <f t="shared" si="93"/>
        <v>6474</v>
      </c>
      <c r="L1522" s="3" t="str">
        <f t="shared" si="94"/>
        <v>Friday</v>
      </c>
      <c r="M1522" s="4" t="str">
        <f t="shared" si="95"/>
        <v>Normal Day</v>
      </c>
      <c r="N1522" s="4" t="str">
        <f>TEXT(CleanedData[[#This Row],[DAY]], "mmm yyyy")</f>
        <v>Dec 2024</v>
      </c>
    </row>
    <row r="1523" spans="1:14" x14ac:dyDescent="0.3">
      <c r="A1523" s="5">
        <v>45640</v>
      </c>
      <c r="B1523" s="12">
        <v>942</v>
      </c>
      <c r="C1523" s="12">
        <v>60</v>
      </c>
      <c r="D1523" s="2" t="s">
        <v>6</v>
      </c>
      <c r="E1523" s="2" t="s">
        <v>8</v>
      </c>
      <c r="F1523" s="1">
        <v>87</v>
      </c>
      <c r="G1523" s="13">
        <v>834.07784472861954</v>
      </c>
      <c r="H1523" s="14" t="b">
        <v>0</v>
      </c>
      <c r="I1523" s="15">
        <f t="shared" si="92"/>
        <v>942</v>
      </c>
      <c r="J1523" s="15">
        <f t="shared" si="92"/>
        <v>60</v>
      </c>
      <c r="K1523" s="15">
        <f t="shared" si="93"/>
        <v>834</v>
      </c>
      <c r="L1523" s="3" t="str">
        <f t="shared" si="94"/>
        <v>Saturday</v>
      </c>
      <c r="M1523" s="4" t="str">
        <f t="shared" si="95"/>
        <v>Normal Day</v>
      </c>
      <c r="N1523" s="4" t="str">
        <f>TEXT(CleanedData[[#This Row],[DAY]], "mmm yyyy")</f>
        <v>Dec 2024</v>
      </c>
    </row>
    <row r="1524" spans="1:14" x14ac:dyDescent="0.3">
      <c r="A1524" s="5">
        <v>45640</v>
      </c>
      <c r="B1524" s="12">
        <v>1651.5</v>
      </c>
      <c r="C1524" s="12">
        <v>60</v>
      </c>
      <c r="D1524" s="2" t="s">
        <v>6</v>
      </c>
      <c r="E1524" s="2" t="s">
        <v>7</v>
      </c>
      <c r="F1524" s="1">
        <v>1082</v>
      </c>
      <c r="G1524" s="13">
        <v>1519.0586180306364</v>
      </c>
      <c r="H1524" s="14" t="b">
        <v>0</v>
      </c>
      <c r="I1524" s="15">
        <f t="shared" si="92"/>
        <v>1652</v>
      </c>
      <c r="J1524" s="15">
        <f t="shared" si="92"/>
        <v>60</v>
      </c>
      <c r="K1524" s="15">
        <f t="shared" si="93"/>
        <v>1519</v>
      </c>
      <c r="L1524" s="3" t="str">
        <f t="shared" si="94"/>
        <v>Saturday</v>
      </c>
      <c r="M1524" s="4" t="str">
        <f t="shared" si="95"/>
        <v>Normal Day</v>
      </c>
      <c r="N1524" s="4" t="str">
        <f>TEXT(CleanedData[[#This Row],[DAY]], "mmm yyyy")</f>
        <v>Dec 2024</v>
      </c>
    </row>
    <row r="1525" spans="1:14" x14ac:dyDescent="0.3">
      <c r="A1525" s="5">
        <v>45640</v>
      </c>
      <c r="B1525" s="12">
        <v>5551.5</v>
      </c>
      <c r="C1525" s="12">
        <v>117</v>
      </c>
      <c r="D1525" s="2" t="s">
        <v>9</v>
      </c>
      <c r="E1525" s="2" t="s">
        <v>8</v>
      </c>
      <c r="F1525" s="1">
        <v>1768</v>
      </c>
      <c r="G1525" s="13">
        <v>4537.1372634151676</v>
      </c>
      <c r="H1525" s="14" t="b">
        <v>0</v>
      </c>
      <c r="I1525" s="15">
        <f t="shared" si="92"/>
        <v>5552</v>
      </c>
      <c r="J1525" s="15">
        <f t="shared" si="92"/>
        <v>117</v>
      </c>
      <c r="K1525" s="15">
        <f t="shared" si="93"/>
        <v>4537</v>
      </c>
      <c r="L1525" s="3" t="str">
        <f t="shared" si="94"/>
        <v>Saturday</v>
      </c>
      <c r="M1525" s="4" t="str">
        <f t="shared" si="95"/>
        <v>Normal Day</v>
      </c>
      <c r="N1525" s="4" t="str">
        <f>TEXT(CleanedData[[#This Row],[DAY]], "mmm yyyy")</f>
        <v>Dec 2024</v>
      </c>
    </row>
    <row r="1526" spans="1:14" x14ac:dyDescent="0.3">
      <c r="A1526" s="5">
        <v>45640</v>
      </c>
      <c r="B1526" s="12">
        <v>7551</v>
      </c>
      <c r="C1526" s="12">
        <v>375</v>
      </c>
      <c r="D1526" s="2" t="s">
        <v>10</v>
      </c>
      <c r="E1526" s="2" t="s">
        <v>7</v>
      </c>
      <c r="F1526" s="1">
        <v>1322</v>
      </c>
      <c r="G1526" s="13">
        <v>7301.7686932854167</v>
      </c>
      <c r="H1526" s="14" t="b">
        <v>0</v>
      </c>
      <c r="I1526" s="15">
        <f t="shared" si="92"/>
        <v>7551</v>
      </c>
      <c r="J1526" s="15">
        <f t="shared" si="92"/>
        <v>375</v>
      </c>
      <c r="K1526" s="15">
        <f t="shared" si="93"/>
        <v>7302</v>
      </c>
      <c r="L1526" s="3" t="str">
        <f t="shared" si="94"/>
        <v>Saturday</v>
      </c>
      <c r="M1526" s="4" t="str">
        <f t="shared" si="95"/>
        <v>Normal Day</v>
      </c>
      <c r="N1526" s="4" t="str">
        <f>TEXT(CleanedData[[#This Row],[DAY]], "mmm yyyy")</f>
        <v>Dec 2024</v>
      </c>
    </row>
    <row r="1527" spans="1:14" x14ac:dyDescent="0.3">
      <c r="A1527" s="5">
        <v>45641</v>
      </c>
      <c r="B1527" s="12">
        <v>1267.5</v>
      </c>
      <c r="C1527" s="12">
        <v>3</v>
      </c>
      <c r="D1527" s="2" t="s">
        <v>6</v>
      </c>
      <c r="E1527" s="2" t="s">
        <v>7</v>
      </c>
      <c r="F1527" s="1">
        <v>453</v>
      </c>
      <c r="G1527" s="13">
        <v>1121.1809363792825</v>
      </c>
      <c r="H1527" s="14" t="b">
        <v>0</v>
      </c>
      <c r="I1527" s="15">
        <f t="shared" si="92"/>
        <v>1268</v>
      </c>
      <c r="J1527" s="15">
        <f t="shared" si="92"/>
        <v>3</v>
      </c>
      <c r="K1527" s="15">
        <f t="shared" si="93"/>
        <v>1121</v>
      </c>
      <c r="L1527" s="3" t="str">
        <f t="shared" si="94"/>
        <v>Sunday</v>
      </c>
      <c r="M1527" s="4" t="str">
        <f t="shared" si="95"/>
        <v>Normal Day</v>
      </c>
      <c r="N1527" s="4" t="str">
        <f>TEXT(CleanedData[[#This Row],[DAY]], "mmm yyyy")</f>
        <v>Dec 2024</v>
      </c>
    </row>
    <row r="1528" spans="1:14" x14ac:dyDescent="0.3">
      <c r="A1528" s="5">
        <v>45641</v>
      </c>
      <c r="B1528" s="12">
        <v>1300.5</v>
      </c>
      <c r="C1528" s="12">
        <v>3</v>
      </c>
      <c r="D1528" s="2" t="s">
        <v>6</v>
      </c>
      <c r="E1528" s="2" t="s">
        <v>8</v>
      </c>
      <c r="F1528" s="1">
        <v>857</v>
      </c>
      <c r="G1528" s="13">
        <v>1059.8054598533683</v>
      </c>
      <c r="H1528" s="14" t="b">
        <v>0</v>
      </c>
      <c r="I1528" s="15">
        <f t="shared" si="92"/>
        <v>1301</v>
      </c>
      <c r="J1528" s="15">
        <f t="shared" si="92"/>
        <v>3</v>
      </c>
      <c r="K1528" s="15">
        <f t="shared" si="93"/>
        <v>1060</v>
      </c>
      <c r="L1528" s="3" t="str">
        <f t="shared" si="94"/>
        <v>Sunday</v>
      </c>
      <c r="M1528" s="4" t="str">
        <f t="shared" si="95"/>
        <v>Normal Day</v>
      </c>
      <c r="N1528" s="4" t="str">
        <f>TEXT(CleanedData[[#This Row],[DAY]], "mmm yyyy")</f>
        <v>Dec 2024</v>
      </c>
    </row>
    <row r="1529" spans="1:14" x14ac:dyDescent="0.3">
      <c r="A1529" s="5">
        <v>45641</v>
      </c>
      <c r="B1529" s="12">
        <v>5242.5</v>
      </c>
      <c r="C1529" s="12">
        <v>31.5</v>
      </c>
      <c r="D1529" s="2" t="s">
        <v>9</v>
      </c>
      <c r="E1529" s="2" t="s">
        <v>8</v>
      </c>
      <c r="F1529" s="1">
        <v>2834</v>
      </c>
      <c r="G1529" s="13">
        <v>4575.9258357072113</v>
      </c>
      <c r="H1529" s="14" t="b">
        <v>0</v>
      </c>
      <c r="I1529" s="15">
        <f t="shared" si="92"/>
        <v>5243</v>
      </c>
      <c r="J1529" s="15">
        <f t="shared" si="92"/>
        <v>32</v>
      </c>
      <c r="K1529" s="15">
        <f t="shared" si="93"/>
        <v>4576</v>
      </c>
      <c r="L1529" s="3" t="str">
        <f t="shared" si="94"/>
        <v>Sunday</v>
      </c>
      <c r="M1529" s="4" t="str">
        <f t="shared" si="95"/>
        <v>Normal Day</v>
      </c>
      <c r="N1529" s="4" t="str">
        <f>TEXT(CleanedData[[#This Row],[DAY]], "mmm yyyy")</f>
        <v>Dec 2024</v>
      </c>
    </row>
    <row r="1530" spans="1:14" x14ac:dyDescent="0.3">
      <c r="A1530" s="5">
        <v>45641</v>
      </c>
      <c r="B1530" s="12">
        <v>7510.5</v>
      </c>
      <c r="C1530" s="12">
        <v>516</v>
      </c>
      <c r="D1530" s="2" t="s">
        <v>10</v>
      </c>
      <c r="E1530" s="2" t="s">
        <v>7</v>
      </c>
      <c r="F1530" s="1">
        <v>341</v>
      </c>
      <c r="G1530" s="13">
        <v>7372.7227882252855</v>
      </c>
      <c r="H1530" s="14" t="b">
        <v>1</v>
      </c>
      <c r="I1530" s="15">
        <f t="shared" si="92"/>
        <v>7511</v>
      </c>
      <c r="J1530" s="15">
        <f t="shared" si="92"/>
        <v>516</v>
      </c>
      <c r="K1530" s="15">
        <f t="shared" si="93"/>
        <v>7373</v>
      </c>
      <c r="L1530" s="3" t="str">
        <f t="shared" si="94"/>
        <v>Sunday</v>
      </c>
      <c r="M1530" s="4" t="str">
        <f t="shared" si="95"/>
        <v>Outage Day</v>
      </c>
      <c r="N1530" s="4" t="str">
        <f>TEXT(CleanedData[[#This Row],[DAY]], "mmm yyyy")</f>
        <v>Dec 2024</v>
      </c>
    </row>
    <row r="1531" spans="1:14" x14ac:dyDescent="0.3">
      <c r="A1531" s="5">
        <v>45642</v>
      </c>
      <c r="B1531" s="12">
        <v>1681.5</v>
      </c>
      <c r="C1531" s="12">
        <v>94.5</v>
      </c>
      <c r="D1531" s="2" t="s">
        <v>6</v>
      </c>
      <c r="E1531" s="2" t="s">
        <v>7</v>
      </c>
      <c r="F1531" s="1">
        <v>542</v>
      </c>
      <c r="G1531" s="13">
        <v>1597.2868278333065</v>
      </c>
      <c r="H1531" s="14" t="b">
        <v>0</v>
      </c>
      <c r="I1531" s="15">
        <f t="shared" si="92"/>
        <v>1682</v>
      </c>
      <c r="J1531" s="15">
        <f t="shared" si="92"/>
        <v>95</v>
      </c>
      <c r="K1531" s="15">
        <f t="shared" si="93"/>
        <v>1597</v>
      </c>
      <c r="L1531" s="3" t="str">
        <f t="shared" si="94"/>
        <v>Monday</v>
      </c>
      <c r="M1531" s="4" t="str">
        <f t="shared" si="95"/>
        <v>Normal Day</v>
      </c>
      <c r="N1531" s="4" t="str">
        <f>TEXT(CleanedData[[#This Row],[DAY]], "mmm yyyy")</f>
        <v>Dec 2024</v>
      </c>
    </row>
    <row r="1532" spans="1:14" x14ac:dyDescent="0.3">
      <c r="A1532" s="5">
        <v>45642</v>
      </c>
      <c r="B1532" s="12">
        <v>2214</v>
      </c>
      <c r="C1532" s="12">
        <v>94.5</v>
      </c>
      <c r="D1532" s="2" t="s">
        <v>6</v>
      </c>
      <c r="E1532" s="2" t="s">
        <v>8</v>
      </c>
      <c r="F1532" s="1">
        <v>119</v>
      </c>
      <c r="G1532" s="13">
        <v>1891.2454055207747</v>
      </c>
      <c r="H1532" s="14" t="b">
        <v>0</v>
      </c>
      <c r="I1532" s="15">
        <f t="shared" si="92"/>
        <v>2214</v>
      </c>
      <c r="J1532" s="15">
        <f t="shared" si="92"/>
        <v>95</v>
      </c>
      <c r="K1532" s="15">
        <f t="shared" si="93"/>
        <v>1891</v>
      </c>
      <c r="L1532" s="3" t="str">
        <f t="shared" si="94"/>
        <v>Monday</v>
      </c>
      <c r="M1532" s="4" t="str">
        <f t="shared" si="95"/>
        <v>Normal Day</v>
      </c>
      <c r="N1532" s="4" t="str">
        <f>TEXT(CleanedData[[#This Row],[DAY]], "mmm yyyy")</f>
        <v>Dec 2024</v>
      </c>
    </row>
    <row r="1533" spans="1:14" x14ac:dyDescent="0.3">
      <c r="A1533" s="5">
        <v>45642</v>
      </c>
      <c r="B1533" s="12">
        <v>3091.5</v>
      </c>
      <c r="C1533" s="12">
        <v>94.5</v>
      </c>
      <c r="D1533" s="2" t="s">
        <v>9</v>
      </c>
      <c r="E1533" s="2" t="s">
        <v>8</v>
      </c>
      <c r="F1533" s="1">
        <v>1244</v>
      </c>
      <c r="G1533" s="13">
        <v>2783.6655227080892</v>
      </c>
      <c r="H1533" s="14" t="b">
        <v>0</v>
      </c>
      <c r="I1533" s="15">
        <f t="shared" si="92"/>
        <v>3092</v>
      </c>
      <c r="J1533" s="15">
        <f t="shared" si="92"/>
        <v>95</v>
      </c>
      <c r="K1533" s="15">
        <f t="shared" si="93"/>
        <v>2784</v>
      </c>
      <c r="L1533" s="3" t="str">
        <f t="shared" si="94"/>
        <v>Monday</v>
      </c>
      <c r="M1533" s="4" t="str">
        <f t="shared" si="95"/>
        <v>Normal Day</v>
      </c>
      <c r="N1533" s="4" t="str">
        <f>TEXT(CleanedData[[#This Row],[DAY]], "mmm yyyy")</f>
        <v>Dec 2024</v>
      </c>
    </row>
    <row r="1534" spans="1:14" x14ac:dyDescent="0.3">
      <c r="A1534" s="5">
        <v>45642</v>
      </c>
      <c r="B1534" s="12">
        <v>5049</v>
      </c>
      <c r="C1534" s="12">
        <v>136.5</v>
      </c>
      <c r="D1534" s="2" t="s">
        <v>10</v>
      </c>
      <c r="E1534" s="2" t="s">
        <v>7</v>
      </c>
      <c r="F1534" s="1">
        <v>591</v>
      </c>
      <c r="G1534" s="13">
        <v>4715.8770306932101</v>
      </c>
      <c r="H1534" s="14" t="b">
        <v>0</v>
      </c>
      <c r="I1534" s="15">
        <f t="shared" si="92"/>
        <v>5049</v>
      </c>
      <c r="J1534" s="15">
        <f t="shared" si="92"/>
        <v>137</v>
      </c>
      <c r="K1534" s="15">
        <f t="shared" si="93"/>
        <v>4716</v>
      </c>
      <c r="L1534" s="3" t="str">
        <f t="shared" si="94"/>
        <v>Monday</v>
      </c>
      <c r="M1534" s="4" t="str">
        <f t="shared" si="95"/>
        <v>Normal Day</v>
      </c>
      <c r="N1534" s="4" t="str">
        <f>TEXT(CleanedData[[#This Row],[DAY]], "mmm yyyy")</f>
        <v>Dec 2024</v>
      </c>
    </row>
    <row r="1535" spans="1:14" x14ac:dyDescent="0.3">
      <c r="A1535" s="5">
        <v>45643</v>
      </c>
      <c r="B1535" s="12">
        <v>759</v>
      </c>
      <c r="C1535" s="12">
        <v>21</v>
      </c>
      <c r="D1535" s="2" t="s">
        <v>6</v>
      </c>
      <c r="E1535" s="2" t="s">
        <v>8</v>
      </c>
      <c r="F1535" s="1">
        <v>74</v>
      </c>
      <c r="G1535" s="13">
        <v>656.46281286120131</v>
      </c>
      <c r="H1535" s="14" t="b">
        <v>0</v>
      </c>
      <c r="I1535" s="15">
        <f t="shared" si="92"/>
        <v>759</v>
      </c>
      <c r="J1535" s="15">
        <f t="shared" si="92"/>
        <v>21</v>
      </c>
      <c r="K1535" s="15">
        <f t="shared" si="93"/>
        <v>656</v>
      </c>
      <c r="L1535" s="3" t="str">
        <f t="shared" si="94"/>
        <v>Tuesday</v>
      </c>
      <c r="M1535" s="4" t="str">
        <f t="shared" si="95"/>
        <v>Normal Day</v>
      </c>
      <c r="N1535" s="4" t="str">
        <f>TEXT(CleanedData[[#This Row],[DAY]], "mmm yyyy")</f>
        <v>Dec 2024</v>
      </c>
    </row>
    <row r="1536" spans="1:14" x14ac:dyDescent="0.3">
      <c r="A1536" s="5">
        <v>45643</v>
      </c>
      <c r="B1536" s="12">
        <v>960</v>
      </c>
      <c r="C1536" s="12">
        <v>21</v>
      </c>
      <c r="D1536" s="2" t="s">
        <v>6</v>
      </c>
      <c r="E1536" s="2" t="s">
        <v>7</v>
      </c>
      <c r="F1536" s="1">
        <v>330</v>
      </c>
      <c r="G1536" s="13">
        <v>862.48500676026993</v>
      </c>
      <c r="H1536" s="14" t="b">
        <v>0</v>
      </c>
      <c r="I1536" s="15">
        <f t="shared" si="92"/>
        <v>960</v>
      </c>
      <c r="J1536" s="15">
        <f t="shared" si="92"/>
        <v>21</v>
      </c>
      <c r="K1536" s="15">
        <f t="shared" si="93"/>
        <v>862</v>
      </c>
      <c r="L1536" s="3" t="str">
        <f t="shared" si="94"/>
        <v>Tuesday</v>
      </c>
      <c r="M1536" s="4" t="str">
        <f t="shared" si="95"/>
        <v>Normal Day</v>
      </c>
      <c r="N1536" s="4" t="str">
        <f>TEXT(CleanedData[[#This Row],[DAY]], "mmm yyyy")</f>
        <v>Dec 2024</v>
      </c>
    </row>
    <row r="1537" spans="1:14" x14ac:dyDescent="0.3">
      <c r="A1537" s="5">
        <v>45643</v>
      </c>
      <c r="B1537" s="12">
        <v>2208</v>
      </c>
      <c r="C1537" s="12">
        <v>87</v>
      </c>
      <c r="D1537" s="2" t="s">
        <v>9</v>
      </c>
      <c r="E1537" s="2" t="s">
        <v>8</v>
      </c>
      <c r="F1537" s="1">
        <v>1223</v>
      </c>
      <c r="G1537" s="13">
        <v>1918.4059871539412</v>
      </c>
      <c r="H1537" s="14" t="b">
        <v>0</v>
      </c>
      <c r="I1537" s="15">
        <f t="shared" si="92"/>
        <v>2208</v>
      </c>
      <c r="J1537" s="15">
        <f t="shared" si="92"/>
        <v>87</v>
      </c>
      <c r="K1537" s="15">
        <f t="shared" si="93"/>
        <v>1918</v>
      </c>
      <c r="L1537" s="3" t="str">
        <f t="shared" si="94"/>
        <v>Tuesday</v>
      </c>
      <c r="M1537" s="4" t="str">
        <f t="shared" si="95"/>
        <v>Normal Day</v>
      </c>
      <c r="N1537" s="4" t="str">
        <f>TEXT(CleanedData[[#This Row],[DAY]], "mmm yyyy")</f>
        <v>Dec 2024</v>
      </c>
    </row>
    <row r="1538" spans="1:14" x14ac:dyDescent="0.3">
      <c r="A1538" s="5">
        <v>45643</v>
      </c>
      <c r="B1538" s="12">
        <v>4051.5</v>
      </c>
      <c r="C1538" s="12">
        <v>273</v>
      </c>
      <c r="D1538" s="2" t="s">
        <v>10</v>
      </c>
      <c r="E1538" s="2" t="s">
        <v>7</v>
      </c>
      <c r="F1538" s="1">
        <v>355</v>
      </c>
      <c r="G1538" s="13">
        <v>3769.9418662994985</v>
      </c>
      <c r="H1538" s="14" t="b">
        <v>0</v>
      </c>
      <c r="I1538" s="15">
        <f t="shared" ref="I1538:J1598" si="96">ROUND(B1538, 0)</f>
        <v>4052</v>
      </c>
      <c r="J1538" s="15">
        <f t="shared" si="96"/>
        <v>273</v>
      </c>
      <c r="K1538" s="15">
        <f t="shared" ref="K1538:K1598" si="97">ROUND(G1538, 0)</f>
        <v>3770</v>
      </c>
      <c r="L1538" s="3" t="str">
        <f t="shared" si="94"/>
        <v>Tuesday</v>
      </c>
      <c r="M1538" s="4" t="str">
        <f t="shared" si="95"/>
        <v>Normal Day</v>
      </c>
      <c r="N1538" s="4" t="str">
        <f>TEXT(CleanedData[[#This Row],[DAY]], "mmm yyyy")</f>
        <v>Dec 2024</v>
      </c>
    </row>
    <row r="1539" spans="1:14" x14ac:dyDescent="0.3">
      <c r="A1539" s="5">
        <v>45644</v>
      </c>
      <c r="B1539" s="12">
        <v>1737</v>
      </c>
      <c r="C1539" s="12">
        <v>16.5</v>
      </c>
      <c r="D1539" s="2" t="s">
        <v>6</v>
      </c>
      <c r="E1539" s="2" t="s">
        <v>8</v>
      </c>
      <c r="F1539" s="1">
        <v>932</v>
      </c>
      <c r="G1539" s="13">
        <v>1442.3532636627442</v>
      </c>
      <c r="H1539" s="14" t="b">
        <v>0</v>
      </c>
      <c r="I1539" s="15">
        <f t="shared" si="96"/>
        <v>1737</v>
      </c>
      <c r="J1539" s="15">
        <f t="shared" si="96"/>
        <v>17</v>
      </c>
      <c r="K1539" s="15">
        <f t="shared" si="97"/>
        <v>1442</v>
      </c>
      <c r="L1539" s="3" t="str">
        <f t="shared" ref="L1539:L1598" si="98">TEXT(A1539,"dddd")</f>
        <v>Wednesday</v>
      </c>
      <c r="M1539" s="4" t="str">
        <f t="shared" ref="M1539:M1598" si="99">IF(H1539=TRUE, "Outage Day", "Normal Day")</f>
        <v>Normal Day</v>
      </c>
      <c r="N1539" s="4" t="str">
        <f>TEXT(CleanedData[[#This Row],[DAY]], "mmm yyyy")</f>
        <v>Dec 2024</v>
      </c>
    </row>
    <row r="1540" spans="1:14" x14ac:dyDescent="0.3">
      <c r="A1540" s="5">
        <v>45644</v>
      </c>
      <c r="B1540" s="12">
        <v>1770</v>
      </c>
      <c r="C1540" s="12">
        <v>16.5</v>
      </c>
      <c r="D1540" s="2" t="s">
        <v>6</v>
      </c>
      <c r="E1540" s="2" t="s">
        <v>7</v>
      </c>
      <c r="F1540" s="1">
        <v>760</v>
      </c>
      <c r="G1540" s="13">
        <v>1650.6789355513572</v>
      </c>
      <c r="H1540" s="14" t="b">
        <v>0</v>
      </c>
      <c r="I1540" s="15">
        <f t="shared" si="96"/>
        <v>1770</v>
      </c>
      <c r="J1540" s="15">
        <f t="shared" si="96"/>
        <v>17</v>
      </c>
      <c r="K1540" s="15">
        <f t="shared" si="97"/>
        <v>1651</v>
      </c>
      <c r="L1540" s="3" t="str">
        <f t="shared" si="98"/>
        <v>Wednesday</v>
      </c>
      <c r="M1540" s="4" t="str">
        <f t="shared" si="99"/>
        <v>Normal Day</v>
      </c>
      <c r="N1540" s="4" t="str">
        <f>TEXT(CleanedData[[#This Row],[DAY]], "mmm yyyy")</f>
        <v>Dec 2024</v>
      </c>
    </row>
    <row r="1541" spans="1:14" x14ac:dyDescent="0.3">
      <c r="A1541" s="5">
        <v>45644</v>
      </c>
      <c r="B1541" s="12">
        <v>2994</v>
      </c>
      <c r="C1541" s="12">
        <v>45</v>
      </c>
      <c r="D1541" s="2" t="s">
        <v>9</v>
      </c>
      <c r="E1541" s="2" t="s">
        <v>8</v>
      </c>
      <c r="F1541" s="1">
        <v>1782</v>
      </c>
      <c r="G1541" s="13">
        <v>2626.9752771930544</v>
      </c>
      <c r="H1541" s="14" t="b">
        <v>0</v>
      </c>
      <c r="I1541" s="15">
        <f t="shared" si="96"/>
        <v>2994</v>
      </c>
      <c r="J1541" s="15">
        <f t="shared" si="96"/>
        <v>45</v>
      </c>
      <c r="K1541" s="15">
        <f t="shared" si="97"/>
        <v>2627</v>
      </c>
      <c r="L1541" s="3" t="str">
        <f t="shared" si="98"/>
        <v>Wednesday</v>
      </c>
      <c r="M1541" s="4" t="str">
        <f t="shared" si="99"/>
        <v>Normal Day</v>
      </c>
      <c r="N1541" s="4" t="str">
        <f>TEXT(CleanedData[[#This Row],[DAY]], "mmm yyyy")</f>
        <v>Dec 2024</v>
      </c>
    </row>
    <row r="1542" spans="1:14" x14ac:dyDescent="0.3">
      <c r="A1542" s="5">
        <v>45644</v>
      </c>
      <c r="B1542" s="12">
        <v>3151.5</v>
      </c>
      <c r="C1542" s="12">
        <v>138</v>
      </c>
      <c r="D1542" s="2" t="s">
        <v>10</v>
      </c>
      <c r="E1542" s="2" t="s">
        <v>7</v>
      </c>
      <c r="F1542" s="1">
        <v>1310</v>
      </c>
      <c r="G1542" s="13">
        <v>2891.6710375821367</v>
      </c>
      <c r="H1542" s="14" t="b">
        <v>0</v>
      </c>
      <c r="I1542" s="15">
        <f t="shared" si="96"/>
        <v>3152</v>
      </c>
      <c r="J1542" s="15">
        <f t="shared" si="96"/>
        <v>138</v>
      </c>
      <c r="K1542" s="15">
        <f t="shared" si="97"/>
        <v>2892</v>
      </c>
      <c r="L1542" s="3" t="str">
        <f t="shared" si="98"/>
        <v>Wednesday</v>
      </c>
      <c r="M1542" s="4" t="str">
        <f t="shared" si="99"/>
        <v>Normal Day</v>
      </c>
      <c r="N1542" s="4" t="str">
        <f>TEXT(CleanedData[[#This Row],[DAY]], "mmm yyyy")</f>
        <v>Dec 2024</v>
      </c>
    </row>
    <row r="1543" spans="1:14" x14ac:dyDescent="0.3">
      <c r="A1543" s="5">
        <v>45645</v>
      </c>
      <c r="B1543" s="12">
        <v>1525.5</v>
      </c>
      <c r="C1543" s="12">
        <v>96</v>
      </c>
      <c r="D1543" s="2" t="s">
        <v>6</v>
      </c>
      <c r="E1543" s="2" t="s">
        <v>7</v>
      </c>
      <c r="F1543" s="1">
        <v>631</v>
      </c>
      <c r="G1543" s="13">
        <v>1501.7852843719288</v>
      </c>
      <c r="H1543" s="14" t="b">
        <v>0</v>
      </c>
      <c r="I1543" s="15">
        <f t="shared" si="96"/>
        <v>1526</v>
      </c>
      <c r="J1543" s="15">
        <f t="shared" si="96"/>
        <v>96</v>
      </c>
      <c r="K1543" s="15">
        <f t="shared" si="97"/>
        <v>1502</v>
      </c>
      <c r="L1543" s="3" t="str">
        <f t="shared" si="98"/>
        <v>Thursday</v>
      </c>
      <c r="M1543" s="4" t="str">
        <f t="shared" si="99"/>
        <v>Normal Day</v>
      </c>
      <c r="N1543" s="4" t="str">
        <f>TEXT(CleanedData[[#This Row],[DAY]], "mmm yyyy")</f>
        <v>Dec 2024</v>
      </c>
    </row>
    <row r="1544" spans="1:14" x14ac:dyDescent="0.3">
      <c r="A1544" s="5">
        <v>45645</v>
      </c>
      <c r="B1544" s="12">
        <v>1575</v>
      </c>
      <c r="C1544" s="12">
        <v>96</v>
      </c>
      <c r="D1544" s="2" t="s">
        <v>6</v>
      </c>
      <c r="E1544" s="2" t="s">
        <v>8</v>
      </c>
      <c r="F1544" s="1">
        <v>682</v>
      </c>
      <c r="G1544" s="13">
        <v>1446.6658349917434</v>
      </c>
      <c r="H1544" s="14" t="b">
        <v>0</v>
      </c>
      <c r="I1544" s="15">
        <f t="shared" si="96"/>
        <v>1575</v>
      </c>
      <c r="J1544" s="15">
        <f t="shared" si="96"/>
        <v>96</v>
      </c>
      <c r="K1544" s="15">
        <f t="shared" si="97"/>
        <v>1447</v>
      </c>
      <c r="L1544" s="3" t="str">
        <f t="shared" si="98"/>
        <v>Thursday</v>
      </c>
      <c r="M1544" s="4" t="str">
        <f t="shared" si="99"/>
        <v>Normal Day</v>
      </c>
      <c r="N1544" s="4" t="str">
        <f>TEXT(CleanedData[[#This Row],[DAY]], "mmm yyyy")</f>
        <v>Dec 2024</v>
      </c>
    </row>
    <row r="1545" spans="1:14" x14ac:dyDescent="0.3">
      <c r="A1545" s="5">
        <v>45645</v>
      </c>
      <c r="B1545" s="12">
        <v>3406.5</v>
      </c>
      <c r="C1545" s="12">
        <v>15</v>
      </c>
      <c r="D1545" s="2" t="s">
        <v>9</v>
      </c>
      <c r="E1545" s="2" t="s">
        <v>8</v>
      </c>
      <c r="F1545" s="1">
        <v>2010</v>
      </c>
      <c r="G1545" s="13">
        <v>3023.8316120415934</v>
      </c>
      <c r="H1545" s="14" t="b">
        <v>0</v>
      </c>
      <c r="I1545" s="15">
        <f t="shared" si="96"/>
        <v>3407</v>
      </c>
      <c r="J1545" s="15">
        <f t="shared" si="96"/>
        <v>15</v>
      </c>
      <c r="K1545" s="15">
        <f t="shared" si="97"/>
        <v>3024</v>
      </c>
      <c r="L1545" s="3" t="str">
        <f t="shared" si="98"/>
        <v>Thursday</v>
      </c>
      <c r="M1545" s="4" t="str">
        <f t="shared" si="99"/>
        <v>Normal Day</v>
      </c>
      <c r="N1545" s="4" t="str">
        <f>TEXT(CleanedData[[#This Row],[DAY]], "mmm yyyy")</f>
        <v>Dec 2024</v>
      </c>
    </row>
    <row r="1546" spans="1:14" x14ac:dyDescent="0.3">
      <c r="A1546" s="5">
        <v>45645</v>
      </c>
      <c r="B1546" s="12">
        <v>4246.5</v>
      </c>
      <c r="C1546" s="12">
        <v>18</v>
      </c>
      <c r="D1546" s="2" t="s">
        <v>10</v>
      </c>
      <c r="E1546" s="2" t="s">
        <v>7</v>
      </c>
      <c r="F1546" s="1">
        <v>1256</v>
      </c>
      <c r="G1546" s="13">
        <v>3837.0264532584001</v>
      </c>
      <c r="H1546" s="14" t="b">
        <v>0</v>
      </c>
      <c r="I1546" s="15">
        <f t="shared" si="96"/>
        <v>4247</v>
      </c>
      <c r="J1546" s="15">
        <f t="shared" si="96"/>
        <v>18</v>
      </c>
      <c r="K1546" s="15">
        <f t="shared" si="97"/>
        <v>3837</v>
      </c>
      <c r="L1546" s="3" t="str">
        <f t="shared" si="98"/>
        <v>Thursday</v>
      </c>
      <c r="M1546" s="4" t="str">
        <f t="shared" si="99"/>
        <v>Normal Day</v>
      </c>
      <c r="N1546" s="4" t="str">
        <f>TEXT(CleanedData[[#This Row],[DAY]], "mmm yyyy")</f>
        <v>Dec 2024</v>
      </c>
    </row>
    <row r="1547" spans="1:14" x14ac:dyDescent="0.3">
      <c r="A1547" s="5">
        <v>45646</v>
      </c>
      <c r="B1547" s="12">
        <v>1260</v>
      </c>
      <c r="C1547" s="12">
        <v>48</v>
      </c>
      <c r="D1547" s="2" t="s">
        <v>6</v>
      </c>
      <c r="E1547" s="2" t="s">
        <v>8</v>
      </c>
      <c r="F1547" s="1">
        <v>695</v>
      </c>
      <c r="G1547" s="13">
        <v>1068.255123511158</v>
      </c>
      <c r="H1547" s="14" t="b">
        <v>0</v>
      </c>
      <c r="I1547" s="15">
        <f t="shared" si="96"/>
        <v>1260</v>
      </c>
      <c r="J1547" s="15">
        <f t="shared" si="96"/>
        <v>48</v>
      </c>
      <c r="K1547" s="15">
        <f t="shared" si="97"/>
        <v>1068</v>
      </c>
      <c r="L1547" s="3" t="str">
        <f t="shared" si="98"/>
        <v>Friday</v>
      </c>
      <c r="M1547" s="4" t="str">
        <f t="shared" si="99"/>
        <v>Normal Day</v>
      </c>
      <c r="N1547" s="4" t="str">
        <f>TEXT(CleanedData[[#This Row],[DAY]], "mmm yyyy")</f>
        <v>Dec 2024</v>
      </c>
    </row>
    <row r="1548" spans="1:14" x14ac:dyDescent="0.3">
      <c r="A1548" s="5">
        <v>45646</v>
      </c>
      <c r="B1548" s="12">
        <v>1596</v>
      </c>
      <c r="C1548" s="12">
        <v>48</v>
      </c>
      <c r="D1548" s="2" t="s">
        <v>6</v>
      </c>
      <c r="E1548" s="2" t="s">
        <v>7</v>
      </c>
      <c r="F1548" s="1">
        <v>964</v>
      </c>
      <c r="G1548" s="13">
        <v>1533.5656183670724</v>
      </c>
      <c r="H1548" s="14" t="b">
        <v>0</v>
      </c>
      <c r="I1548" s="15">
        <f t="shared" si="96"/>
        <v>1596</v>
      </c>
      <c r="J1548" s="15">
        <f t="shared" si="96"/>
        <v>48</v>
      </c>
      <c r="K1548" s="15">
        <f t="shared" si="97"/>
        <v>1534</v>
      </c>
      <c r="L1548" s="3" t="str">
        <f t="shared" si="98"/>
        <v>Friday</v>
      </c>
      <c r="M1548" s="4" t="str">
        <f t="shared" si="99"/>
        <v>Normal Day</v>
      </c>
      <c r="N1548" s="4" t="str">
        <f>TEXT(CleanedData[[#This Row],[DAY]], "mmm yyyy")</f>
        <v>Dec 2024</v>
      </c>
    </row>
    <row r="1549" spans="1:14" x14ac:dyDescent="0.3">
      <c r="A1549" s="5">
        <v>45646</v>
      </c>
      <c r="B1549" s="12">
        <v>4542</v>
      </c>
      <c r="C1549" s="12">
        <v>118.5</v>
      </c>
      <c r="D1549" s="2" t="s">
        <v>9</v>
      </c>
      <c r="E1549" s="2" t="s">
        <v>8</v>
      </c>
      <c r="F1549" s="1">
        <v>2678</v>
      </c>
      <c r="G1549" s="13">
        <v>3944.5149787551122</v>
      </c>
      <c r="H1549" s="14" t="b">
        <v>0</v>
      </c>
      <c r="I1549" s="15">
        <f t="shared" si="96"/>
        <v>4542</v>
      </c>
      <c r="J1549" s="15">
        <f t="shared" si="96"/>
        <v>119</v>
      </c>
      <c r="K1549" s="15">
        <f t="shared" si="97"/>
        <v>3945</v>
      </c>
      <c r="L1549" s="3" t="str">
        <f t="shared" si="98"/>
        <v>Friday</v>
      </c>
      <c r="M1549" s="4" t="str">
        <f t="shared" si="99"/>
        <v>Normal Day</v>
      </c>
      <c r="N1549" s="4" t="str">
        <f>TEXT(CleanedData[[#This Row],[DAY]], "mmm yyyy")</f>
        <v>Dec 2024</v>
      </c>
    </row>
    <row r="1550" spans="1:14" x14ac:dyDescent="0.3">
      <c r="A1550" s="5">
        <v>45646</v>
      </c>
      <c r="B1550" s="12">
        <v>4971</v>
      </c>
      <c r="C1550" s="12">
        <v>40.5</v>
      </c>
      <c r="D1550" s="2" t="s">
        <v>10</v>
      </c>
      <c r="E1550" s="2" t="s">
        <v>7</v>
      </c>
      <c r="F1550" s="1">
        <v>377</v>
      </c>
      <c r="G1550" s="13">
        <v>4405.7219645752875</v>
      </c>
      <c r="H1550" s="14" t="b">
        <v>0</v>
      </c>
      <c r="I1550" s="15">
        <f t="shared" si="96"/>
        <v>4971</v>
      </c>
      <c r="J1550" s="15">
        <f t="shared" si="96"/>
        <v>41</v>
      </c>
      <c r="K1550" s="15">
        <f t="shared" si="97"/>
        <v>4406</v>
      </c>
      <c r="L1550" s="3" t="str">
        <f t="shared" si="98"/>
        <v>Friday</v>
      </c>
      <c r="M1550" s="4" t="str">
        <f t="shared" si="99"/>
        <v>Normal Day</v>
      </c>
      <c r="N1550" s="4" t="str">
        <f>TEXT(CleanedData[[#This Row],[DAY]], "mmm yyyy")</f>
        <v>Dec 2024</v>
      </c>
    </row>
    <row r="1551" spans="1:14" x14ac:dyDescent="0.3">
      <c r="A1551" s="5">
        <v>45647</v>
      </c>
      <c r="B1551" s="12">
        <v>1314</v>
      </c>
      <c r="C1551" s="12">
        <v>61.5</v>
      </c>
      <c r="D1551" s="2" t="s">
        <v>6</v>
      </c>
      <c r="E1551" s="2" t="s">
        <v>7</v>
      </c>
      <c r="F1551" s="1">
        <v>850</v>
      </c>
      <c r="G1551" s="13">
        <v>1276.3297767849879</v>
      </c>
      <c r="H1551" s="14" t="b">
        <v>0</v>
      </c>
      <c r="I1551" s="15">
        <f t="shared" si="96"/>
        <v>1314</v>
      </c>
      <c r="J1551" s="15">
        <f t="shared" si="96"/>
        <v>62</v>
      </c>
      <c r="K1551" s="15">
        <f t="shared" si="97"/>
        <v>1276</v>
      </c>
      <c r="L1551" s="3" t="str">
        <f t="shared" si="98"/>
        <v>Saturday</v>
      </c>
      <c r="M1551" s="4" t="str">
        <f t="shared" si="99"/>
        <v>Normal Day</v>
      </c>
      <c r="N1551" s="4" t="str">
        <f>TEXT(CleanedData[[#This Row],[DAY]], "mmm yyyy")</f>
        <v>Dec 2024</v>
      </c>
    </row>
    <row r="1552" spans="1:14" x14ac:dyDescent="0.3">
      <c r="A1552" s="5">
        <v>45647</v>
      </c>
      <c r="B1552" s="12">
        <v>1342.5</v>
      </c>
      <c r="C1552" s="12">
        <v>61.5</v>
      </c>
      <c r="D1552" s="2" t="s">
        <v>6</v>
      </c>
      <c r="E1552" s="2" t="s">
        <v>8</v>
      </c>
      <c r="F1552" s="1">
        <v>853</v>
      </c>
      <c r="G1552" s="13">
        <v>1140.3996442174491</v>
      </c>
      <c r="H1552" s="14" t="b">
        <v>0</v>
      </c>
      <c r="I1552" s="15">
        <f t="shared" si="96"/>
        <v>1343</v>
      </c>
      <c r="J1552" s="15">
        <f t="shared" si="96"/>
        <v>62</v>
      </c>
      <c r="K1552" s="15">
        <f t="shared" si="97"/>
        <v>1140</v>
      </c>
      <c r="L1552" s="3" t="str">
        <f t="shared" si="98"/>
        <v>Saturday</v>
      </c>
      <c r="M1552" s="4" t="str">
        <f t="shared" si="99"/>
        <v>Normal Day</v>
      </c>
      <c r="N1552" s="4" t="str">
        <f>TEXT(CleanedData[[#This Row],[DAY]], "mmm yyyy")</f>
        <v>Dec 2024</v>
      </c>
    </row>
    <row r="1553" spans="1:14" x14ac:dyDescent="0.3">
      <c r="A1553" s="5">
        <v>45647</v>
      </c>
      <c r="B1553" s="12">
        <v>4305</v>
      </c>
      <c r="C1553" s="12">
        <v>84</v>
      </c>
      <c r="D1553" s="2" t="s">
        <v>9</v>
      </c>
      <c r="E1553" s="2" t="s">
        <v>8</v>
      </c>
      <c r="F1553" s="1">
        <v>1727</v>
      </c>
      <c r="G1553" s="13">
        <v>3613.0401984031419</v>
      </c>
      <c r="H1553" s="14" t="b">
        <v>0</v>
      </c>
      <c r="I1553" s="15">
        <f t="shared" si="96"/>
        <v>4305</v>
      </c>
      <c r="J1553" s="15">
        <f t="shared" si="96"/>
        <v>84</v>
      </c>
      <c r="K1553" s="15">
        <f t="shared" si="97"/>
        <v>3613</v>
      </c>
      <c r="L1553" s="3" t="str">
        <f t="shared" si="98"/>
        <v>Saturday</v>
      </c>
      <c r="M1553" s="4" t="str">
        <f t="shared" si="99"/>
        <v>Normal Day</v>
      </c>
      <c r="N1553" s="4" t="str">
        <f>TEXT(CleanedData[[#This Row],[DAY]], "mmm yyyy")</f>
        <v>Dec 2024</v>
      </c>
    </row>
    <row r="1554" spans="1:14" x14ac:dyDescent="0.3">
      <c r="A1554" s="5">
        <v>45647</v>
      </c>
      <c r="B1554" s="12">
        <v>6025.5</v>
      </c>
      <c r="C1554" s="12">
        <v>207</v>
      </c>
      <c r="D1554" s="2" t="s">
        <v>10</v>
      </c>
      <c r="E1554" s="2" t="s">
        <v>7</v>
      </c>
      <c r="F1554" s="1">
        <v>972</v>
      </c>
      <c r="G1554" s="13">
        <v>5842.4380278518274</v>
      </c>
      <c r="H1554" s="14" t="b">
        <v>0</v>
      </c>
      <c r="I1554" s="15">
        <f t="shared" si="96"/>
        <v>6026</v>
      </c>
      <c r="J1554" s="15">
        <f t="shared" si="96"/>
        <v>207</v>
      </c>
      <c r="K1554" s="15">
        <f t="shared" si="97"/>
        <v>5842</v>
      </c>
      <c r="L1554" s="3" t="str">
        <f t="shared" si="98"/>
        <v>Saturday</v>
      </c>
      <c r="M1554" s="4" t="str">
        <f t="shared" si="99"/>
        <v>Normal Day</v>
      </c>
      <c r="N1554" s="4" t="str">
        <f>TEXT(CleanedData[[#This Row],[DAY]], "mmm yyyy")</f>
        <v>Dec 2024</v>
      </c>
    </row>
    <row r="1555" spans="1:14" x14ac:dyDescent="0.3">
      <c r="A1555" s="5">
        <v>45648</v>
      </c>
      <c r="B1555" s="12">
        <v>2022</v>
      </c>
      <c r="C1555" s="12">
        <v>124.5</v>
      </c>
      <c r="D1555" s="2" t="s">
        <v>6</v>
      </c>
      <c r="E1555" s="2" t="s">
        <v>8</v>
      </c>
      <c r="F1555" s="1">
        <v>1272</v>
      </c>
      <c r="G1555" s="13">
        <v>1863.7943339703688</v>
      </c>
      <c r="H1555" s="14" t="b">
        <v>0</v>
      </c>
      <c r="I1555" s="15">
        <f t="shared" si="96"/>
        <v>2022</v>
      </c>
      <c r="J1555" s="15">
        <f t="shared" si="96"/>
        <v>125</v>
      </c>
      <c r="K1555" s="15">
        <f t="shared" si="97"/>
        <v>1864</v>
      </c>
      <c r="L1555" s="3" t="str">
        <f t="shared" si="98"/>
        <v>Sunday</v>
      </c>
      <c r="M1555" s="4" t="str">
        <f t="shared" si="99"/>
        <v>Normal Day</v>
      </c>
      <c r="N1555" s="4" t="str">
        <f>TEXT(CleanedData[[#This Row],[DAY]], "mmm yyyy")</f>
        <v>Dec 2024</v>
      </c>
    </row>
    <row r="1556" spans="1:14" x14ac:dyDescent="0.3">
      <c r="A1556" s="5">
        <v>45648</v>
      </c>
      <c r="B1556" s="12">
        <v>2031</v>
      </c>
      <c r="C1556" s="12">
        <v>124.5</v>
      </c>
      <c r="D1556" s="2" t="s">
        <v>6</v>
      </c>
      <c r="E1556" s="2" t="s">
        <v>7</v>
      </c>
      <c r="F1556" s="1">
        <v>1293</v>
      </c>
      <c r="G1556" s="13">
        <v>1991.291292606051</v>
      </c>
      <c r="H1556" s="14" t="b">
        <v>0</v>
      </c>
      <c r="I1556" s="15">
        <f t="shared" si="96"/>
        <v>2031</v>
      </c>
      <c r="J1556" s="15">
        <f t="shared" si="96"/>
        <v>125</v>
      </c>
      <c r="K1556" s="15">
        <f t="shared" si="97"/>
        <v>1991</v>
      </c>
      <c r="L1556" s="3" t="str">
        <f t="shared" si="98"/>
        <v>Sunday</v>
      </c>
      <c r="M1556" s="4" t="str">
        <f t="shared" si="99"/>
        <v>Normal Day</v>
      </c>
      <c r="N1556" s="4" t="str">
        <f>TEXT(CleanedData[[#This Row],[DAY]], "mmm yyyy")</f>
        <v>Dec 2024</v>
      </c>
    </row>
    <row r="1557" spans="1:14" x14ac:dyDescent="0.3">
      <c r="A1557" s="5">
        <v>45648</v>
      </c>
      <c r="B1557" s="12">
        <v>5046</v>
      </c>
      <c r="C1557" s="12">
        <v>180</v>
      </c>
      <c r="D1557" s="2" t="s">
        <v>9</v>
      </c>
      <c r="E1557" s="2" t="s">
        <v>8</v>
      </c>
      <c r="F1557" s="1">
        <v>3211</v>
      </c>
      <c r="G1557" s="13">
        <v>4469.2922739748265</v>
      </c>
      <c r="H1557" s="14" t="b">
        <v>0</v>
      </c>
      <c r="I1557" s="15">
        <f t="shared" si="96"/>
        <v>5046</v>
      </c>
      <c r="J1557" s="15">
        <f t="shared" si="96"/>
        <v>180</v>
      </c>
      <c r="K1557" s="15">
        <f t="shared" si="97"/>
        <v>4469</v>
      </c>
      <c r="L1557" s="3" t="str">
        <f t="shared" si="98"/>
        <v>Sunday</v>
      </c>
      <c r="M1557" s="4" t="str">
        <f t="shared" si="99"/>
        <v>Normal Day</v>
      </c>
      <c r="N1557" s="4" t="str">
        <f>TEXT(CleanedData[[#This Row],[DAY]], "mmm yyyy")</f>
        <v>Dec 2024</v>
      </c>
    </row>
    <row r="1558" spans="1:14" x14ac:dyDescent="0.3">
      <c r="A1558" s="5">
        <v>45648</v>
      </c>
      <c r="B1558" s="12">
        <v>5133</v>
      </c>
      <c r="C1558" s="12">
        <v>333</v>
      </c>
      <c r="D1558" s="2" t="s">
        <v>10</v>
      </c>
      <c r="E1558" s="2" t="s">
        <v>7</v>
      </c>
      <c r="F1558" s="1">
        <v>2751</v>
      </c>
      <c r="G1558" s="13">
        <v>5137.7394365082982</v>
      </c>
      <c r="H1558" s="14" t="b">
        <v>0</v>
      </c>
      <c r="I1558" s="15">
        <f t="shared" si="96"/>
        <v>5133</v>
      </c>
      <c r="J1558" s="15">
        <f t="shared" si="96"/>
        <v>333</v>
      </c>
      <c r="K1558" s="15">
        <f t="shared" si="97"/>
        <v>5138</v>
      </c>
      <c r="L1558" s="3" t="str">
        <f t="shared" si="98"/>
        <v>Sunday</v>
      </c>
      <c r="M1558" s="4" t="str">
        <f t="shared" si="99"/>
        <v>Normal Day</v>
      </c>
      <c r="N1558" s="4" t="str">
        <f>TEXT(CleanedData[[#This Row],[DAY]], "mmm yyyy")</f>
        <v>Dec 2024</v>
      </c>
    </row>
    <row r="1559" spans="1:14" x14ac:dyDescent="0.3">
      <c r="A1559" s="5">
        <v>45649</v>
      </c>
      <c r="B1559" s="12">
        <v>550.5</v>
      </c>
      <c r="C1559" s="12">
        <v>13.5</v>
      </c>
      <c r="D1559" s="2" t="s">
        <v>6</v>
      </c>
      <c r="E1559" s="2" t="s">
        <v>7</v>
      </c>
      <c r="F1559" s="1">
        <v>328</v>
      </c>
      <c r="G1559" s="13">
        <v>491.37564656819615</v>
      </c>
      <c r="H1559" s="14" t="b">
        <v>1</v>
      </c>
      <c r="I1559" s="15">
        <f t="shared" si="96"/>
        <v>551</v>
      </c>
      <c r="J1559" s="15">
        <f t="shared" si="96"/>
        <v>14</v>
      </c>
      <c r="K1559" s="15">
        <f t="shared" si="97"/>
        <v>491</v>
      </c>
      <c r="L1559" s="3" t="str">
        <f t="shared" si="98"/>
        <v>Monday</v>
      </c>
      <c r="M1559" s="4" t="str">
        <f t="shared" si="99"/>
        <v>Outage Day</v>
      </c>
      <c r="N1559" s="4" t="str">
        <f>TEXT(CleanedData[[#This Row],[DAY]], "mmm yyyy")</f>
        <v>Dec 2024</v>
      </c>
    </row>
    <row r="1560" spans="1:14" x14ac:dyDescent="0.3">
      <c r="A1560" s="5">
        <v>45649</v>
      </c>
      <c r="B1560" s="12">
        <v>583.5</v>
      </c>
      <c r="C1560" s="12">
        <v>13.5</v>
      </c>
      <c r="D1560" s="2" t="s">
        <v>6</v>
      </c>
      <c r="E1560" s="2" t="s">
        <v>8</v>
      </c>
      <c r="F1560" s="1">
        <v>186</v>
      </c>
      <c r="G1560" s="13">
        <v>481.28330369323629</v>
      </c>
      <c r="H1560" s="14" t="b">
        <v>1</v>
      </c>
      <c r="I1560" s="15">
        <f t="shared" si="96"/>
        <v>584</v>
      </c>
      <c r="J1560" s="15">
        <f t="shared" si="96"/>
        <v>14</v>
      </c>
      <c r="K1560" s="15">
        <f t="shared" si="97"/>
        <v>481</v>
      </c>
      <c r="L1560" s="3" t="str">
        <f t="shared" si="98"/>
        <v>Monday</v>
      </c>
      <c r="M1560" s="4" t="str">
        <f t="shared" si="99"/>
        <v>Outage Day</v>
      </c>
      <c r="N1560" s="4" t="str">
        <f>TEXT(CleanedData[[#This Row],[DAY]], "mmm yyyy")</f>
        <v>Dec 2024</v>
      </c>
    </row>
    <row r="1561" spans="1:14" x14ac:dyDescent="0.3">
      <c r="A1561" s="5">
        <v>45649</v>
      </c>
      <c r="B1561" s="12">
        <v>1950</v>
      </c>
      <c r="C1561" s="12">
        <v>48</v>
      </c>
      <c r="D1561" s="2" t="s">
        <v>10</v>
      </c>
      <c r="E1561" s="2" t="s">
        <v>7</v>
      </c>
      <c r="F1561" s="1">
        <v>809</v>
      </c>
      <c r="G1561" s="13">
        <v>1867.1130044794081</v>
      </c>
      <c r="H1561" s="14" t="b">
        <v>0</v>
      </c>
      <c r="I1561" s="15">
        <f t="shared" si="96"/>
        <v>1950</v>
      </c>
      <c r="J1561" s="15">
        <f t="shared" si="96"/>
        <v>48</v>
      </c>
      <c r="K1561" s="15">
        <f t="shared" si="97"/>
        <v>1867</v>
      </c>
      <c r="L1561" s="3" t="str">
        <f t="shared" si="98"/>
        <v>Monday</v>
      </c>
      <c r="M1561" s="4" t="str">
        <f t="shared" si="99"/>
        <v>Normal Day</v>
      </c>
      <c r="N1561" s="4" t="str">
        <f>TEXT(CleanedData[[#This Row],[DAY]], "mmm yyyy")</f>
        <v>Dec 2024</v>
      </c>
    </row>
    <row r="1562" spans="1:14" x14ac:dyDescent="0.3">
      <c r="A1562" s="5">
        <v>45649</v>
      </c>
      <c r="B1562" s="12">
        <v>2047.5</v>
      </c>
      <c r="C1562" s="12">
        <v>93</v>
      </c>
      <c r="D1562" s="2" t="s">
        <v>9</v>
      </c>
      <c r="E1562" s="2" t="s">
        <v>8</v>
      </c>
      <c r="F1562" s="1">
        <v>1235</v>
      </c>
      <c r="G1562" s="13">
        <v>1823.9319390085411</v>
      </c>
      <c r="H1562" s="14" t="b">
        <v>0</v>
      </c>
      <c r="I1562" s="15">
        <f t="shared" si="96"/>
        <v>2048</v>
      </c>
      <c r="J1562" s="15">
        <f t="shared" si="96"/>
        <v>93</v>
      </c>
      <c r="K1562" s="15">
        <f t="shared" si="97"/>
        <v>1824</v>
      </c>
      <c r="L1562" s="3" t="str">
        <f t="shared" si="98"/>
        <v>Monday</v>
      </c>
      <c r="M1562" s="4" t="str">
        <f t="shared" si="99"/>
        <v>Normal Day</v>
      </c>
      <c r="N1562" s="4" t="str">
        <f>TEXT(CleanedData[[#This Row],[DAY]], "mmm yyyy")</f>
        <v>Dec 2024</v>
      </c>
    </row>
    <row r="1563" spans="1:14" x14ac:dyDescent="0.3">
      <c r="A1563" s="5">
        <v>45650</v>
      </c>
      <c r="B1563" s="12">
        <v>1528.5</v>
      </c>
      <c r="C1563" s="12">
        <v>36</v>
      </c>
      <c r="D1563" s="2" t="s">
        <v>6</v>
      </c>
      <c r="E1563" s="2" t="s">
        <v>7</v>
      </c>
      <c r="F1563" s="1">
        <v>120</v>
      </c>
      <c r="G1563" s="13">
        <v>1384.6572600611355</v>
      </c>
      <c r="H1563" s="14" t="b">
        <v>0</v>
      </c>
      <c r="I1563" s="15">
        <f t="shared" si="96"/>
        <v>1529</v>
      </c>
      <c r="J1563" s="15">
        <f t="shared" si="96"/>
        <v>36</v>
      </c>
      <c r="K1563" s="15">
        <f t="shared" si="97"/>
        <v>1385</v>
      </c>
      <c r="L1563" s="3" t="str">
        <f t="shared" si="98"/>
        <v>Tuesday</v>
      </c>
      <c r="M1563" s="4" t="str">
        <f t="shared" si="99"/>
        <v>Normal Day</v>
      </c>
      <c r="N1563" s="4" t="str">
        <f>TEXT(CleanedData[[#This Row],[DAY]], "mmm yyyy")</f>
        <v>Dec 2024</v>
      </c>
    </row>
    <row r="1564" spans="1:14" x14ac:dyDescent="0.3">
      <c r="A1564" s="5">
        <v>45650</v>
      </c>
      <c r="B1564" s="12">
        <v>1620</v>
      </c>
      <c r="C1564" s="12">
        <v>36</v>
      </c>
      <c r="D1564" s="2" t="s">
        <v>6</v>
      </c>
      <c r="E1564" s="2" t="s">
        <v>8</v>
      </c>
      <c r="F1564" s="1">
        <v>113</v>
      </c>
      <c r="G1564" s="13">
        <v>1354.3216459727564</v>
      </c>
      <c r="H1564" s="14" t="b">
        <v>0</v>
      </c>
      <c r="I1564" s="15">
        <f t="shared" si="96"/>
        <v>1620</v>
      </c>
      <c r="J1564" s="15">
        <f t="shared" si="96"/>
        <v>36</v>
      </c>
      <c r="K1564" s="15">
        <f t="shared" si="97"/>
        <v>1354</v>
      </c>
      <c r="L1564" s="3" t="str">
        <f t="shared" si="98"/>
        <v>Tuesday</v>
      </c>
      <c r="M1564" s="4" t="str">
        <f t="shared" si="99"/>
        <v>Normal Day</v>
      </c>
      <c r="N1564" s="4" t="str">
        <f>TEXT(CleanedData[[#This Row],[DAY]], "mmm yyyy")</f>
        <v>Dec 2024</v>
      </c>
    </row>
    <row r="1565" spans="1:14" x14ac:dyDescent="0.3">
      <c r="A1565" s="5">
        <v>45650</v>
      </c>
      <c r="B1565" s="12">
        <v>3901.5</v>
      </c>
      <c r="C1565" s="12">
        <v>142.5</v>
      </c>
      <c r="D1565" s="2" t="s">
        <v>10</v>
      </c>
      <c r="E1565" s="2" t="s">
        <v>7</v>
      </c>
      <c r="F1565" s="1">
        <v>2182</v>
      </c>
      <c r="G1565" s="13">
        <v>3712.1769802719205</v>
      </c>
      <c r="H1565" s="14" t="b">
        <v>0</v>
      </c>
      <c r="I1565" s="15">
        <f t="shared" si="96"/>
        <v>3902</v>
      </c>
      <c r="J1565" s="15">
        <f t="shared" si="96"/>
        <v>143</v>
      </c>
      <c r="K1565" s="15">
        <f t="shared" si="97"/>
        <v>3712</v>
      </c>
      <c r="L1565" s="3" t="str">
        <f t="shared" si="98"/>
        <v>Tuesday</v>
      </c>
      <c r="M1565" s="4" t="str">
        <f t="shared" si="99"/>
        <v>Normal Day</v>
      </c>
      <c r="N1565" s="4" t="str">
        <f>TEXT(CleanedData[[#This Row],[DAY]], "mmm yyyy")</f>
        <v>Dec 2024</v>
      </c>
    </row>
    <row r="1566" spans="1:14" x14ac:dyDescent="0.3">
      <c r="A1566" s="5">
        <v>45650</v>
      </c>
      <c r="B1566" s="12">
        <v>4761</v>
      </c>
      <c r="C1566" s="12">
        <v>48</v>
      </c>
      <c r="D1566" s="2" t="s">
        <v>9</v>
      </c>
      <c r="E1566" s="2" t="s">
        <v>8</v>
      </c>
      <c r="F1566" s="1">
        <v>2548</v>
      </c>
      <c r="G1566" s="13">
        <v>3860.9568243456079</v>
      </c>
      <c r="H1566" s="14" t="b">
        <v>1</v>
      </c>
      <c r="I1566" s="15">
        <f t="shared" si="96"/>
        <v>4761</v>
      </c>
      <c r="J1566" s="15">
        <f t="shared" si="96"/>
        <v>48</v>
      </c>
      <c r="K1566" s="15">
        <f t="shared" si="97"/>
        <v>3861</v>
      </c>
      <c r="L1566" s="3" t="str">
        <f t="shared" si="98"/>
        <v>Tuesday</v>
      </c>
      <c r="M1566" s="4" t="str">
        <f t="shared" si="99"/>
        <v>Outage Day</v>
      </c>
      <c r="N1566" s="4" t="str">
        <f>TEXT(CleanedData[[#This Row],[DAY]], "mmm yyyy")</f>
        <v>Dec 2024</v>
      </c>
    </row>
    <row r="1567" spans="1:14" x14ac:dyDescent="0.3">
      <c r="A1567" s="5">
        <v>45651</v>
      </c>
      <c r="B1567" s="12">
        <v>1.5</v>
      </c>
      <c r="C1567" s="12">
        <v>0</v>
      </c>
      <c r="D1567" s="2" t="s">
        <v>9</v>
      </c>
      <c r="E1567" s="2" t="s">
        <v>7</v>
      </c>
      <c r="F1567" s="1">
        <v>1</v>
      </c>
      <c r="G1567" s="13">
        <v>1.3257764565628065</v>
      </c>
      <c r="H1567" s="14" t="b">
        <v>0</v>
      </c>
      <c r="I1567" s="15">
        <f t="shared" si="96"/>
        <v>2</v>
      </c>
      <c r="J1567" s="15">
        <f t="shared" si="96"/>
        <v>0</v>
      </c>
      <c r="K1567" s="15">
        <f t="shared" si="97"/>
        <v>1</v>
      </c>
      <c r="L1567" s="3" t="str">
        <f t="shared" si="98"/>
        <v>Wednesday</v>
      </c>
      <c r="M1567" s="4" t="str">
        <f t="shared" si="99"/>
        <v>Normal Day</v>
      </c>
      <c r="N1567" s="4" t="str">
        <f>TEXT(CleanedData[[#This Row],[DAY]], "mmm yyyy")</f>
        <v>Dec 2024</v>
      </c>
    </row>
    <row r="1568" spans="1:14" x14ac:dyDescent="0.3">
      <c r="A1568" s="5">
        <v>45651</v>
      </c>
      <c r="B1568" s="12">
        <v>1011</v>
      </c>
      <c r="C1568" s="12">
        <v>21</v>
      </c>
      <c r="D1568" s="2" t="s">
        <v>6</v>
      </c>
      <c r="E1568" s="2" t="s">
        <v>8</v>
      </c>
      <c r="F1568" s="1">
        <v>81</v>
      </c>
      <c r="G1568" s="13">
        <v>842.51254329622168</v>
      </c>
      <c r="H1568" s="14" t="b">
        <v>0</v>
      </c>
      <c r="I1568" s="15">
        <f t="shared" si="96"/>
        <v>1011</v>
      </c>
      <c r="J1568" s="15">
        <f t="shared" si="96"/>
        <v>21</v>
      </c>
      <c r="K1568" s="15">
        <f t="shared" si="97"/>
        <v>843</v>
      </c>
      <c r="L1568" s="3" t="str">
        <f t="shared" si="98"/>
        <v>Wednesday</v>
      </c>
      <c r="M1568" s="4" t="str">
        <f t="shared" si="99"/>
        <v>Normal Day</v>
      </c>
      <c r="N1568" s="4" t="str">
        <f>TEXT(CleanedData[[#This Row],[DAY]], "mmm yyyy")</f>
        <v>Dec 2024</v>
      </c>
    </row>
    <row r="1569" spans="1:14" x14ac:dyDescent="0.3">
      <c r="A1569" s="5">
        <v>45651</v>
      </c>
      <c r="B1569" s="12">
        <v>1129.5</v>
      </c>
      <c r="C1569" s="12">
        <v>21</v>
      </c>
      <c r="D1569" s="2" t="s">
        <v>6</v>
      </c>
      <c r="E1569" s="2" t="s">
        <v>7</v>
      </c>
      <c r="F1569" s="1">
        <v>75</v>
      </c>
      <c r="G1569" s="13">
        <v>1001.3496291296093</v>
      </c>
      <c r="H1569" s="14" t="b">
        <v>0</v>
      </c>
      <c r="I1569" s="15">
        <f t="shared" si="96"/>
        <v>1130</v>
      </c>
      <c r="J1569" s="15">
        <f t="shared" si="96"/>
        <v>21</v>
      </c>
      <c r="K1569" s="15">
        <f t="shared" si="97"/>
        <v>1001</v>
      </c>
      <c r="L1569" s="3" t="str">
        <f t="shared" si="98"/>
        <v>Wednesday</v>
      </c>
      <c r="M1569" s="4" t="str">
        <f t="shared" si="99"/>
        <v>Normal Day</v>
      </c>
      <c r="N1569" s="4" t="str">
        <f>TEXT(CleanedData[[#This Row],[DAY]], "mmm yyyy")</f>
        <v>Dec 2024</v>
      </c>
    </row>
    <row r="1570" spans="1:14" x14ac:dyDescent="0.3">
      <c r="A1570" s="5">
        <v>45651</v>
      </c>
      <c r="B1570" s="12">
        <v>5743.5</v>
      </c>
      <c r="C1570" s="12">
        <v>118.5</v>
      </c>
      <c r="D1570" s="2" t="s">
        <v>10</v>
      </c>
      <c r="E1570" s="2" t="s">
        <v>7</v>
      </c>
      <c r="F1570" s="1">
        <v>1256</v>
      </c>
      <c r="G1570" s="13">
        <v>5358.2555941684977</v>
      </c>
      <c r="H1570" s="14" t="b">
        <v>0</v>
      </c>
      <c r="I1570" s="15">
        <f t="shared" si="96"/>
        <v>5744</v>
      </c>
      <c r="J1570" s="15">
        <f t="shared" si="96"/>
        <v>119</v>
      </c>
      <c r="K1570" s="15">
        <f t="shared" si="97"/>
        <v>5358</v>
      </c>
      <c r="L1570" s="3" t="str">
        <f t="shared" si="98"/>
        <v>Wednesday</v>
      </c>
      <c r="M1570" s="4" t="str">
        <f t="shared" si="99"/>
        <v>Normal Day</v>
      </c>
      <c r="N1570" s="4" t="str">
        <f>TEXT(CleanedData[[#This Row],[DAY]], "mmm yyyy")</f>
        <v>Dec 2024</v>
      </c>
    </row>
    <row r="1571" spans="1:14" x14ac:dyDescent="0.3">
      <c r="A1571" s="5">
        <v>45651</v>
      </c>
      <c r="B1571" s="12">
        <v>6259.5</v>
      </c>
      <c r="C1571" s="12">
        <v>147</v>
      </c>
      <c r="D1571" s="2" t="s">
        <v>9</v>
      </c>
      <c r="E1571" s="2" t="s">
        <v>8</v>
      </c>
      <c r="F1571" s="1">
        <v>2044</v>
      </c>
      <c r="G1571" s="13">
        <v>5385.9457436296289</v>
      </c>
      <c r="H1571" s="14" t="b">
        <v>0</v>
      </c>
      <c r="I1571" s="15">
        <f t="shared" si="96"/>
        <v>6260</v>
      </c>
      <c r="J1571" s="15">
        <f t="shared" si="96"/>
        <v>147</v>
      </c>
      <c r="K1571" s="15">
        <f t="shared" si="97"/>
        <v>5386</v>
      </c>
      <c r="L1571" s="3" t="str">
        <f t="shared" si="98"/>
        <v>Wednesday</v>
      </c>
      <c r="M1571" s="4" t="str">
        <f t="shared" si="99"/>
        <v>Normal Day</v>
      </c>
      <c r="N1571" s="4" t="str">
        <f>TEXT(CleanedData[[#This Row],[DAY]], "mmm yyyy")</f>
        <v>Dec 2024</v>
      </c>
    </row>
    <row r="1572" spans="1:14" x14ac:dyDescent="0.3">
      <c r="A1572" s="5">
        <v>45652</v>
      </c>
      <c r="B1572" s="12">
        <v>3</v>
      </c>
      <c r="C1572" s="12">
        <v>0</v>
      </c>
      <c r="D1572" s="2" t="s">
        <v>9</v>
      </c>
      <c r="E1572" s="2" t="s">
        <v>7</v>
      </c>
      <c r="F1572" s="1">
        <v>1</v>
      </c>
      <c r="G1572" s="13">
        <v>2.6741392351408169</v>
      </c>
      <c r="H1572" s="14" t="b">
        <v>0</v>
      </c>
      <c r="I1572" s="15">
        <f t="shared" si="96"/>
        <v>3</v>
      </c>
      <c r="J1572" s="15">
        <f t="shared" si="96"/>
        <v>0</v>
      </c>
      <c r="K1572" s="15">
        <f t="shared" si="97"/>
        <v>3</v>
      </c>
      <c r="L1572" s="3" t="str">
        <f t="shared" si="98"/>
        <v>Thursday</v>
      </c>
      <c r="M1572" s="4" t="str">
        <f t="shared" si="99"/>
        <v>Normal Day</v>
      </c>
      <c r="N1572" s="4" t="str">
        <f>TEXT(CleanedData[[#This Row],[DAY]], "mmm yyyy")</f>
        <v>Dec 2024</v>
      </c>
    </row>
    <row r="1573" spans="1:14" x14ac:dyDescent="0.3">
      <c r="A1573" s="5">
        <v>45652</v>
      </c>
      <c r="B1573" s="12">
        <v>946.5</v>
      </c>
      <c r="C1573" s="12">
        <v>247.5</v>
      </c>
      <c r="D1573" s="2" t="s">
        <v>6</v>
      </c>
      <c r="E1573" s="2" t="s">
        <v>8</v>
      </c>
      <c r="F1573" s="1">
        <v>470</v>
      </c>
      <c r="G1573" s="13">
        <v>1028.1248015542899</v>
      </c>
      <c r="H1573" s="14" t="b">
        <v>0</v>
      </c>
      <c r="I1573" s="15">
        <f t="shared" si="96"/>
        <v>947</v>
      </c>
      <c r="J1573" s="15">
        <f t="shared" si="96"/>
        <v>248</v>
      </c>
      <c r="K1573" s="15">
        <f t="shared" si="97"/>
        <v>1028</v>
      </c>
      <c r="L1573" s="3" t="str">
        <f t="shared" si="98"/>
        <v>Thursday</v>
      </c>
      <c r="M1573" s="4" t="str">
        <f t="shared" si="99"/>
        <v>Normal Day</v>
      </c>
      <c r="N1573" s="4" t="str">
        <f>TEXT(CleanedData[[#This Row],[DAY]], "mmm yyyy")</f>
        <v>Dec 2024</v>
      </c>
    </row>
    <row r="1574" spans="1:14" x14ac:dyDescent="0.3">
      <c r="A1574" s="5">
        <v>45652</v>
      </c>
      <c r="B1574" s="12">
        <v>1369.5</v>
      </c>
      <c r="C1574" s="12">
        <v>247.5</v>
      </c>
      <c r="D1574" s="2" t="s">
        <v>6</v>
      </c>
      <c r="E1574" s="2" t="s">
        <v>7</v>
      </c>
      <c r="F1574" s="1">
        <v>243</v>
      </c>
      <c r="G1574" s="13">
        <v>1417.7805465842555</v>
      </c>
      <c r="H1574" s="14" t="b">
        <v>0</v>
      </c>
      <c r="I1574" s="15">
        <f t="shared" si="96"/>
        <v>1370</v>
      </c>
      <c r="J1574" s="15">
        <f t="shared" si="96"/>
        <v>248</v>
      </c>
      <c r="K1574" s="15">
        <f t="shared" si="97"/>
        <v>1418</v>
      </c>
      <c r="L1574" s="3" t="str">
        <f t="shared" si="98"/>
        <v>Thursday</v>
      </c>
      <c r="M1574" s="4" t="str">
        <f t="shared" si="99"/>
        <v>Normal Day</v>
      </c>
      <c r="N1574" s="4" t="str">
        <f>TEXT(CleanedData[[#This Row],[DAY]], "mmm yyyy")</f>
        <v>Dec 2024</v>
      </c>
    </row>
    <row r="1575" spans="1:14" x14ac:dyDescent="0.3">
      <c r="A1575" s="5">
        <v>45652</v>
      </c>
      <c r="B1575" s="12">
        <v>5202</v>
      </c>
      <c r="C1575" s="12">
        <v>1417.5</v>
      </c>
      <c r="D1575" s="2" t="s">
        <v>10</v>
      </c>
      <c r="E1575" s="2" t="s">
        <v>7</v>
      </c>
      <c r="F1575" s="1">
        <v>1374</v>
      </c>
      <c r="G1575" s="13">
        <v>6163.8952876264511</v>
      </c>
      <c r="H1575" s="14" t="b">
        <v>1</v>
      </c>
      <c r="I1575" s="15">
        <f t="shared" si="96"/>
        <v>5202</v>
      </c>
      <c r="J1575" s="15">
        <f t="shared" si="96"/>
        <v>1418</v>
      </c>
      <c r="K1575" s="15">
        <f t="shared" si="97"/>
        <v>6164</v>
      </c>
      <c r="L1575" s="3" t="str">
        <f t="shared" si="98"/>
        <v>Thursday</v>
      </c>
      <c r="M1575" s="4" t="str">
        <f t="shared" si="99"/>
        <v>Outage Day</v>
      </c>
      <c r="N1575" s="4" t="str">
        <f>TEXT(CleanedData[[#This Row],[DAY]], "mmm yyyy")</f>
        <v>Dec 2024</v>
      </c>
    </row>
    <row r="1576" spans="1:14" x14ac:dyDescent="0.3">
      <c r="A1576" s="5">
        <v>45652</v>
      </c>
      <c r="B1576" s="12">
        <v>5985</v>
      </c>
      <c r="C1576" s="12">
        <v>1149</v>
      </c>
      <c r="D1576" s="2" t="s">
        <v>9</v>
      </c>
      <c r="E1576" s="2" t="s">
        <v>8</v>
      </c>
      <c r="F1576" s="1">
        <v>1700</v>
      </c>
      <c r="G1576" s="13">
        <v>6250.7311998139758</v>
      </c>
      <c r="H1576" s="14" t="b">
        <v>1</v>
      </c>
      <c r="I1576" s="15">
        <f t="shared" si="96"/>
        <v>5985</v>
      </c>
      <c r="J1576" s="15">
        <f t="shared" si="96"/>
        <v>1149</v>
      </c>
      <c r="K1576" s="15">
        <f t="shared" si="97"/>
        <v>6251</v>
      </c>
      <c r="L1576" s="3" t="str">
        <f t="shared" si="98"/>
        <v>Thursday</v>
      </c>
      <c r="M1576" s="4" t="str">
        <f t="shared" si="99"/>
        <v>Outage Day</v>
      </c>
      <c r="N1576" s="4" t="str">
        <f>TEXT(CleanedData[[#This Row],[DAY]], "mmm yyyy")</f>
        <v>Dec 2024</v>
      </c>
    </row>
    <row r="1577" spans="1:14" x14ac:dyDescent="0.3">
      <c r="A1577" s="5">
        <v>45653</v>
      </c>
      <c r="B1577" s="12">
        <v>1.5</v>
      </c>
      <c r="C1577" s="12">
        <v>0</v>
      </c>
      <c r="D1577" s="2" t="s">
        <v>10</v>
      </c>
      <c r="E1577" s="2" t="s">
        <v>8</v>
      </c>
      <c r="F1577" s="1">
        <v>1</v>
      </c>
      <c r="G1577" s="13">
        <v>1.2413293155602356</v>
      </c>
      <c r="H1577" s="14" t="b">
        <v>0</v>
      </c>
      <c r="I1577" s="15">
        <f t="shared" si="96"/>
        <v>2</v>
      </c>
      <c r="J1577" s="15">
        <f t="shared" si="96"/>
        <v>0</v>
      </c>
      <c r="K1577" s="15">
        <f t="shared" si="97"/>
        <v>1</v>
      </c>
      <c r="L1577" s="3" t="str">
        <f t="shared" si="98"/>
        <v>Friday</v>
      </c>
      <c r="M1577" s="4" t="str">
        <f t="shared" si="99"/>
        <v>Normal Day</v>
      </c>
      <c r="N1577" s="4" t="str">
        <f>TEXT(CleanedData[[#This Row],[DAY]], "mmm yyyy")</f>
        <v>Dec 2024</v>
      </c>
    </row>
    <row r="1578" spans="1:14" x14ac:dyDescent="0.3">
      <c r="A1578" s="5">
        <v>45653</v>
      </c>
      <c r="B1578" s="12">
        <v>816</v>
      </c>
      <c r="C1578" s="12">
        <v>51</v>
      </c>
      <c r="D1578" s="2" t="s">
        <v>6</v>
      </c>
      <c r="E1578" s="2" t="s">
        <v>8</v>
      </c>
      <c r="F1578" s="1">
        <v>470</v>
      </c>
      <c r="G1578" s="13">
        <v>694.78741386320394</v>
      </c>
      <c r="H1578" s="14" t="b">
        <v>0</v>
      </c>
      <c r="I1578" s="15">
        <f t="shared" si="96"/>
        <v>816</v>
      </c>
      <c r="J1578" s="15">
        <f t="shared" si="96"/>
        <v>51</v>
      </c>
      <c r="K1578" s="15">
        <f t="shared" si="97"/>
        <v>695</v>
      </c>
      <c r="L1578" s="3" t="str">
        <f t="shared" si="98"/>
        <v>Friday</v>
      </c>
      <c r="M1578" s="4" t="str">
        <f t="shared" si="99"/>
        <v>Normal Day</v>
      </c>
      <c r="N1578" s="4" t="str">
        <f>TEXT(CleanedData[[#This Row],[DAY]], "mmm yyyy")</f>
        <v>Dec 2024</v>
      </c>
    </row>
    <row r="1579" spans="1:14" x14ac:dyDescent="0.3">
      <c r="A1579" s="5">
        <v>45653</v>
      </c>
      <c r="B1579" s="12">
        <v>1375.5</v>
      </c>
      <c r="C1579" s="12">
        <v>51</v>
      </c>
      <c r="D1579" s="2" t="s">
        <v>6</v>
      </c>
      <c r="E1579" s="2" t="s">
        <v>7</v>
      </c>
      <c r="F1579" s="1">
        <v>22</v>
      </c>
      <c r="G1579" s="13">
        <v>1281.1071081904536</v>
      </c>
      <c r="H1579" s="14" t="b">
        <v>0</v>
      </c>
      <c r="I1579" s="15">
        <f t="shared" si="96"/>
        <v>1376</v>
      </c>
      <c r="J1579" s="15">
        <f t="shared" si="96"/>
        <v>51</v>
      </c>
      <c r="K1579" s="15">
        <f t="shared" si="97"/>
        <v>1281</v>
      </c>
      <c r="L1579" s="3" t="str">
        <f t="shared" si="98"/>
        <v>Friday</v>
      </c>
      <c r="M1579" s="4" t="str">
        <f t="shared" si="99"/>
        <v>Normal Day</v>
      </c>
      <c r="N1579" s="4" t="str">
        <f>TEXT(CleanedData[[#This Row],[DAY]], "mmm yyyy")</f>
        <v>Dec 2024</v>
      </c>
    </row>
    <row r="1580" spans="1:14" x14ac:dyDescent="0.3">
      <c r="A1580" s="5">
        <v>45653</v>
      </c>
      <c r="B1580" s="12">
        <v>3973.5</v>
      </c>
      <c r="C1580" s="12">
        <v>319.5</v>
      </c>
      <c r="D1580" s="2" t="s">
        <v>10</v>
      </c>
      <c r="E1580" s="2" t="s">
        <v>7</v>
      </c>
      <c r="F1580" s="1">
        <v>955</v>
      </c>
      <c r="G1580" s="13">
        <v>3742.2274643212972</v>
      </c>
      <c r="H1580" s="14" t="b">
        <v>0</v>
      </c>
      <c r="I1580" s="15">
        <f t="shared" si="96"/>
        <v>3974</v>
      </c>
      <c r="J1580" s="15">
        <f t="shared" si="96"/>
        <v>320</v>
      </c>
      <c r="K1580" s="15">
        <f t="shared" si="97"/>
        <v>3742</v>
      </c>
      <c r="L1580" s="3" t="str">
        <f t="shared" si="98"/>
        <v>Friday</v>
      </c>
      <c r="M1580" s="4" t="str">
        <f t="shared" si="99"/>
        <v>Normal Day</v>
      </c>
      <c r="N1580" s="4" t="str">
        <f>TEXT(CleanedData[[#This Row],[DAY]], "mmm yyyy")</f>
        <v>Dec 2024</v>
      </c>
    </row>
    <row r="1581" spans="1:14" x14ac:dyDescent="0.3">
      <c r="A1581" s="5">
        <v>45653</v>
      </c>
      <c r="B1581" s="12">
        <v>7573.5</v>
      </c>
      <c r="C1581" s="12">
        <v>531</v>
      </c>
      <c r="D1581" s="2" t="s">
        <v>9</v>
      </c>
      <c r="E1581" s="2" t="s">
        <v>8</v>
      </c>
      <c r="F1581" s="1">
        <v>1236</v>
      </c>
      <c r="G1581" s="13">
        <v>7157.4435244226606</v>
      </c>
      <c r="H1581" s="14" t="b">
        <v>0</v>
      </c>
      <c r="I1581" s="15">
        <f t="shared" si="96"/>
        <v>7574</v>
      </c>
      <c r="J1581" s="15">
        <f t="shared" si="96"/>
        <v>531</v>
      </c>
      <c r="K1581" s="15">
        <f t="shared" si="97"/>
        <v>7157</v>
      </c>
      <c r="L1581" s="3" t="str">
        <f t="shared" si="98"/>
        <v>Friday</v>
      </c>
      <c r="M1581" s="4" t="str">
        <f t="shared" si="99"/>
        <v>Normal Day</v>
      </c>
      <c r="N1581" s="4" t="str">
        <f>TEXT(CleanedData[[#This Row],[DAY]], "mmm yyyy")</f>
        <v>Dec 2024</v>
      </c>
    </row>
    <row r="1582" spans="1:14" x14ac:dyDescent="0.3">
      <c r="A1582" s="5">
        <v>45654</v>
      </c>
      <c r="B1582" s="12">
        <v>1.5</v>
      </c>
      <c r="C1582" s="12">
        <v>0</v>
      </c>
      <c r="D1582" s="2" t="s">
        <v>9</v>
      </c>
      <c r="E1582" s="2" t="s">
        <v>7</v>
      </c>
      <c r="F1582" s="1">
        <v>1</v>
      </c>
      <c r="G1582" s="13">
        <v>1.3674039120715922</v>
      </c>
      <c r="H1582" s="14" t="b">
        <v>0</v>
      </c>
      <c r="I1582" s="15">
        <f t="shared" si="96"/>
        <v>2</v>
      </c>
      <c r="J1582" s="15">
        <f t="shared" si="96"/>
        <v>0</v>
      </c>
      <c r="K1582" s="15">
        <f t="shared" si="97"/>
        <v>1</v>
      </c>
      <c r="L1582" s="3" t="str">
        <f t="shared" si="98"/>
        <v>Saturday</v>
      </c>
      <c r="M1582" s="4" t="str">
        <f t="shared" si="99"/>
        <v>Normal Day</v>
      </c>
      <c r="N1582" s="4" t="str">
        <f>TEXT(CleanedData[[#This Row],[DAY]], "mmm yyyy")</f>
        <v>Dec 2024</v>
      </c>
    </row>
    <row r="1583" spans="1:14" x14ac:dyDescent="0.3">
      <c r="A1583" s="5">
        <v>45654</v>
      </c>
      <c r="B1583" s="12">
        <v>727.5</v>
      </c>
      <c r="C1583" s="12">
        <v>100.5</v>
      </c>
      <c r="D1583" s="2" t="s">
        <v>6</v>
      </c>
      <c r="E1583" s="2" t="s">
        <v>8</v>
      </c>
      <c r="F1583" s="1">
        <v>457</v>
      </c>
      <c r="G1583" s="13">
        <v>708.61984451535852</v>
      </c>
      <c r="H1583" s="14" t="b">
        <v>0</v>
      </c>
      <c r="I1583" s="15">
        <f t="shared" si="96"/>
        <v>728</v>
      </c>
      <c r="J1583" s="15">
        <f t="shared" si="96"/>
        <v>101</v>
      </c>
      <c r="K1583" s="15">
        <f t="shared" si="97"/>
        <v>709</v>
      </c>
      <c r="L1583" s="3" t="str">
        <f t="shared" si="98"/>
        <v>Saturday</v>
      </c>
      <c r="M1583" s="4" t="str">
        <f t="shared" si="99"/>
        <v>Normal Day</v>
      </c>
      <c r="N1583" s="4" t="str">
        <f>TEXT(CleanedData[[#This Row],[DAY]], "mmm yyyy")</f>
        <v>Dec 2024</v>
      </c>
    </row>
    <row r="1584" spans="1:14" x14ac:dyDescent="0.3">
      <c r="A1584" s="5">
        <v>45654</v>
      </c>
      <c r="B1584" s="12">
        <v>1164</v>
      </c>
      <c r="C1584" s="12">
        <v>100.5</v>
      </c>
      <c r="D1584" s="2" t="s">
        <v>6</v>
      </c>
      <c r="E1584" s="2" t="s">
        <v>7</v>
      </c>
      <c r="F1584" s="1">
        <v>199</v>
      </c>
      <c r="G1584" s="13">
        <v>1113.8146687661063</v>
      </c>
      <c r="H1584" s="14" t="b">
        <v>0</v>
      </c>
      <c r="I1584" s="15">
        <f t="shared" si="96"/>
        <v>1164</v>
      </c>
      <c r="J1584" s="15">
        <f t="shared" si="96"/>
        <v>101</v>
      </c>
      <c r="K1584" s="15">
        <f t="shared" si="97"/>
        <v>1114</v>
      </c>
      <c r="L1584" s="3" t="str">
        <f t="shared" si="98"/>
        <v>Saturday</v>
      </c>
      <c r="M1584" s="4" t="str">
        <f t="shared" si="99"/>
        <v>Normal Day</v>
      </c>
      <c r="N1584" s="4" t="str">
        <f>TEXT(CleanedData[[#This Row],[DAY]], "mmm yyyy")</f>
        <v>Dec 2024</v>
      </c>
    </row>
    <row r="1585" spans="1:14" x14ac:dyDescent="0.3">
      <c r="A1585" s="5">
        <v>45654</v>
      </c>
      <c r="B1585" s="12">
        <v>3471</v>
      </c>
      <c r="C1585" s="12">
        <v>517.5</v>
      </c>
      <c r="D1585" s="2" t="s">
        <v>10</v>
      </c>
      <c r="E1585" s="2" t="s">
        <v>7</v>
      </c>
      <c r="F1585" s="1">
        <v>1629</v>
      </c>
      <c r="G1585" s="13">
        <v>3587.6288528640443</v>
      </c>
      <c r="H1585" s="14" t="b">
        <v>1</v>
      </c>
      <c r="I1585" s="15">
        <f t="shared" si="96"/>
        <v>3471</v>
      </c>
      <c r="J1585" s="15">
        <f t="shared" si="96"/>
        <v>518</v>
      </c>
      <c r="K1585" s="15">
        <f t="shared" si="97"/>
        <v>3588</v>
      </c>
      <c r="L1585" s="3" t="str">
        <f t="shared" si="98"/>
        <v>Saturday</v>
      </c>
      <c r="M1585" s="4" t="str">
        <f t="shared" si="99"/>
        <v>Outage Day</v>
      </c>
      <c r="N1585" s="4" t="str">
        <f>TEXT(CleanedData[[#This Row],[DAY]], "mmm yyyy")</f>
        <v>Dec 2024</v>
      </c>
    </row>
    <row r="1586" spans="1:14" x14ac:dyDescent="0.3">
      <c r="A1586" s="5">
        <v>45654</v>
      </c>
      <c r="B1586" s="12">
        <v>6534</v>
      </c>
      <c r="C1586" s="12">
        <v>948</v>
      </c>
      <c r="D1586" s="2" t="s">
        <v>9</v>
      </c>
      <c r="E1586" s="2" t="s">
        <v>8</v>
      </c>
      <c r="F1586" s="1">
        <v>1917</v>
      </c>
      <c r="G1586" s="13">
        <v>6132.1573843179431</v>
      </c>
      <c r="H1586" s="14" t="b">
        <v>1</v>
      </c>
      <c r="I1586" s="15">
        <f t="shared" si="96"/>
        <v>6534</v>
      </c>
      <c r="J1586" s="15">
        <f t="shared" si="96"/>
        <v>948</v>
      </c>
      <c r="K1586" s="15">
        <f t="shared" si="97"/>
        <v>6132</v>
      </c>
      <c r="L1586" s="3" t="str">
        <f t="shared" si="98"/>
        <v>Saturday</v>
      </c>
      <c r="M1586" s="4" t="str">
        <f t="shared" si="99"/>
        <v>Outage Day</v>
      </c>
      <c r="N1586" s="4" t="str">
        <f>TEXT(CleanedData[[#This Row],[DAY]], "mmm yyyy")</f>
        <v>Dec 2024</v>
      </c>
    </row>
    <row r="1587" spans="1:14" x14ac:dyDescent="0.3">
      <c r="A1587" s="5">
        <v>45655</v>
      </c>
      <c r="B1587" s="12">
        <v>1102.5</v>
      </c>
      <c r="C1587" s="12">
        <v>63</v>
      </c>
      <c r="D1587" s="2" t="s">
        <v>6</v>
      </c>
      <c r="E1587" s="2" t="s">
        <v>8</v>
      </c>
      <c r="F1587" s="1">
        <v>27</v>
      </c>
      <c r="G1587" s="13">
        <v>972.81997372629371</v>
      </c>
      <c r="H1587" s="14" t="b">
        <v>0</v>
      </c>
      <c r="I1587" s="15">
        <f t="shared" si="96"/>
        <v>1103</v>
      </c>
      <c r="J1587" s="15">
        <f t="shared" si="96"/>
        <v>63</v>
      </c>
      <c r="K1587" s="15">
        <f t="shared" si="97"/>
        <v>973</v>
      </c>
      <c r="L1587" s="3" t="str">
        <f t="shared" si="98"/>
        <v>Sunday</v>
      </c>
      <c r="M1587" s="4" t="str">
        <f t="shared" si="99"/>
        <v>Normal Day</v>
      </c>
      <c r="N1587" s="4" t="str">
        <f>TEXT(CleanedData[[#This Row],[DAY]], "mmm yyyy")</f>
        <v>Dec 2024</v>
      </c>
    </row>
    <row r="1588" spans="1:14" x14ac:dyDescent="0.3">
      <c r="A1588" s="5">
        <v>45655</v>
      </c>
      <c r="B1588" s="12">
        <v>2200.5</v>
      </c>
      <c r="C1588" s="12">
        <v>63</v>
      </c>
      <c r="D1588" s="2" t="s">
        <v>6</v>
      </c>
      <c r="E1588" s="2" t="s">
        <v>7</v>
      </c>
      <c r="F1588" s="1">
        <v>649</v>
      </c>
      <c r="G1588" s="13">
        <v>2029.7386756560622</v>
      </c>
      <c r="H1588" s="14" t="b">
        <v>0</v>
      </c>
      <c r="I1588" s="15">
        <f t="shared" si="96"/>
        <v>2201</v>
      </c>
      <c r="J1588" s="15">
        <f t="shared" si="96"/>
        <v>63</v>
      </c>
      <c r="K1588" s="15">
        <f t="shared" si="97"/>
        <v>2030</v>
      </c>
      <c r="L1588" s="3" t="str">
        <f t="shared" si="98"/>
        <v>Sunday</v>
      </c>
      <c r="M1588" s="4" t="str">
        <f t="shared" si="99"/>
        <v>Normal Day</v>
      </c>
      <c r="N1588" s="4" t="str">
        <f>TEXT(CleanedData[[#This Row],[DAY]], "mmm yyyy")</f>
        <v>Dec 2024</v>
      </c>
    </row>
    <row r="1589" spans="1:14" x14ac:dyDescent="0.3">
      <c r="A1589" s="5">
        <v>45655</v>
      </c>
      <c r="B1589" s="12">
        <v>3144</v>
      </c>
      <c r="C1589" s="12">
        <v>349.5</v>
      </c>
      <c r="D1589" s="2" t="s">
        <v>10</v>
      </c>
      <c r="E1589" s="2" t="s">
        <v>7</v>
      </c>
      <c r="F1589" s="1">
        <v>1211</v>
      </c>
      <c r="G1589" s="13">
        <v>3235.1959780402108</v>
      </c>
      <c r="H1589" s="14" t="b">
        <v>0</v>
      </c>
      <c r="I1589" s="15">
        <f t="shared" si="96"/>
        <v>3144</v>
      </c>
      <c r="J1589" s="15">
        <f t="shared" si="96"/>
        <v>350</v>
      </c>
      <c r="K1589" s="15">
        <f t="shared" si="97"/>
        <v>3235</v>
      </c>
      <c r="L1589" s="3" t="str">
        <f t="shared" si="98"/>
        <v>Sunday</v>
      </c>
      <c r="M1589" s="4" t="str">
        <f t="shared" si="99"/>
        <v>Normal Day</v>
      </c>
      <c r="N1589" s="4" t="str">
        <f>TEXT(CleanedData[[#This Row],[DAY]], "mmm yyyy")</f>
        <v>Dec 2024</v>
      </c>
    </row>
    <row r="1590" spans="1:14" x14ac:dyDescent="0.3">
      <c r="A1590" s="5">
        <v>45655</v>
      </c>
      <c r="B1590" s="12">
        <v>5802</v>
      </c>
      <c r="C1590" s="12">
        <v>679.5</v>
      </c>
      <c r="D1590" s="2" t="s">
        <v>9</v>
      </c>
      <c r="E1590" s="2" t="s">
        <v>8</v>
      </c>
      <c r="F1590" s="1">
        <v>1614</v>
      </c>
      <c r="G1590" s="13">
        <v>5633.2404375704082</v>
      </c>
      <c r="H1590" s="14" t="b">
        <v>1</v>
      </c>
      <c r="I1590" s="15">
        <f t="shared" si="96"/>
        <v>5802</v>
      </c>
      <c r="J1590" s="15">
        <f t="shared" si="96"/>
        <v>680</v>
      </c>
      <c r="K1590" s="15">
        <f t="shared" si="97"/>
        <v>5633</v>
      </c>
      <c r="L1590" s="3" t="str">
        <f t="shared" si="98"/>
        <v>Sunday</v>
      </c>
      <c r="M1590" s="4" t="str">
        <f t="shared" si="99"/>
        <v>Outage Day</v>
      </c>
      <c r="N1590" s="4" t="str">
        <f>TEXT(CleanedData[[#This Row],[DAY]], "mmm yyyy")</f>
        <v>Dec 2024</v>
      </c>
    </row>
    <row r="1591" spans="1:14" x14ac:dyDescent="0.3">
      <c r="A1591" s="5">
        <v>45656</v>
      </c>
      <c r="B1591" s="12">
        <v>531</v>
      </c>
      <c r="C1591" s="12">
        <v>16.5</v>
      </c>
      <c r="D1591" s="2" t="s">
        <v>6</v>
      </c>
      <c r="E1591" s="2" t="s">
        <v>8</v>
      </c>
      <c r="F1591" s="1">
        <v>309</v>
      </c>
      <c r="G1591" s="13">
        <v>469.12834693104702</v>
      </c>
      <c r="H1591" s="14" t="b">
        <v>0</v>
      </c>
      <c r="I1591" s="15">
        <f t="shared" si="96"/>
        <v>531</v>
      </c>
      <c r="J1591" s="15">
        <f t="shared" si="96"/>
        <v>17</v>
      </c>
      <c r="K1591" s="15">
        <f t="shared" si="97"/>
        <v>469</v>
      </c>
      <c r="L1591" s="3" t="str">
        <f t="shared" si="98"/>
        <v>Monday</v>
      </c>
      <c r="M1591" s="4" t="str">
        <f t="shared" si="99"/>
        <v>Normal Day</v>
      </c>
      <c r="N1591" s="4" t="str">
        <f>TEXT(CleanedData[[#This Row],[DAY]], "mmm yyyy")</f>
        <v>Dec 2024</v>
      </c>
    </row>
    <row r="1592" spans="1:14" x14ac:dyDescent="0.3">
      <c r="A1592" s="5">
        <v>45656</v>
      </c>
      <c r="B1592" s="12">
        <v>1021.5</v>
      </c>
      <c r="C1592" s="12">
        <v>16.5</v>
      </c>
      <c r="D1592" s="2" t="s">
        <v>6</v>
      </c>
      <c r="E1592" s="2" t="s">
        <v>7</v>
      </c>
      <c r="F1592" s="1">
        <v>122</v>
      </c>
      <c r="G1592" s="13">
        <v>915.58489666115088</v>
      </c>
      <c r="H1592" s="14" t="b">
        <v>0</v>
      </c>
      <c r="I1592" s="15">
        <f t="shared" si="96"/>
        <v>1022</v>
      </c>
      <c r="J1592" s="15">
        <f t="shared" si="96"/>
        <v>17</v>
      </c>
      <c r="K1592" s="15">
        <f t="shared" si="97"/>
        <v>916</v>
      </c>
      <c r="L1592" s="3" t="str">
        <f t="shared" si="98"/>
        <v>Monday</v>
      </c>
      <c r="M1592" s="4" t="str">
        <f t="shared" si="99"/>
        <v>Normal Day</v>
      </c>
      <c r="N1592" s="4" t="str">
        <f>TEXT(CleanedData[[#This Row],[DAY]], "mmm yyyy")</f>
        <v>Dec 2024</v>
      </c>
    </row>
    <row r="1593" spans="1:14" x14ac:dyDescent="0.3">
      <c r="A1593" s="5">
        <v>45656</v>
      </c>
      <c r="B1593" s="12">
        <v>4855.5</v>
      </c>
      <c r="C1593" s="12">
        <v>37.5</v>
      </c>
      <c r="D1593" s="2" t="s">
        <v>10</v>
      </c>
      <c r="E1593" s="2" t="s">
        <v>7</v>
      </c>
      <c r="F1593" s="1">
        <v>1758</v>
      </c>
      <c r="G1593" s="13">
        <v>4272.6821299671301</v>
      </c>
      <c r="H1593" s="14" t="b">
        <v>0</v>
      </c>
      <c r="I1593" s="15">
        <f t="shared" si="96"/>
        <v>4856</v>
      </c>
      <c r="J1593" s="15">
        <f t="shared" si="96"/>
        <v>38</v>
      </c>
      <c r="K1593" s="15">
        <f t="shared" si="97"/>
        <v>4273</v>
      </c>
      <c r="L1593" s="3" t="str">
        <f t="shared" si="98"/>
        <v>Monday</v>
      </c>
      <c r="M1593" s="4" t="str">
        <f t="shared" si="99"/>
        <v>Normal Day</v>
      </c>
      <c r="N1593" s="4" t="str">
        <f>TEXT(CleanedData[[#This Row],[DAY]], "mmm yyyy")</f>
        <v>Dec 2024</v>
      </c>
    </row>
    <row r="1594" spans="1:14" x14ac:dyDescent="0.3">
      <c r="A1594" s="5">
        <v>45656</v>
      </c>
      <c r="B1594" s="12">
        <v>6589.5</v>
      </c>
      <c r="C1594" s="12">
        <v>232.5</v>
      </c>
      <c r="D1594" s="2" t="s">
        <v>9</v>
      </c>
      <c r="E1594" s="2" t="s">
        <v>8</v>
      </c>
      <c r="F1594" s="1">
        <v>1861</v>
      </c>
      <c r="G1594" s="13">
        <v>5893.9649505483549</v>
      </c>
      <c r="H1594" s="14" t="b">
        <v>1</v>
      </c>
      <c r="I1594" s="15">
        <f t="shared" si="96"/>
        <v>6590</v>
      </c>
      <c r="J1594" s="15">
        <f t="shared" si="96"/>
        <v>233</v>
      </c>
      <c r="K1594" s="15">
        <f t="shared" si="97"/>
        <v>5894</v>
      </c>
      <c r="L1594" s="3" t="str">
        <f t="shared" si="98"/>
        <v>Monday</v>
      </c>
      <c r="M1594" s="4" t="str">
        <f t="shared" si="99"/>
        <v>Outage Day</v>
      </c>
      <c r="N1594" s="4" t="str">
        <f>TEXT(CleanedData[[#This Row],[DAY]], "mmm yyyy")</f>
        <v>Dec 2024</v>
      </c>
    </row>
    <row r="1595" spans="1:14" x14ac:dyDescent="0.3">
      <c r="A1595" s="5">
        <v>45657</v>
      </c>
      <c r="B1595" s="12">
        <v>1639.5</v>
      </c>
      <c r="C1595" s="12">
        <v>519</v>
      </c>
      <c r="D1595" s="2" t="s">
        <v>6</v>
      </c>
      <c r="E1595" s="2" t="s">
        <v>8</v>
      </c>
      <c r="F1595" s="1">
        <v>213</v>
      </c>
      <c r="G1595" s="13">
        <v>1902.3799425304801</v>
      </c>
      <c r="H1595" s="14" t="b">
        <v>1</v>
      </c>
      <c r="I1595" s="15">
        <f t="shared" si="96"/>
        <v>1640</v>
      </c>
      <c r="J1595" s="15">
        <f t="shared" si="96"/>
        <v>519</v>
      </c>
      <c r="K1595" s="15">
        <f t="shared" si="97"/>
        <v>1902</v>
      </c>
      <c r="L1595" s="3" t="str">
        <f t="shared" si="98"/>
        <v>Tuesday</v>
      </c>
      <c r="M1595" s="4" t="str">
        <f t="shared" si="99"/>
        <v>Outage Day</v>
      </c>
      <c r="N1595" s="4" t="str">
        <f>TEXT(CleanedData[[#This Row],[DAY]], "mmm yyyy")</f>
        <v>Dec 2024</v>
      </c>
    </row>
    <row r="1596" spans="1:14" x14ac:dyDescent="0.3">
      <c r="A1596" s="5">
        <v>45657</v>
      </c>
      <c r="B1596" s="12">
        <v>2850</v>
      </c>
      <c r="C1596" s="12">
        <v>519</v>
      </c>
      <c r="D1596" s="2" t="s">
        <v>6</v>
      </c>
      <c r="E1596" s="2" t="s">
        <v>7</v>
      </c>
      <c r="F1596" s="1">
        <v>239</v>
      </c>
      <c r="G1596" s="13">
        <v>3017.6891916448617</v>
      </c>
      <c r="H1596" s="14" t="b">
        <v>1</v>
      </c>
      <c r="I1596" s="15">
        <f t="shared" si="96"/>
        <v>2850</v>
      </c>
      <c r="J1596" s="15">
        <f t="shared" si="96"/>
        <v>519</v>
      </c>
      <c r="K1596" s="15">
        <f t="shared" si="97"/>
        <v>3018</v>
      </c>
      <c r="L1596" s="3" t="str">
        <f t="shared" si="98"/>
        <v>Tuesday</v>
      </c>
      <c r="M1596" s="4" t="str">
        <f t="shared" si="99"/>
        <v>Outage Day</v>
      </c>
      <c r="N1596" s="4" t="str">
        <f>TEXT(CleanedData[[#This Row],[DAY]], "mmm yyyy")</f>
        <v>Dec 2024</v>
      </c>
    </row>
    <row r="1597" spans="1:14" x14ac:dyDescent="0.3">
      <c r="A1597" s="5">
        <v>45657</v>
      </c>
      <c r="B1597" s="12">
        <v>4413</v>
      </c>
      <c r="C1597" s="12">
        <v>316.5</v>
      </c>
      <c r="D1597" s="2" t="s">
        <v>10</v>
      </c>
      <c r="E1597" s="2" t="s">
        <v>7</v>
      </c>
      <c r="F1597" s="1">
        <v>394</v>
      </c>
      <c r="G1597" s="13">
        <v>4300.2416979424161</v>
      </c>
      <c r="H1597" s="14" t="b">
        <v>0</v>
      </c>
      <c r="I1597" s="15">
        <f t="shared" si="96"/>
        <v>4413</v>
      </c>
      <c r="J1597" s="15">
        <f t="shared" si="96"/>
        <v>317</v>
      </c>
      <c r="K1597" s="15">
        <f t="shared" si="97"/>
        <v>4300</v>
      </c>
      <c r="L1597" s="3" t="str">
        <f t="shared" si="98"/>
        <v>Tuesday</v>
      </c>
      <c r="M1597" s="4" t="str">
        <f t="shared" si="99"/>
        <v>Normal Day</v>
      </c>
      <c r="N1597" s="4" t="str">
        <f>TEXT(CleanedData[[#This Row],[DAY]], "mmm yyyy")</f>
        <v>Dec 2024</v>
      </c>
    </row>
    <row r="1598" spans="1:14" x14ac:dyDescent="0.3">
      <c r="A1598" s="5">
        <v>45657</v>
      </c>
      <c r="B1598" s="12">
        <v>4878</v>
      </c>
      <c r="C1598" s="12">
        <v>582</v>
      </c>
      <c r="D1598" s="2" t="s">
        <v>9</v>
      </c>
      <c r="E1598" s="2" t="s">
        <v>8</v>
      </c>
      <c r="F1598" s="1">
        <v>1145</v>
      </c>
      <c r="G1598" s="13">
        <v>4657.2069069449963</v>
      </c>
      <c r="H1598" s="14" t="b">
        <v>0</v>
      </c>
      <c r="I1598" s="15">
        <f t="shared" si="96"/>
        <v>4878</v>
      </c>
      <c r="J1598" s="15">
        <f t="shared" si="96"/>
        <v>582</v>
      </c>
      <c r="K1598" s="15">
        <f t="shared" si="97"/>
        <v>4657</v>
      </c>
      <c r="L1598" s="3" t="str">
        <f t="shared" si="98"/>
        <v>Tuesday</v>
      </c>
      <c r="M1598" s="4" t="str">
        <f t="shared" si="99"/>
        <v>Normal Day</v>
      </c>
      <c r="N1598" s="4" t="str">
        <f>TEXT(CleanedData[[#This Row],[DAY]], "mmm yyyy")</f>
        <v>Dec 2024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9A07A-5F26-4F4A-8A58-4F112FAF8CCE}">
  <sheetPr>
    <tabColor theme="4" tint="0.79998168889431442"/>
  </sheetPr>
  <dimension ref="A2:Q47"/>
  <sheetViews>
    <sheetView zoomScaleNormal="100" workbookViewId="0">
      <selection activeCell="A2" sqref="A2:H2"/>
    </sheetView>
  </sheetViews>
  <sheetFormatPr defaultRowHeight="14.4" x14ac:dyDescent="0.3"/>
  <cols>
    <col min="1" max="1" width="29.44140625" style="33" bestFit="1" customWidth="1"/>
    <col min="2" max="2" width="19.33203125" style="33" bestFit="1" customWidth="1"/>
    <col min="3" max="3" width="19.109375" style="33" bestFit="1" customWidth="1"/>
    <col min="4" max="4" width="18.44140625" style="33" bestFit="1" customWidth="1"/>
    <col min="5" max="5" width="17.5546875" style="33" bestFit="1" customWidth="1"/>
    <col min="6" max="6" width="8.88671875" style="33"/>
    <col min="7" max="7" width="24.88671875" style="33" bestFit="1" customWidth="1"/>
    <col min="8" max="8" width="20.44140625" style="33" bestFit="1" customWidth="1"/>
    <col min="9" max="9" width="20.21875" style="33" bestFit="1" customWidth="1"/>
    <col min="10" max="10" width="19.5546875" style="33" bestFit="1" customWidth="1"/>
    <col min="11" max="11" width="18.5546875" style="33" bestFit="1" customWidth="1"/>
    <col min="12" max="12" width="16.109375" style="33" bestFit="1" customWidth="1"/>
    <col min="13" max="13" width="15.6640625" style="33" bestFit="1" customWidth="1"/>
    <col min="14" max="14" width="16.77734375" style="33" bestFit="1" customWidth="1"/>
    <col min="15" max="15" width="16.109375" style="33" bestFit="1" customWidth="1"/>
    <col min="16" max="16" width="17.6640625" style="33" customWidth="1"/>
    <col min="17" max="17" width="17.77734375" style="33" customWidth="1"/>
    <col min="18" max="16384" width="8.88671875" style="33"/>
  </cols>
  <sheetData>
    <row r="2" spans="1:17" x14ac:dyDescent="0.3">
      <c r="A2" s="59" t="s">
        <v>61</v>
      </c>
      <c r="B2" s="59"/>
      <c r="C2" s="59"/>
      <c r="D2" s="59"/>
      <c r="E2" s="59"/>
      <c r="F2" s="59"/>
      <c r="G2" s="59"/>
      <c r="H2" s="59"/>
    </row>
    <row r="3" spans="1:17" ht="27" customHeight="1" x14ac:dyDescent="0.3">
      <c r="A3" s="34" t="s">
        <v>22</v>
      </c>
      <c r="B3" s="33" t="s">
        <v>41</v>
      </c>
      <c r="C3" s="33" t="s">
        <v>44</v>
      </c>
      <c r="D3" s="33" t="s">
        <v>28</v>
      </c>
      <c r="E3" s="33" t="s">
        <v>50</v>
      </c>
      <c r="G3" s="51" t="s">
        <v>22</v>
      </c>
      <c r="H3" s="51" t="s">
        <v>41</v>
      </c>
      <c r="I3" s="35" t="s">
        <v>44</v>
      </c>
      <c r="J3" s="35" t="s">
        <v>28</v>
      </c>
      <c r="K3" s="35" t="s">
        <v>50</v>
      </c>
      <c r="L3" s="36" t="s">
        <v>30</v>
      </c>
      <c r="M3" s="36" t="s">
        <v>42</v>
      </c>
      <c r="N3" s="36" t="s">
        <v>21</v>
      </c>
      <c r="O3" s="36" t="s">
        <v>20</v>
      </c>
      <c r="P3" s="37" t="s">
        <v>62</v>
      </c>
      <c r="Q3" s="37" t="s">
        <v>63</v>
      </c>
    </row>
    <row r="4" spans="1:17" x14ac:dyDescent="0.3">
      <c r="A4" s="38" t="s">
        <v>7</v>
      </c>
      <c r="B4" s="33">
        <v>2725736</v>
      </c>
      <c r="C4" s="33">
        <v>101882</v>
      </c>
      <c r="D4" s="33">
        <v>1017772</v>
      </c>
      <c r="E4" s="33">
        <v>2558854</v>
      </c>
      <c r="G4" s="35" t="s">
        <v>7</v>
      </c>
      <c r="H4" s="32">
        <v>2725736</v>
      </c>
      <c r="I4" s="32">
        <v>101882</v>
      </c>
      <c r="J4" s="32">
        <v>1017772</v>
      </c>
      <c r="K4" s="32">
        <v>2558854</v>
      </c>
      <c r="L4" s="32">
        <f>SUM(H4:I4)</f>
        <v>2827618</v>
      </c>
      <c r="M4" s="30">
        <f>H4/(H4+I4)</f>
        <v>0.96396896610503968</v>
      </c>
      <c r="N4" s="30">
        <f>J4/H4</f>
        <v>0.37339346143573698</v>
      </c>
      <c r="O4" s="30">
        <f>K4/H4</f>
        <v>0.93877543533196173</v>
      </c>
      <c r="P4" s="30">
        <f>H4/H6</f>
        <v>0.58669835058514086</v>
      </c>
      <c r="Q4" s="30">
        <f>J4/J6</f>
        <v>0.57302110012042895</v>
      </c>
    </row>
    <row r="5" spans="1:17" x14ac:dyDescent="0.3">
      <c r="A5" s="38" t="s">
        <v>8</v>
      </c>
      <c r="B5" s="33">
        <v>1920154</v>
      </c>
      <c r="C5" s="33">
        <v>57657</v>
      </c>
      <c r="D5" s="33">
        <v>758379</v>
      </c>
      <c r="E5" s="33">
        <v>1669105</v>
      </c>
      <c r="G5" s="35" t="s">
        <v>8</v>
      </c>
      <c r="H5" s="32">
        <v>1920154</v>
      </c>
      <c r="I5" s="32">
        <v>57657</v>
      </c>
      <c r="J5" s="32">
        <v>758379</v>
      </c>
      <c r="K5" s="32">
        <v>1669105</v>
      </c>
      <c r="L5" s="32">
        <f t="shared" ref="L5:L6" si="0">SUM(H5:I5)</f>
        <v>1977811</v>
      </c>
      <c r="M5" s="30">
        <f t="shared" ref="M5:M6" si="1">H5/(H5+I5)</f>
        <v>0.97084807395651052</v>
      </c>
      <c r="N5" s="30">
        <f t="shared" ref="N5:N6" si="2">J5/H5</f>
        <v>0.39495738362652161</v>
      </c>
      <c r="O5" s="30">
        <f t="shared" ref="O5:O6" si="3">K5/H5</f>
        <v>0.86925579927443319</v>
      </c>
      <c r="P5" s="30">
        <f>H5/H6</f>
        <v>0.41330164941485914</v>
      </c>
      <c r="Q5" s="30">
        <f>J5/J6</f>
        <v>0.42697889987957105</v>
      </c>
    </row>
    <row r="6" spans="1:17" x14ac:dyDescent="0.3">
      <c r="A6" s="38" t="s">
        <v>19</v>
      </c>
      <c r="B6" s="33">
        <v>4645890</v>
      </c>
      <c r="C6" s="33">
        <v>159539</v>
      </c>
      <c r="D6" s="33">
        <v>1776151</v>
      </c>
      <c r="E6" s="33">
        <v>4227959</v>
      </c>
      <c r="G6" s="35" t="s">
        <v>19</v>
      </c>
      <c r="H6" s="39">
        <v>4645890</v>
      </c>
      <c r="I6" s="39">
        <v>159539</v>
      </c>
      <c r="J6" s="39">
        <v>1776151</v>
      </c>
      <c r="K6" s="39">
        <v>4227959</v>
      </c>
      <c r="L6" s="39">
        <f t="shared" si="0"/>
        <v>4805429</v>
      </c>
      <c r="M6" s="31">
        <f t="shared" si="1"/>
        <v>0.96680025862415198</v>
      </c>
      <c r="N6" s="31">
        <f t="shared" si="2"/>
        <v>0.38230586604504196</v>
      </c>
      <c r="O6" s="31">
        <f t="shared" si="3"/>
        <v>0.91004285508266447</v>
      </c>
      <c r="P6" s="30"/>
      <c r="Q6" s="29"/>
    </row>
    <row r="7" spans="1:17" ht="71.400000000000006" customHeight="1" x14ac:dyDescent="0.3">
      <c r="G7" s="62" t="s">
        <v>64</v>
      </c>
      <c r="H7" s="62"/>
      <c r="I7" s="62"/>
      <c r="J7" s="62"/>
      <c r="K7" s="62"/>
      <c r="M7" s="29"/>
      <c r="N7" s="29"/>
      <c r="O7" s="29"/>
      <c r="P7" s="29"/>
      <c r="Q7" s="29"/>
    </row>
    <row r="8" spans="1:17" x14ac:dyDescent="0.3">
      <c r="G8" s="40"/>
      <c r="H8" s="40"/>
      <c r="I8" s="40"/>
      <c r="J8" s="40"/>
      <c r="K8" s="40"/>
    </row>
    <row r="10" spans="1:17" x14ac:dyDescent="0.3">
      <c r="A10" s="59" t="s">
        <v>45</v>
      </c>
      <c r="B10" s="59"/>
      <c r="C10" s="59"/>
      <c r="D10" s="59"/>
      <c r="E10" s="59"/>
      <c r="F10" s="59"/>
      <c r="G10" s="59"/>
      <c r="H10" s="59"/>
    </row>
    <row r="11" spans="1:17" x14ac:dyDescent="0.3">
      <c r="A11" s="34" t="s">
        <v>41</v>
      </c>
      <c r="B11" s="34" t="s">
        <v>43</v>
      </c>
    </row>
    <row r="12" spans="1:17" x14ac:dyDescent="0.3">
      <c r="A12" s="34" t="s">
        <v>22</v>
      </c>
      <c r="B12" s="33" t="s">
        <v>7</v>
      </c>
      <c r="C12" s="33" t="s">
        <v>8</v>
      </c>
      <c r="D12" s="33" t="s">
        <v>19</v>
      </c>
      <c r="G12" s="35" t="s">
        <v>22</v>
      </c>
      <c r="H12" s="35" t="s">
        <v>7</v>
      </c>
      <c r="I12" s="35" t="s">
        <v>8</v>
      </c>
      <c r="J12" s="35" t="s">
        <v>19</v>
      </c>
    </row>
    <row r="13" spans="1:17" x14ac:dyDescent="0.3">
      <c r="A13" s="38" t="s">
        <v>6</v>
      </c>
      <c r="B13" s="33">
        <v>420622</v>
      </c>
      <c r="C13" s="33">
        <v>361594</v>
      </c>
      <c r="D13" s="33">
        <v>782216</v>
      </c>
      <c r="G13" s="35" t="s">
        <v>6</v>
      </c>
      <c r="H13" s="32">
        <v>420622</v>
      </c>
      <c r="I13" s="32">
        <v>361594</v>
      </c>
      <c r="J13" s="39">
        <v>782216</v>
      </c>
    </row>
    <row r="14" spans="1:17" x14ac:dyDescent="0.3">
      <c r="A14" s="38" t="s">
        <v>10</v>
      </c>
      <c r="B14" s="33">
        <v>2305007</v>
      </c>
      <c r="C14" s="33">
        <v>358</v>
      </c>
      <c r="D14" s="33">
        <v>2305365</v>
      </c>
      <c r="G14" s="35" t="s">
        <v>10</v>
      </c>
      <c r="H14" s="32">
        <v>2305007</v>
      </c>
      <c r="I14" s="32">
        <v>358</v>
      </c>
      <c r="J14" s="39">
        <v>2305365</v>
      </c>
    </row>
    <row r="15" spans="1:17" x14ac:dyDescent="0.3">
      <c r="A15" s="38" t="s">
        <v>9</v>
      </c>
      <c r="B15" s="33">
        <v>107</v>
      </c>
      <c r="C15" s="33">
        <v>1558202</v>
      </c>
      <c r="D15" s="33">
        <v>1558309</v>
      </c>
      <c r="G15" s="35" t="s">
        <v>9</v>
      </c>
      <c r="H15" s="32">
        <v>107</v>
      </c>
      <c r="I15" s="32">
        <v>1558202</v>
      </c>
      <c r="J15" s="39">
        <v>1558309</v>
      </c>
    </row>
    <row r="16" spans="1:17" x14ac:dyDescent="0.3">
      <c r="A16" s="38" t="s">
        <v>19</v>
      </c>
      <c r="B16" s="33">
        <v>2725736</v>
      </c>
      <c r="C16" s="33">
        <v>1920154</v>
      </c>
      <c r="D16" s="33">
        <v>4645890</v>
      </c>
      <c r="G16" s="35" t="s">
        <v>19</v>
      </c>
      <c r="H16" s="39">
        <v>2725736</v>
      </c>
      <c r="I16" s="39">
        <v>1920154</v>
      </c>
      <c r="J16" s="39">
        <v>4645890</v>
      </c>
    </row>
    <row r="20" spans="1:11" x14ac:dyDescent="0.3">
      <c r="A20" s="59" t="s">
        <v>46</v>
      </c>
      <c r="B20" s="59"/>
      <c r="C20" s="59"/>
      <c r="D20" s="59"/>
      <c r="E20" s="59"/>
      <c r="F20" s="59"/>
      <c r="G20" s="59"/>
      <c r="H20" s="59"/>
    </row>
    <row r="21" spans="1:11" x14ac:dyDescent="0.3">
      <c r="A21" s="34" t="s">
        <v>44</v>
      </c>
      <c r="B21" s="34" t="s">
        <v>43</v>
      </c>
    </row>
    <row r="22" spans="1:11" x14ac:dyDescent="0.3">
      <c r="A22" s="34" t="s">
        <v>22</v>
      </c>
      <c r="B22" s="33" t="s">
        <v>7</v>
      </c>
      <c r="C22" s="33" t="s">
        <v>8</v>
      </c>
      <c r="D22" s="33" t="s">
        <v>19</v>
      </c>
      <c r="G22" s="35" t="s">
        <v>22</v>
      </c>
      <c r="H22" s="35" t="s">
        <v>7</v>
      </c>
      <c r="I22" s="35" t="s">
        <v>8</v>
      </c>
      <c r="J22" s="35" t="s">
        <v>19</v>
      </c>
    </row>
    <row r="23" spans="1:11" x14ac:dyDescent="0.3">
      <c r="A23" s="38" t="s">
        <v>6</v>
      </c>
      <c r="B23" s="33">
        <v>15875</v>
      </c>
      <c r="C23" s="33">
        <v>15875</v>
      </c>
      <c r="D23" s="33">
        <v>31750</v>
      </c>
      <c r="G23" s="35" t="s">
        <v>6</v>
      </c>
      <c r="H23" s="32">
        <v>15875</v>
      </c>
      <c r="I23" s="32">
        <v>15875</v>
      </c>
      <c r="J23" s="39">
        <v>31750</v>
      </c>
    </row>
    <row r="24" spans="1:11" x14ac:dyDescent="0.3">
      <c r="A24" s="38" t="s">
        <v>10</v>
      </c>
      <c r="B24" s="33">
        <v>85999</v>
      </c>
      <c r="C24" s="33">
        <v>51</v>
      </c>
      <c r="D24" s="33">
        <v>86050</v>
      </c>
      <c r="G24" s="35" t="s">
        <v>10</v>
      </c>
      <c r="H24" s="32">
        <v>85999</v>
      </c>
      <c r="I24" s="32">
        <v>51</v>
      </c>
      <c r="J24" s="39">
        <v>86050</v>
      </c>
    </row>
    <row r="25" spans="1:11" x14ac:dyDescent="0.3">
      <c r="A25" s="38" t="s">
        <v>9</v>
      </c>
      <c r="B25" s="33">
        <v>8</v>
      </c>
      <c r="C25" s="33">
        <v>41731</v>
      </c>
      <c r="D25" s="33">
        <v>41739</v>
      </c>
      <c r="G25" s="35" t="s">
        <v>9</v>
      </c>
      <c r="H25" s="32">
        <v>8</v>
      </c>
      <c r="I25" s="32">
        <v>41731</v>
      </c>
      <c r="J25" s="39">
        <v>41739</v>
      </c>
    </row>
    <row r="26" spans="1:11" x14ac:dyDescent="0.3">
      <c r="A26" s="38" t="s">
        <v>19</v>
      </c>
      <c r="B26" s="33">
        <v>101882</v>
      </c>
      <c r="C26" s="33">
        <v>57657</v>
      </c>
      <c r="D26" s="33">
        <v>159539</v>
      </c>
      <c r="G26" s="35" t="s">
        <v>19</v>
      </c>
      <c r="H26" s="39">
        <v>101882</v>
      </c>
      <c r="I26" s="39">
        <v>57657</v>
      </c>
      <c r="J26" s="39">
        <v>159539</v>
      </c>
    </row>
    <row r="29" spans="1:11" x14ac:dyDescent="0.3">
      <c r="A29" s="59" t="s">
        <v>53</v>
      </c>
      <c r="B29" s="59"/>
      <c r="C29" s="59"/>
      <c r="D29" s="59"/>
      <c r="E29" s="59"/>
      <c r="F29" s="59"/>
      <c r="G29" s="59"/>
      <c r="H29" s="59"/>
    </row>
    <row r="30" spans="1:11" x14ac:dyDescent="0.3">
      <c r="A30" s="34" t="s">
        <v>49</v>
      </c>
      <c r="B30" s="33" t="s">
        <v>47</v>
      </c>
      <c r="C30" s="33" t="s">
        <v>52</v>
      </c>
      <c r="G30" s="51" t="s">
        <v>49</v>
      </c>
      <c r="H30" s="51" t="s">
        <v>47</v>
      </c>
      <c r="I30" s="35" t="s">
        <v>52</v>
      </c>
      <c r="J30" s="36" t="s">
        <v>20</v>
      </c>
      <c r="K30" s="36" t="s">
        <v>48</v>
      </c>
    </row>
    <row r="31" spans="1:11" x14ac:dyDescent="0.3">
      <c r="A31" s="38" t="s">
        <v>35</v>
      </c>
      <c r="B31" s="33">
        <v>3939199</v>
      </c>
      <c r="C31" s="33">
        <v>3586307</v>
      </c>
      <c r="G31" s="35" t="s">
        <v>35</v>
      </c>
      <c r="H31" s="32">
        <v>3939199</v>
      </c>
      <c r="I31" s="32">
        <v>3586307</v>
      </c>
      <c r="J31" s="30">
        <f>I31/H31</f>
        <v>0.91041529001200494</v>
      </c>
      <c r="K31" s="30">
        <f>H31/H33</f>
        <v>0.84788899435845444</v>
      </c>
    </row>
    <row r="32" spans="1:11" x14ac:dyDescent="0.3">
      <c r="A32" s="38" t="s">
        <v>33</v>
      </c>
      <c r="B32" s="33">
        <v>706691</v>
      </c>
      <c r="C32" s="33">
        <v>641652</v>
      </c>
      <c r="G32" s="35" t="s">
        <v>33</v>
      </c>
      <c r="H32" s="32">
        <v>706691</v>
      </c>
      <c r="I32" s="32">
        <v>641652</v>
      </c>
      <c r="J32" s="30">
        <f t="shared" ref="J32:J33" si="4">I32/H32</f>
        <v>0.90796684831135532</v>
      </c>
      <c r="K32" s="30">
        <f>H32/H33</f>
        <v>0.15211100564154553</v>
      </c>
    </row>
    <row r="33" spans="1:14" x14ac:dyDescent="0.3">
      <c r="A33" s="38" t="s">
        <v>19</v>
      </c>
      <c r="B33" s="33">
        <v>4645890</v>
      </c>
      <c r="C33" s="33">
        <v>4227959</v>
      </c>
      <c r="G33" s="35" t="s">
        <v>19</v>
      </c>
      <c r="H33" s="39">
        <v>4645890</v>
      </c>
      <c r="I33" s="39">
        <v>4227959</v>
      </c>
      <c r="J33" s="31">
        <f t="shared" si="4"/>
        <v>0.91004285508266447</v>
      </c>
      <c r="K33" s="30"/>
    </row>
    <row r="34" spans="1:14" ht="32.4" customHeight="1" x14ac:dyDescent="0.3">
      <c r="A34" s="60" t="s">
        <v>54</v>
      </c>
      <c r="B34" s="61"/>
      <c r="C34" s="61"/>
    </row>
    <row r="38" spans="1:14" x14ac:dyDescent="0.3">
      <c r="A38" s="59" t="s">
        <v>51</v>
      </c>
      <c r="B38" s="59"/>
      <c r="C38" s="59"/>
      <c r="D38" s="59"/>
      <c r="E38" s="59"/>
      <c r="F38" s="59"/>
      <c r="G38" s="59"/>
      <c r="H38" s="59"/>
    </row>
    <row r="39" spans="1:14" x14ac:dyDescent="0.3">
      <c r="A39" s="34" t="s">
        <v>49</v>
      </c>
      <c r="B39" s="33" t="s">
        <v>56</v>
      </c>
      <c r="C39" s="33" t="s">
        <v>57</v>
      </c>
      <c r="D39" s="33" t="s">
        <v>58</v>
      </c>
      <c r="E39" s="33" t="s">
        <v>59</v>
      </c>
      <c r="G39" s="51" t="s">
        <v>49</v>
      </c>
      <c r="H39" s="51" t="s">
        <v>56</v>
      </c>
      <c r="I39" s="35" t="s">
        <v>57</v>
      </c>
      <c r="J39" s="35" t="s">
        <v>58</v>
      </c>
      <c r="K39" s="35" t="s">
        <v>59</v>
      </c>
      <c r="L39" s="41" t="s">
        <v>55</v>
      </c>
      <c r="M39" s="41" t="s">
        <v>60</v>
      </c>
      <c r="N39" s="41" t="s">
        <v>48</v>
      </c>
    </row>
    <row r="40" spans="1:14" x14ac:dyDescent="0.3">
      <c r="A40" s="38" t="s">
        <v>37</v>
      </c>
      <c r="B40" s="33">
        <v>705452</v>
      </c>
      <c r="C40" s="33">
        <v>24859</v>
      </c>
      <c r="D40" s="33">
        <v>642787</v>
      </c>
      <c r="E40" s="33">
        <v>249312</v>
      </c>
      <c r="G40" s="35" t="s">
        <v>37</v>
      </c>
      <c r="H40" s="32">
        <v>705452</v>
      </c>
      <c r="I40" s="32">
        <v>24859</v>
      </c>
      <c r="J40" s="32">
        <v>642787</v>
      </c>
      <c r="K40" s="32">
        <v>249312</v>
      </c>
      <c r="L40" s="30">
        <f>J40/H40</f>
        <v>0.91117042690360228</v>
      </c>
      <c r="M40" s="30">
        <f>K40/H40</f>
        <v>0.35340746074856971</v>
      </c>
      <c r="N40" s="30">
        <f>H40/$H$47</f>
        <v>0.15184431831145379</v>
      </c>
    </row>
    <row r="41" spans="1:14" x14ac:dyDescent="0.3">
      <c r="A41" s="38" t="s">
        <v>32</v>
      </c>
      <c r="B41" s="33">
        <v>662450</v>
      </c>
      <c r="C41" s="33">
        <v>22162</v>
      </c>
      <c r="D41" s="33">
        <v>603160</v>
      </c>
      <c r="E41" s="33">
        <v>272608</v>
      </c>
      <c r="G41" s="35" t="s">
        <v>32</v>
      </c>
      <c r="H41" s="32">
        <v>662450</v>
      </c>
      <c r="I41" s="32">
        <v>22162</v>
      </c>
      <c r="J41" s="32">
        <v>603160</v>
      </c>
      <c r="K41" s="32">
        <v>272608</v>
      </c>
      <c r="L41" s="30">
        <f t="shared" ref="L41:L47" si="5">J41/H41</f>
        <v>0.91049890557777946</v>
      </c>
      <c r="M41" s="30">
        <f t="shared" ref="M41:M47" si="6">K41/H41</f>
        <v>0.41151483130802324</v>
      </c>
      <c r="N41" s="30">
        <f t="shared" ref="N41:N46" si="7">H41/$H$47</f>
        <v>0.14258839533437082</v>
      </c>
    </row>
    <row r="42" spans="1:14" x14ac:dyDescent="0.3">
      <c r="A42" s="38" t="s">
        <v>34</v>
      </c>
      <c r="B42" s="33">
        <v>606395</v>
      </c>
      <c r="C42" s="33">
        <v>22020</v>
      </c>
      <c r="D42" s="33">
        <v>552041</v>
      </c>
      <c r="E42" s="33">
        <v>223558</v>
      </c>
      <c r="G42" s="35" t="s">
        <v>34</v>
      </c>
      <c r="H42" s="32">
        <v>606395</v>
      </c>
      <c r="I42" s="32">
        <v>22020</v>
      </c>
      <c r="J42" s="32">
        <v>552041</v>
      </c>
      <c r="K42" s="32">
        <v>223558</v>
      </c>
      <c r="L42" s="30">
        <f t="shared" si="5"/>
        <v>0.910365355914874</v>
      </c>
      <c r="M42" s="30">
        <f t="shared" si="6"/>
        <v>0.36866728782394315</v>
      </c>
      <c r="N42" s="30">
        <f t="shared" si="7"/>
        <v>0.13052289227682962</v>
      </c>
    </row>
    <row r="43" spans="1:14" x14ac:dyDescent="0.3">
      <c r="A43" s="38" t="s">
        <v>36</v>
      </c>
      <c r="B43" s="33">
        <v>616272</v>
      </c>
      <c r="C43" s="33">
        <v>18110</v>
      </c>
      <c r="D43" s="33">
        <v>556703</v>
      </c>
      <c r="E43" s="33">
        <v>238507</v>
      </c>
      <c r="G43" s="35" t="s">
        <v>36</v>
      </c>
      <c r="H43" s="32">
        <v>616272</v>
      </c>
      <c r="I43" s="32">
        <v>18110</v>
      </c>
      <c r="J43" s="32">
        <v>556703</v>
      </c>
      <c r="K43" s="32">
        <v>238507</v>
      </c>
      <c r="L43" s="30">
        <f t="shared" si="5"/>
        <v>0.90333975906742481</v>
      </c>
      <c r="M43" s="30">
        <f t="shared" si="6"/>
        <v>0.38701579821896825</v>
      </c>
      <c r="N43" s="30">
        <f t="shared" si="7"/>
        <v>0.13264885737716561</v>
      </c>
    </row>
    <row r="44" spans="1:14" x14ac:dyDescent="0.3">
      <c r="A44" s="38" t="s">
        <v>39</v>
      </c>
      <c r="B44" s="33">
        <v>653986</v>
      </c>
      <c r="C44" s="33">
        <v>23534</v>
      </c>
      <c r="D44" s="33">
        <v>597090</v>
      </c>
      <c r="E44" s="33">
        <v>257214</v>
      </c>
      <c r="G44" s="35" t="s">
        <v>39</v>
      </c>
      <c r="H44" s="32">
        <v>653986</v>
      </c>
      <c r="I44" s="32">
        <v>23534</v>
      </c>
      <c r="J44" s="32">
        <v>597090</v>
      </c>
      <c r="K44" s="32">
        <v>257214</v>
      </c>
      <c r="L44" s="30">
        <f t="shared" si="5"/>
        <v>0.91300119574425143</v>
      </c>
      <c r="M44" s="30">
        <f t="shared" si="6"/>
        <v>0.39330199729046189</v>
      </c>
      <c r="N44" s="30">
        <f t="shared" si="7"/>
        <v>0.14076657002210555</v>
      </c>
    </row>
    <row r="45" spans="1:14" x14ac:dyDescent="0.3">
      <c r="A45" s="38" t="s">
        <v>40</v>
      </c>
      <c r="B45" s="33">
        <v>698706</v>
      </c>
      <c r="C45" s="33">
        <v>22661</v>
      </c>
      <c r="D45" s="33">
        <v>633835</v>
      </c>
      <c r="E45" s="33">
        <v>255347</v>
      </c>
      <c r="G45" s="35" t="s">
        <v>40</v>
      </c>
      <c r="H45" s="32">
        <v>698706</v>
      </c>
      <c r="I45" s="32">
        <v>22661</v>
      </c>
      <c r="J45" s="32">
        <v>633835</v>
      </c>
      <c r="K45" s="32">
        <v>255347</v>
      </c>
      <c r="L45" s="30">
        <f t="shared" si="5"/>
        <v>0.90715551319152832</v>
      </c>
      <c r="M45" s="30">
        <f t="shared" si="6"/>
        <v>0.36545700194359287</v>
      </c>
      <c r="N45" s="30">
        <f t="shared" si="7"/>
        <v>0.1503922822107282</v>
      </c>
    </row>
    <row r="46" spans="1:14" x14ac:dyDescent="0.3">
      <c r="A46" s="38" t="s">
        <v>38</v>
      </c>
      <c r="B46" s="33">
        <v>702629</v>
      </c>
      <c r="C46" s="33">
        <v>26193</v>
      </c>
      <c r="D46" s="33">
        <v>642343</v>
      </c>
      <c r="E46" s="33">
        <v>279605</v>
      </c>
      <c r="G46" s="35" t="s">
        <v>38</v>
      </c>
      <c r="H46" s="32">
        <v>702629</v>
      </c>
      <c r="I46" s="32">
        <v>26193</v>
      </c>
      <c r="J46" s="32">
        <v>642343</v>
      </c>
      <c r="K46" s="32">
        <v>279605</v>
      </c>
      <c r="L46" s="30">
        <f t="shared" si="5"/>
        <v>0.91419938545092783</v>
      </c>
      <c r="M46" s="30">
        <f t="shared" si="6"/>
        <v>0.39794116098253846</v>
      </c>
      <c r="N46" s="30">
        <f t="shared" si="7"/>
        <v>0.15123668446734639</v>
      </c>
    </row>
    <row r="47" spans="1:14" x14ac:dyDescent="0.3">
      <c r="A47" s="38" t="s">
        <v>19</v>
      </c>
      <c r="B47" s="33">
        <v>4645890</v>
      </c>
      <c r="C47" s="33">
        <v>159539</v>
      </c>
      <c r="D47" s="33">
        <v>4227959</v>
      </c>
      <c r="E47" s="33">
        <v>1776151</v>
      </c>
      <c r="G47" s="35" t="s">
        <v>19</v>
      </c>
      <c r="H47" s="39">
        <v>4645890</v>
      </c>
      <c r="I47" s="39">
        <v>159539</v>
      </c>
      <c r="J47" s="39">
        <v>4227959</v>
      </c>
      <c r="K47" s="39">
        <v>1776151</v>
      </c>
      <c r="L47" s="31">
        <f t="shared" si="5"/>
        <v>0.91004285508266447</v>
      </c>
      <c r="M47" s="31">
        <f t="shared" si="6"/>
        <v>0.38230586604504196</v>
      </c>
      <c r="N47" s="29"/>
    </row>
  </sheetData>
  <mergeCells count="7">
    <mergeCell ref="A38:H38"/>
    <mergeCell ref="A34:C34"/>
    <mergeCell ref="G7:K7"/>
    <mergeCell ref="A2:H2"/>
    <mergeCell ref="A10:H10"/>
    <mergeCell ref="A20:H20"/>
    <mergeCell ref="A29:H29"/>
  </mergeCells>
  <pageMargins left="0.7" right="0.7" top="0.75" bottom="0.75" header="0.3" footer="0.3"/>
  <ignoredErrors>
    <ignoredError sqref="L4:L6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9F936-0FB5-4DB9-AF50-9956ADE9CAF6}">
  <sheetPr>
    <tabColor theme="4" tint="0.79998168889431442"/>
  </sheetPr>
  <dimension ref="A1"/>
  <sheetViews>
    <sheetView workbookViewId="0">
      <selection activeCell="U10" sqref="U1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F56D-4707-4C2A-9CFB-1ADB90C3E1BF}">
  <sheetPr>
    <tabColor theme="5" tint="0.79998168889431442"/>
  </sheetPr>
  <dimension ref="A1:E548"/>
  <sheetViews>
    <sheetView workbookViewId="0">
      <selection activeCell="D16" sqref="D16"/>
    </sheetView>
  </sheetViews>
  <sheetFormatPr defaultRowHeight="14.4" x14ac:dyDescent="0.3"/>
  <cols>
    <col min="1" max="1" width="12.109375" customWidth="1"/>
    <col min="2" max="2" width="21" customWidth="1"/>
    <col min="3" max="3" width="29.5546875" customWidth="1"/>
    <col min="4" max="4" width="42.5546875" customWidth="1"/>
    <col min="5" max="5" width="42.77734375" customWidth="1"/>
  </cols>
  <sheetData>
    <row r="1" spans="1:5" x14ac:dyDescent="0.3">
      <c r="A1" t="s">
        <v>18</v>
      </c>
      <c r="B1" t="s">
        <v>41</v>
      </c>
      <c r="C1" t="s">
        <v>66</v>
      </c>
      <c r="D1" t="s">
        <v>67</v>
      </c>
      <c r="E1" t="s">
        <v>68</v>
      </c>
    </row>
    <row r="2" spans="1:5" x14ac:dyDescent="0.3">
      <c r="A2" s="17">
        <v>45292</v>
      </c>
      <c r="B2" s="42">
        <v>20136</v>
      </c>
    </row>
    <row r="3" spans="1:5" x14ac:dyDescent="0.3">
      <c r="A3" s="17">
        <v>45293</v>
      </c>
      <c r="B3" s="42">
        <v>15329</v>
      </c>
    </row>
    <row r="4" spans="1:5" x14ac:dyDescent="0.3">
      <c r="A4" s="17">
        <v>45294</v>
      </c>
      <c r="B4" s="42">
        <v>15820</v>
      </c>
    </row>
    <row r="5" spans="1:5" x14ac:dyDescent="0.3">
      <c r="A5" s="17">
        <v>45295</v>
      </c>
      <c r="B5" s="42">
        <v>16531</v>
      </c>
    </row>
    <row r="6" spans="1:5" x14ac:dyDescent="0.3">
      <c r="A6" s="17">
        <v>45296</v>
      </c>
      <c r="B6" s="42">
        <v>16624</v>
      </c>
    </row>
    <row r="7" spans="1:5" x14ac:dyDescent="0.3">
      <c r="A7" s="17">
        <v>45297</v>
      </c>
      <c r="B7" s="42">
        <v>18738</v>
      </c>
    </row>
    <row r="8" spans="1:5" x14ac:dyDescent="0.3">
      <c r="A8" s="17">
        <v>45298</v>
      </c>
      <c r="B8" s="42">
        <v>17245</v>
      </c>
    </row>
    <row r="9" spans="1:5" x14ac:dyDescent="0.3">
      <c r="A9" s="17">
        <v>45299</v>
      </c>
      <c r="B9" s="42">
        <v>14780</v>
      </c>
    </row>
    <row r="10" spans="1:5" x14ac:dyDescent="0.3">
      <c r="A10" s="17">
        <v>45300</v>
      </c>
      <c r="B10" s="42">
        <v>12844</v>
      </c>
    </row>
    <row r="11" spans="1:5" x14ac:dyDescent="0.3">
      <c r="A11" s="17">
        <v>45301</v>
      </c>
      <c r="B11" s="42">
        <v>13278</v>
      </c>
    </row>
    <row r="12" spans="1:5" x14ac:dyDescent="0.3">
      <c r="A12" s="17">
        <v>45302</v>
      </c>
      <c r="B12" s="42">
        <v>15659</v>
      </c>
    </row>
    <row r="13" spans="1:5" x14ac:dyDescent="0.3">
      <c r="A13" s="17">
        <v>45303</v>
      </c>
      <c r="B13" s="42">
        <v>16362</v>
      </c>
    </row>
    <row r="14" spans="1:5" x14ac:dyDescent="0.3">
      <c r="A14" s="17">
        <v>45304</v>
      </c>
      <c r="B14" s="42">
        <v>18430</v>
      </c>
    </row>
    <row r="15" spans="1:5" x14ac:dyDescent="0.3">
      <c r="A15" s="17">
        <v>45305</v>
      </c>
      <c r="B15" s="42">
        <v>17657</v>
      </c>
    </row>
    <row r="16" spans="1:5" x14ac:dyDescent="0.3">
      <c r="A16" s="17">
        <v>45306</v>
      </c>
      <c r="B16" s="42">
        <v>16325</v>
      </c>
    </row>
    <row r="17" spans="1:2" x14ac:dyDescent="0.3">
      <c r="A17" s="17">
        <v>45307</v>
      </c>
      <c r="B17" s="42">
        <v>15025</v>
      </c>
    </row>
    <row r="18" spans="1:2" x14ac:dyDescent="0.3">
      <c r="A18" s="17">
        <v>45308</v>
      </c>
      <c r="B18" s="42">
        <v>15982</v>
      </c>
    </row>
    <row r="19" spans="1:2" x14ac:dyDescent="0.3">
      <c r="A19" s="17">
        <v>45309</v>
      </c>
      <c r="B19" s="42">
        <v>16312</v>
      </c>
    </row>
    <row r="20" spans="1:2" x14ac:dyDescent="0.3">
      <c r="A20" s="17">
        <v>45310</v>
      </c>
      <c r="B20" s="42">
        <v>16713</v>
      </c>
    </row>
    <row r="21" spans="1:2" x14ac:dyDescent="0.3">
      <c r="A21" s="17">
        <v>45311</v>
      </c>
      <c r="B21" s="42">
        <v>18457</v>
      </c>
    </row>
    <row r="22" spans="1:2" x14ac:dyDescent="0.3">
      <c r="A22" s="17">
        <v>45312</v>
      </c>
      <c r="B22" s="42">
        <v>15916</v>
      </c>
    </row>
    <row r="23" spans="1:2" x14ac:dyDescent="0.3">
      <c r="A23" s="17">
        <v>45313</v>
      </c>
      <c r="B23" s="42">
        <v>13783</v>
      </c>
    </row>
    <row r="24" spans="1:2" x14ac:dyDescent="0.3">
      <c r="A24" s="17">
        <v>45314</v>
      </c>
      <c r="B24" s="42">
        <v>14095</v>
      </c>
    </row>
    <row r="25" spans="1:2" x14ac:dyDescent="0.3">
      <c r="A25" s="17">
        <v>45315</v>
      </c>
      <c r="B25" s="42">
        <v>15582</v>
      </c>
    </row>
    <row r="26" spans="1:2" x14ac:dyDescent="0.3">
      <c r="A26" s="17">
        <v>45316</v>
      </c>
      <c r="B26" s="42">
        <v>16417</v>
      </c>
    </row>
    <row r="27" spans="1:2" x14ac:dyDescent="0.3">
      <c r="A27" s="17">
        <v>45317</v>
      </c>
      <c r="B27" s="42">
        <v>18812</v>
      </c>
    </row>
    <row r="28" spans="1:2" x14ac:dyDescent="0.3">
      <c r="A28" s="17">
        <v>45318</v>
      </c>
      <c r="B28" s="42">
        <v>18622</v>
      </c>
    </row>
    <row r="29" spans="1:2" x14ac:dyDescent="0.3">
      <c r="A29" s="17">
        <v>45319</v>
      </c>
      <c r="B29" s="42">
        <v>17893</v>
      </c>
    </row>
    <row r="30" spans="1:2" x14ac:dyDescent="0.3">
      <c r="A30" s="17">
        <v>45320</v>
      </c>
      <c r="B30" s="42">
        <v>15986</v>
      </c>
    </row>
    <row r="31" spans="1:2" x14ac:dyDescent="0.3">
      <c r="A31" s="17">
        <v>45321</v>
      </c>
      <c r="B31" s="42">
        <v>16386</v>
      </c>
    </row>
    <row r="32" spans="1:2" x14ac:dyDescent="0.3">
      <c r="A32" s="17">
        <v>45322</v>
      </c>
      <c r="B32" s="42">
        <v>18030</v>
      </c>
    </row>
    <row r="33" spans="1:2" x14ac:dyDescent="0.3">
      <c r="A33" s="17">
        <v>45323</v>
      </c>
      <c r="B33" s="42">
        <v>20282</v>
      </c>
    </row>
    <row r="34" spans="1:2" x14ac:dyDescent="0.3">
      <c r="A34" s="17">
        <v>45324</v>
      </c>
      <c r="B34" s="42">
        <v>21414</v>
      </c>
    </row>
    <row r="35" spans="1:2" x14ac:dyDescent="0.3">
      <c r="A35" s="17">
        <v>45325</v>
      </c>
      <c r="B35" s="42">
        <v>10068</v>
      </c>
    </row>
    <row r="36" spans="1:2" x14ac:dyDescent="0.3">
      <c r="A36" s="17">
        <v>45326</v>
      </c>
      <c r="B36" s="42">
        <v>9513</v>
      </c>
    </row>
    <row r="37" spans="1:2" x14ac:dyDescent="0.3">
      <c r="A37" s="17">
        <v>45327</v>
      </c>
      <c r="B37" s="42">
        <v>12399</v>
      </c>
    </row>
    <row r="38" spans="1:2" x14ac:dyDescent="0.3">
      <c r="A38" s="17">
        <v>45328</v>
      </c>
      <c r="B38" s="42">
        <v>12024</v>
      </c>
    </row>
    <row r="39" spans="1:2" x14ac:dyDescent="0.3">
      <c r="A39" s="17">
        <v>45329</v>
      </c>
      <c r="B39" s="42">
        <v>12433</v>
      </c>
    </row>
    <row r="40" spans="1:2" x14ac:dyDescent="0.3">
      <c r="A40" s="17">
        <v>45330</v>
      </c>
      <c r="B40" s="42">
        <v>12810</v>
      </c>
    </row>
    <row r="41" spans="1:2" x14ac:dyDescent="0.3">
      <c r="A41" s="17">
        <v>45331</v>
      </c>
      <c r="B41" s="42">
        <v>13027</v>
      </c>
    </row>
    <row r="42" spans="1:2" x14ac:dyDescent="0.3">
      <c r="A42" s="17">
        <v>45332</v>
      </c>
      <c r="B42" s="42">
        <v>15956</v>
      </c>
    </row>
    <row r="43" spans="1:2" x14ac:dyDescent="0.3">
      <c r="A43" s="17">
        <v>45333</v>
      </c>
      <c r="B43" s="42">
        <v>18376</v>
      </c>
    </row>
    <row r="44" spans="1:2" x14ac:dyDescent="0.3">
      <c r="A44" s="17">
        <v>45334</v>
      </c>
      <c r="B44" s="42">
        <v>15690</v>
      </c>
    </row>
    <row r="45" spans="1:2" x14ac:dyDescent="0.3">
      <c r="A45" s="17">
        <v>45335</v>
      </c>
      <c r="B45" s="42">
        <v>16133</v>
      </c>
    </row>
    <row r="46" spans="1:2" x14ac:dyDescent="0.3">
      <c r="A46" s="17">
        <v>45336</v>
      </c>
      <c r="B46" s="42">
        <v>24899</v>
      </c>
    </row>
    <row r="47" spans="1:2" x14ac:dyDescent="0.3">
      <c r="A47" s="17">
        <v>45337</v>
      </c>
      <c r="B47" s="42">
        <v>20621</v>
      </c>
    </row>
    <row r="48" spans="1:2" x14ac:dyDescent="0.3">
      <c r="A48" s="17">
        <v>45338</v>
      </c>
      <c r="B48" s="42">
        <v>22597</v>
      </c>
    </row>
    <row r="49" spans="1:2" x14ac:dyDescent="0.3">
      <c r="A49" s="17">
        <v>45339</v>
      </c>
      <c r="B49" s="42">
        <v>21590</v>
      </c>
    </row>
    <row r="50" spans="1:2" x14ac:dyDescent="0.3">
      <c r="A50" s="17">
        <v>45340</v>
      </c>
      <c r="B50" s="42">
        <v>18501</v>
      </c>
    </row>
    <row r="51" spans="1:2" x14ac:dyDescent="0.3">
      <c r="A51" s="17">
        <v>45341</v>
      </c>
      <c r="B51" s="42">
        <v>18335</v>
      </c>
    </row>
    <row r="52" spans="1:2" x14ac:dyDescent="0.3">
      <c r="A52" s="17">
        <v>45342</v>
      </c>
      <c r="B52" s="42">
        <v>14867</v>
      </c>
    </row>
    <row r="53" spans="1:2" x14ac:dyDescent="0.3">
      <c r="A53" s="17">
        <v>45343</v>
      </c>
      <c r="B53" s="42">
        <v>18593</v>
      </c>
    </row>
    <row r="54" spans="1:2" x14ac:dyDescent="0.3">
      <c r="A54" s="17">
        <v>45344</v>
      </c>
      <c r="B54" s="42">
        <v>19295</v>
      </c>
    </row>
    <row r="55" spans="1:2" x14ac:dyDescent="0.3">
      <c r="A55" s="17">
        <v>45345</v>
      </c>
      <c r="B55" s="42">
        <v>22591</v>
      </c>
    </row>
    <row r="56" spans="1:2" x14ac:dyDescent="0.3">
      <c r="A56" s="17">
        <v>45346</v>
      </c>
      <c r="B56" s="42">
        <v>17542</v>
      </c>
    </row>
    <row r="57" spans="1:2" x14ac:dyDescent="0.3">
      <c r="A57" s="17">
        <v>45347</v>
      </c>
      <c r="B57" s="42">
        <v>16499</v>
      </c>
    </row>
    <row r="58" spans="1:2" x14ac:dyDescent="0.3">
      <c r="A58" s="17">
        <v>45348</v>
      </c>
      <c r="B58" s="42">
        <v>18844</v>
      </c>
    </row>
    <row r="59" spans="1:2" x14ac:dyDescent="0.3">
      <c r="A59" s="17">
        <v>45349</v>
      </c>
      <c r="B59" s="42">
        <v>14771</v>
      </c>
    </row>
    <row r="60" spans="1:2" x14ac:dyDescent="0.3">
      <c r="A60" s="17">
        <v>45350</v>
      </c>
      <c r="B60" s="42">
        <v>15712</v>
      </c>
    </row>
    <row r="61" spans="1:2" x14ac:dyDescent="0.3">
      <c r="A61" s="17">
        <v>45351</v>
      </c>
      <c r="B61" s="42">
        <v>18229</v>
      </c>
    </row>
    <row r="62" spans="1:2" x14ac:dyDescent="0.3">
      <c r="A62" s="17">
        <v>45352</v>
      </c>
      <c r="B62" s="42">
        <v>18637</v>
      </c>
    </row>
    <row r="63" spans="1:2" x14ac:dyDescent="0.3">
      <c r="A63" s="17">
        <v>45353</v>
      </c>
      <c r="B63" s="42">
        <v>18471</v>
      </c>
    </row>
    <row r="64" spans="1:2" x14ac:dyDescent="0.3">
      <c r="A64" s="17">
        <v>45354</v>
      </c>
      <c r="B64" s="42">
        <v>17875</v>
      </c>
    </row>
    <row r="65" spans="1:2" x14ac:dyDescent="0.3">
      <c r="A65" s="17">
        <v>45355</v>
      </c>
      <c r="B65" s="42">
        <v>17819</v>
      </c>
    </row>
    <row r="66" spans="1:2" x14ac:dyDescent="0.3">
      <c r="A66" s="17">
        <v>45356</v>
      </c>
      <c r="B66" s="42">
        <v>16940</v>
      </c>
    </row>
    <row r="67" spans="1:2" x14ac:dyDescent="0.3">
      <c r="A67" s="17">
        <v>45357</v>
      </c>
      <c r="B67" s="42">
        <v>15235</v>
      </c>
    </row>
    <row r="68" spans="1:2" x14ac:dyDescent="0.3">
      <c r="A68" s="17">
        <v>45358</v>
      </c>
      <c r="B68" s="42">
        <v>17196</v>
      </c>
    </row>
    <row r="69" spans="1:2" x14ac:dyDescent="0.3">
      <c r="A69" s="17">
        <v>45359</v>
      </c>
      <c r="B69" s="42">
        <v>16030</v>
      </c>
    </row>
    <row r="70" spans="1:2" x14ac:dyDescent="0.3">
      <c r="A70" s="17">
        <v>45360</v>
      </c>
      <c r="B70" s="42">
        <v>18078</v>
      </c>
    </row>
    <row r="71" spans="1:2" x14ac:dyDescent="0.3">
      <c r="A71" s="17">
        <v>45361</v>
      </c>
      <c r="B71" s="42">
        <v>18033</v>
      </c>
    </row>
    <row r="72" spans="1:2" x14ac:dyDescent="0.3">
      <c r="A72" s="17">
        <v>45362</v>
      </c>
      <c r="B72" s="42">
        <v>19387</v>
      </c>
    </row>
    <row r="73" spans="1:2" x14ac:dyDescent="0.3">
      <c r="A73" s="17">
        <v>45363</v>
      </c>
      <c r="B73" s="42">
        <v>13060</v>
      </c>
    </row>
    <row r="74" spans="1:2" x14ac:dyDescent="0.3">
      <c r="A74" s="17">
        <v>45364</v>
      </c>
      <c r="B74" s="42">
        <v>12636</v>
      </c>
    </row>
    <row r="75" spans="1:2" x14ac:dyDescent="0.3">
      <c r="A75" s="17">
        <v>45365</v>
      </c>
      <c r="B75" s="42">
        <v>13948</v>
      </c>
    </row>
    <row r="76" spans="1:2" x14ac:dyDescent="0.3">
      <c r="A76" s="17">
        <v>45366</v>
      </c>
      <c r="B76" s="42">
        <v>13004</v>
      </c>
    </row>
    <row r="77" spans="1:2" x14ac:dyDescent="0.3">
      <c r="A77" s="17">
        <v>45367</v>
      </c>
      <c r="B77" s="42">
        <v>13412</v>
      </c>
    </row>
    <row r="78" spans="1:2" x14ac:dyDescent="0.3">
      <c r="A78" s="17">
        <v>45368</v>
      </c>
      <c r="B78" s="42">
        <v>14826</v>
      </c>
    </row>
    <row r="79" spans="1:2" x14ac:dyDescent="0.3">
      <c r="A79" s="17">
        <v>45369</v>
      </c>
      <c r="B79" s="42">
        <v>15718</v>
      </c>
    </row>
    <row r="80" spans="1:2" x14ac:dyDescent="0.3">
      <c r="A80" s="17">
        <v>45370</v>
      </c>
      <c r="B80" s="42">
        <v>9688</v>
      </c>
    </row>
    <row r="81" spans="1:2" x14ac:dyDescent="0.3">
      <c r="A81" s="17">
        <v>45371</v>
      </c>
      <c r="B81" s="42">
        <v>8824</v>
      </c>
    </row>
    <row r="82" spans="1:2" x14ac:dyDescent="0.3">
      <c r="A82" s="17">
        <v>45372</v>
      </c>
      <c r="B82" s="42">
        <v>8941</v>
      </c>
    </row>
    <row r="83" spans="1:2" x14ac:dyDescent="0.3">
      <c r="A83" s="17">
        <v>45373</v>
      </c>
      <c r="B83" s="42">
        <v>11563</v>
      </c>
    </row>
    <row r="84" spans="1:2" x14ac:dyDescent="0.3">
      <c r="A84" s="17">
        <v>45374</v>
      </c>
      <c r="B84" s="42">
        <v>10395</v>
      </c>
    </row>
    <row r="85" spans="1:2" x14ac:dyDescent="0.3">
      <c r="A85" s="17">
        <v>45375</v>
      </c>
      <c r="B85" s="42">
        <v>9693</v>
      </c>
    </row>
    <row r="86" spans="1:2" x14ac:dyDescent="0.3">
      <c r="A86" s="17">
        <v>45376</v>
      </c>
      <c r="B86" s="42">
        <v>8101</v>
      </c>
    </row>
    <row r="87" spans="1:2" x14ac:dyDescent="0.3">
      <c r="A87" s="17">
        <v>45377</v>
      </c>
      <c r="B87" s="42">
        <v>7219</v>
      </c>
    </row>
    <row r="88" spans="1:2" x14ac:dyDescent="0.3">
      <c r="A88" s="17">
        <v>45378</v>
      </c>
      <c r="B88" s="42">
        <v>7609</v>
      </c>
    </row>
    <row r="89" spans="1:2" x14ac:dyDescent="0.3">
      <c r="A89" s="17">
        <v>45379</v>
      </c>
      <c r="B89" s="42">
        <v>8084</v>
      </c>
    </row>
    <row r="90" spans="1:2" x14ac:dyDescent="0.3">
      <c r="A90" s="17">
        <v>45380</v>
      </c>
      <c r="B90" s="42">
        <v>9683</v>
      </c>
    </row>
    <row r="91" spans="1:2" x14ac:dyDescent="0.3">
      <c r="A91" s="17">
        <v>45381</v>
      </c>
      <c r="B91" s="42">
        <v>10608</v>
      </c>
    </row>
    <row r="92" spans="1:2" x14ac:dyDescent="0.3">
      <c r="A92" s="17">
        <v>45382</v>
      </c>
      <c r="B92" s="42">
        <v>10573</v>
      </c>
    </row>
    <row r="93" spans="1:2" x14ac:dyDescent="0.3">
      <c r="A93" s="17">
        <v>45383</v>
      </c>
      <c r="B93" s="42">
        <v>8898</v>
      </c>
    </row>
    <row r="94" spans="1:2" x14ac:dyDescent="0.3">
      <c r="A94" s="17">
        <v>45384</v>
      </c>
      <c r="B94" s="42">
        <v>9010</v>
      </c>
    </row>
    <row r="95" spans="1:2" x14ac:dyDescent="0.3">
      <c r="A95" s="17">
        <v>45385</v>
      </c>
      <c r="B95" s="42">
        <v>9113</v>
      </c>
    </row>
    <row r="96" spans="1:2" x14ac:dyDescent="0.3">
      <c r="A96" s="17">
        <v>45386</v>
      </c>
      <c r="B96" s="42">
        <v>9474</v>
      </c>
    </row>
    <row r="97" spans="1:2" x14ac:dyDescent="0.3">
      <c r="A97" s="17">
        <v>45387</v>
      </c>
      <c r="B97" s="42">
        <v>10165</v>
      </c>
    </row>
    <row r="98" spans="1:2" x14ac:dyDescent="0.3">
      <c r="A98" s="17">
        <v>45388</v>
      </c>
      <c r="B98" s="42">
        <v>8818</v>
      </c>
    </row>
    <row r="99" spans="1:2" x14ac:dyDescent="0.3">
      <c r="A99" s="17">
        <v>45389</v>
      </c>
      <c r="B99" s="42">
        <v>9486</v>
      </c>
    </row>
    <row r="100" spans="1:2" x14ac:dyDescent="0.3">
      <c r="A100" s="17">
        <v>45390</v>
      </c>
      <c r="B100" s="42">
        <v>8276</v>
      </c>
    </row>
    <row r="101" spans="1:2" x14ac:dyDescent="0.3">
      <c r="A101" s="17">
        <v>45391</v>
      </c>
      <c r="B101" s="42">
        <v>7244</v>
      </c>
    </row>
    <row r="102" spans="1:2" x14ac:dyDescent="0.3">
      <c r="A102" s="17">
        <v>45392</v>
      </c>
      <c r="B102" s="42">
        <v>8289</v>
      </c>
    </row>
    <row r="103" spans="1:2" x14ac:dyDescent="0.3">
      <c r="A103" s="17">
        <v>45393</v>
      </c>
      <c r="B103" s="42">
        <v>8018</v>
      </c>
    </row>
    <row r="104" spans="1:2" x14ac:dyDescent="0.3">
      <c r="A104" s="17">
        <v>45394</v>
      </c>
      <c r="B104" s="42">
        <v>7837</v>
      </c>
    </row>
    <row r="105" spans="1:2" x14ac:dyDescent="0.3">
      <c r="A105" s="17">
        <v>45395</v>
      </c>
      <c r="B105" s="42">
        <v>8133</v>
      </c>
    </row>
    <row r="106" spans="1:2" x14ac:dyDescent="0.3">
      <c r="A106" s="17">
        <v>45396</v>
      </c>
      <c r="B106" s="42">
        <v>7765</v>
      </c>
    </row>
    <row r="107" spans="1:2" x14ac:dyDescent="0.3">
      <c r="A107" s="17">
        <v>45397</v>
      </c>
      <c r="B107" s="42">
        <v>8648</v>
      </c>
    </row>
    <row r="108" spans="1:2" x14ac:dyDescent="0.3">
      <c r="A108" s="17">
        <v>45398</v>
      </c>
      <c r="B108" s="42">
        <v>8783</v>
      </c>
    </row>
    <row r="109" spans="1:2" x14ac:dyDescent="0.3">
      <c r="A109" s="17">
        <v>45399</v>
      </c>
      <c r="B109" s="42">
        <v>8957</v>
      </c>
    </row>
    <row r="110" spans="1:2" x14ac:dyDescent="0.3">
      <c r="A110" s="17">
        <v>45400</v>
      </c>
      <c r="B110" s="42">
        <v>7662</v>
      </c>
    </row>
    <row r="111" spans="1:2" x14ac:dyDescent="0.3">
      <c r="A111" s="17">
        <v>45401</v>
      </c>
      <c r="B111" s="42">
        <v>7932</v>
      </c>
    </row>
    <row r="112" spans="1:2" x14ac:dyDescent="0.3">
      <c r="A112" s="17">
        <v>45402</v>
      </c>
      <c r="B112" s="42">
        <v>9613</v>
      </c>
    </row>
    <row r="113" spans="1:2" x14ac:dyDescent="0.3">
      <c r="A113" s="17">
        <v>45403</v>
      </c>
      <c r="B113" s="42">
        <v>9114</v>
      </c>
    </row>
    <row r="114" spans="1:2" x14ac:dyDescent="0.3">
      <c r="A114" s="17">
        <v>45404</v>
      </c>
      <c r="B114" s="42">
        <v>8920</v>
      </c>
    </row>
    <row r="115" spans="1:2" x14ac:dyDescent="0.3">
      <c r="A115" s="17">
        <v>45405</v>
      </c>
      <c r="B115" s="42">
        <v>7953</v>
      </c>
    </row>
    <row r="116" spans="1:2" x14ac:dyDescent="0.3">
      <c r="A116" s="17">
        <v>45406</v>
      </c>
      <c r="B116" s="42">
        <v>8356</v>
      </c>
    </row>
    <row r="117" spans="1:2" x14ac:dyDescent="0.3">
      <c r="A117" s="17">
        <v>45407</v>
      </c>
      <c r="B117" s="42">
        <v>9290</v>
      </c>
    </row>
    <row r="118" spans="1:2" x14ac:dyDescent="0.3">
      <c r="A118" s="17">
        <v>45408</v>
      </c>
      <c r="B118" s="42">
        <v>14154</v>
      </c>
    </row>
    <row r="119" spans="1:2" x14ac:dyDescent="0.3">
      <c r="A119" s="17">
        <v>45409</v>
      </c>
      <c r="B119" s="42">
        <v>15155</v>
      </c>
    </row>
    <row r="120" spans="1:2" x14ac:dyDescent="0.3">
      <c r="A120" s="17">
        <v>45410</v>
      </c>
      <c r="B120" s="42">
        <v>12348</v>
      </c>
    </row>
    <row r="121" spans="1:2" x14ac:dyDescent="0.3">
      <c r="A121" s="17">
        <v>45411</v>
      </c>
      <c r="B121" s="42">
        <v>9595</v>
      </c>
    </row>
    <row r="122" spans="1:2" x14ac:dyDescent="0.3">
      <c r="A122" s="17">
        <v>45412</v>
      </c>
      <c r="B122" s="42">
        <v>8285</v>
      </c>
    </row>
    <row r="123" spans="1:2" x14ac:dyDescent="0.3">
      <c r="A123" s="17">
        <v>45413</v>
      </c>
      <c r="B123" s="42">
        <v>8827</v>
      </c>
    </row>
    <row r="124" spans="1:2" x14ac:dyDescent="0.3">
      <c r="A124" s="17">
        <v>45414</v>
      </c>
      <c r="B124" s="42">
        <v>11536</v>
      </c>
    </row>
    <row r="125" spans="1:2" x14ac:dyDescent="0.3">
      <c r="A125" s="17">
        <v>45415</v>
      </c>
      <c r="B125" s="42">
        <v>12438</v>
      </c>
    </row>
    <row r="126" spans="1:2" x14ac:dyDescent="0.3">
      <c r="A126" s="17">
        <v>45416</v>
      </c>
      <c r="B126" s="42">
        <v>12580</v>
      </c>
    </row>
    <row r="127" spans="1:2" x14ac:dyDescent="0.3">
      <c r="A127" s="17">
        <v>45417</v>
      </c>
      <c r="B127" s="42">
        <v>16607</v>
      </c>
    </row>
    <row r="128" spans="1:2" x14ac:dyDescent="0.3">
      <c r="A128" s="17">
        <v>45418</v>
      </c>
      <c r="B128" s="42">
        <v>14116</v>
      </c>
    </row>
    <row r="129" spans="1:2" x14ac:dyDescent="0.3">
      <c r="A129" s="17">
        <v>45419</v>
      </c>
      <c r="B129" s="42">
        <v>9695</v>
      </c>
    </row>
    <row r="130" spans="1:2" x14ac:dyDescent="0.3">
      <c r="A130" s="17">
        <v>45420</v>
      </c>
      <c r="B130" s="42">
        <v>8865</v>
      </c>
    </row>
    <row r="131" spans="1:2" x14ac:dyDescent="0.3">
      <c r="A131" s="17">
        <v>45421</v>
      </c>
      <c r="B131" s="42">
        <v>11377</v>
      </c>
    </row>
    <row r="132" spans="1:2" x14ac:dyDescent="0.3">
      <c r="A132" s="17">
        <v>45422</v>
      </c>
      <c r="B132" s="42">
        <v>12672</v>
      </c>
    </row>
    <row r="133" spans="1:2" x14ac:dyDescent="0.3">
      <c r="A133" s="17">
        <v>45423</v>
      </c>
      <c r="B133" s="42">
        <v>10873</v>
      </c>
    </row>
    <row r="134" spans="1:2" x14ac:dyDescent="0.3">
      <c r="A134" s="17">
        <v>45424</v>
      </c>
      <c r="B134" s="42">
        <v>13601</v>
      </c>
    </row>
    <row r="135" spans="1:2" x14ac:dyDescent="0.3">
      <c r="A135" s="17">
        <v>45425</v>
      </c>
      <c r="B135" s="42">
        <v>10545</v>
      </c>
    </row>
    <row r="136" spans="1:2" x14ac:dyDescent="0.3">
      <c r="A136" s="17">
        <v>45426</v>
      </c>
      <c r="B136" s="42">
        <v>8967</v>
      </c>
    </row>
    <row r="137" spans="1:2" x14ac:dyDescent="0.3">
      <c r="A137" s="17">
        <v>45427</v>
      </c>
      <c r="B137" s="42">
        <v>7862</v>
      </c>
    </row>
    <row r="138" spans="1:2" x14ac:dyDescent="0.3">
      <c r="A138" s="17">
        <v>45428</v>
      </c>
      <c r="B138" s="42">
        <v>9137</v>
      </c>
    </row>
    <row r="139" spans="1:2" x14ac:dyDescent="0.3">
      <c r="A139" s="17">
        <v>45429</v>
      </c>
      <c r="B139" s="42">
        <v>11676</v>
      </c>
    </row>
    <row r="140" spans="1:2" x14ac:dyDescent="0.3">
      <c r="A140" s="17">
        <v>45430</v>
      </c>
      <c r="B140" s="42">
        <v>9346</v>
      </c>
    </row>
    <row r="141" spans="1:2" x14ac:dyDescent="0.3">
      <c r="A141" s="17">
        <v>45431</v>
      </c>
      <c r="B141" s="42">
        <v>9395</v>
      </c>
    </row>
    <row r="142" spans="1:2" x14ac:dyDescent="0.3">
      <c r="A142" s="17">
        <v>45432</v>
      </c>
      <c r="B142" s="42">
        <v>8968</v>
      </c>
    </row>
    <row r="143" spans="1:2" x14ac:dyDescent="0.3">
      <c r="A143" s="17">
        <v>45433</v>
      </c>
      <c r="B143" s="42">
        <v>7246</v>
      </c>
    </row>
    <row r="144" spans="1:2" x14ac:dyDescent="0.3">
      <c r="A144" s="17">
        <v>45434</v>
      </c>
      <c r="B144" s="42">
        <v>6171</v>
      </c>
    </row>
    <row r="145" spans="1:2" x14ac:dyDescent="0.3">
      <c r="A145" s="17">
        <v>45435</v>
      </c>
      <c r="B145" s="42">
        <v>8449</v>
      </c>
    </row>
    <row r="146" spans="1:2" x14ac:dyDescent="0.3">
      <c r="A146" s="17">
        <v>45436</v>
      </c>
      <c r="B146" s="42">
        <v>10175</v>
      </c>
    </row>
    <row r="147" spans="1:2" x14ac:dyDescent="0.3">
      <c r="A147" s="17">
        <v>45437</v>
      </c>
      <c r="B147" s="42">
        <v>10561</v>
      </c>
    </row>
    <row r="148" spans="1:2" x14ac:dyDescent="0.3">
      <c r="A148" s="17">
        <v>45438</v>
      </c>
      <c r="B148" s="42">
        <v>8719</v>
      </c>
    </row>
    <row r="149" spans="1:2" x14ac:dyDescent="0.3">
      <c r="A149" s="17">
        <v>45439</v>
      </c>
      <c r="B149" s="42">
        <v>10574</v>
      </c>
    </row>
    <row r="150" spans="1:2" x14ac:dyDescent="0.3">
      <c r="A150" s="17">
        <v>45440</v>
      </c>
      <c r="B150" s="42">
        <v>8785</v>
      </c>
    </row>
    <row r="151" spans="1:2" x14ac:dyDescent="0.3">
      <c r="A151" s="17">
        <v>45441</v>
      </c>
      <c r="B151" s="42">
        <v>7599</v>
      </c>
    </row>
    <row r="152" spans="1:2" x14ac:dyDescent="0.3">
      <c r="A152" s="17">
        <v>45442</v>
      </c>
      <c r="B152" s="42">
        <v>8408</v>
      </c>
    </row>
    <row r="153" spans="1:2" x14ac:dyDescent="0.3">
      <c r="A153" s="17">
        <v>45443</v>
      </c>
      <c r="B153" s="42">
        <v>8311</v>
      </c>
    </row>
    <row r="154" spans="1:2" x14ac:dyDescent="0.3">
      <c r="A154" s="17">
        <v>45444</v>
      </c>
      <c r="B154" s="42">
        <v>9567</v>
      </c>
    </row>
    <row r="155" spans="1:2" x14ac:dyDescent="0.3">
      <c r="A155" s="17">
        <v>45445</v>
      </c>
      <c r="B155" s="42">
        <v>12442</v>
      </c>
    </row>
    <row r="156" spans="1:2" x14ac:dyDescent="0.3">
      <c r="A156" s="17">
        <v>45446</v>
      </c>
      <c r="B156" s="42">
        <v>11811</v>
      </c>
    </row>
    <row r="157" spans="1:2" x14ac:dyDescent="0.3">
      <c r="A157" s="17">
        <v>45447</v>
      </c>
      <c r="B157" s="42">
        <v>11242</v>
      </c>
    </row>
    <row r="158" spans="1:2" x14ac:dyDescent="0.3">
      <c r="A158" s="17">
        <v>45448</v>
      </c>
      <c r="B158" s="42">
        <v>11757</v>
      </c>
    </row>
    <row r="159" spans="1:2" x14ac:dyDescent="0.3">
      <c r="A159" s="17">
        <v>45449</v>
      </c>
      <c r="B159" s="42">
        <v>11991</v>
      </c>
    </row>
    <row r="160" spans="1:2" x14ac:dyDescent="0.3">
      <c r="A160" s="17">
        <v>45450</v>
      </c>
      <c r="B160" s="42">
        <v>9871</v>
      </c>
    </row>
    <row r="161" spans="1:2" x14ac:dyDescent="0.3">
      <c r="A161" s="17">
        <v>45451</v>
      </c>
      <c r="B161" s="42">
        <v>6703</v>
      </c>
    </row>
    <row r="162" spans="1:2" x14ac:dyDescent="0.3">
      <c r="A162" s="17">
        <v>45452</v>
      </c>
      <c r="B162" s="42">
        <v>9777</v>
      </c>
    </row>
    <row r="163" spans="1:2" x14ac:dyDescent="0.3">
      <c r="A163" s="17">
        <v>45453</v>
      </c>
      <c r="B163" s="42">
        <v>11349</v>
      </c>
    </row>
    <row r="164" spans="1:2" x14ac:dyDescent="0.3">
      <c r="A164" s="17">
        <v>45454</v>
      </c>
      <c r="B164" s="42">
        <v>9980</v>
      </c>
    </row>
    <row r="165" spans="1:2" x14ac:dyDescent="0.3">
      <c r="A165" s="17">
        <v>45455</v>
      </c>
      <c r="B165" s="42">
        <v>9674</v>
      </c>
    </row>
    <row r="166" spans="1:2" x14ac:dyDescent="0.3">
      <c r="A166" s="17">
        <v>45456</v>
      </c>
      <c r="B166" s="42">
        <v>9643</v>
      </c>
    </row>
    <row r="167" spans="1:2" x14ac:dyDescent="0.3">
      <c r="A167" s="17">
        <v>45457</v>
      </c>
      <c r="B167" s="42">
        <v>7958</v>
      </c>
    </row>
    <row r="168" spans="1:2" x14ac:dyDescent="0.3">
      <c r="A168" s="17">
        <v>45458</v>
      </c>
      <c r="B168" s="42">
        <v>7296</v>
      </c>
    </row>
    <row r="169" spans="1:2" x14ac:dyDescent="0.3">
      <c r="A169" s="17">
        <v>45459</v>
      </c>
      <c r="B169" s="42">
        <v>6005</v>
      </c>
    </row>
    <row r="170" spans="1:2" x14ac:dyDescent="0.3">
      <c r="A170" s="17">
        <v>45460</v>
      </c>
      <c r="B170" s="42">
        <v>6778</v>
      </c>
    </row>
    <row r="171" spans="1:2" x14ac:dyDescent="0.3">
      <c r="A171" s="17">
        <v>45461</v>
      </c>
      <c r="B171" s="42">
        <v>9435</v>
      </c>
    </row>
    <row r="172" spans="1:2" x14ac:dyDescent="0.3">
      <c r="A172" s="17">
        <v>45462</v>
      </c>
      <c r="B172" s="42">
        <v>8811</v>
      </c>
    </row>
    <row r="173" spans="1:2" x14ac:dyDescent="0.3">
      <c r="A173" s="17">
        <v>45463</v>
      </c>
      <c r="B173" s="42">
        <v>9154</v>
      </c>
    </row>
    <row r="174" spans="1:2" x14ac:dyDescent="0.3">
      <c r="A174" s="17">
        <v>45464</v>
      </c>
      <c r="B174" s="42">
        <v>10565</v>
      </c>
    </row>
    <row r="175" spans="1:2" x14ac:dyDescent="0.3">
      <c r="A175" s="17">
        <v>45465</v>
      </c>
      <c r="B175" s="42">
        <v>10810</v>
      </c>
    </row>
    <row r="176" spans="1:2" x14ac:dyDescent="0.3">
      <c r="A176" s="17">
        <v>45466</v>
      </c>
      <c r="B176" s="42">
        <v>10660</v>
      </c>
    </row>
    <row r="177" spans="1:2" x14ac:dyDescent="0.3">
      <c r="A177" s="17">
        <v>45467</v>
      </c>
      <c r="B177" s="42">
        <v>8680</v>
      </c>
    </row>
    <row r="178" spans="1:2" x14ac:dyDescent="0.3">
      <c r="A178" s="17">
        <v>45468</v>
      </c>
      <c r="B178" s="42">
        <v>8739</v>
      </c>
    </row>
    <row r="179" spans="1:2" x14ac:dyDescent="0.3">
      <c r="A179" s="17">
        <v>45469</v>
      </c>
      <c r="B179" s="42">
        <v>9641</v>
      </c>
    </row>
    <row r="180" spans="1:2" x14ac:dyDescent="0.3">
      <c r="A180" s="17">
        <v>45470</v>
      </c>
      <c r="B180" s="42">
        <v>11438</v>
      </c>
    </row>
    <row r="181" spans="1:2" x14ac:dyDescent="0.3">
      <c r="A181" s="17">
        <v>45471</v>
      </c>
      <c r="B181" s="42">
        <v>11215</v>
      </c>
    </row>
    <row r="182" spans="1:2" x14ac:dyDescent="0.3">
      <c r="A182" s="17">
        <v>45472</v>
      </c>
      <c r="B182" s="42">
        <v>13369</v>
      </c>
    </row>
    <row r="183" spans="1:2" x14ac:dyDescent="0.3">
      <c r="A183" s="17">
        <v>45473</v>
      </c>
      <c r="B183" s="42">
        <v>13478</v>
      </c>
    </row>
    <row r="184" spans="1:2" x14ac:dyDescent="0.3">
      <c r="A184" s="17">
        <v>45474</v>
      </c>
      <c r="B184" s="42">
        <v>12781</v>
      </c>
    </row>
    <row r="185" spans="1:2" x14ac:dyDescent="0.3">
      <c r="A185" s="17">
        <v>45475</v>
      </c>
      <c r="B185" s="42">
        <v>11853</v>
      </c>
    </row>
    <row r="186" spans="1:2" x14ac:dyDescent="0.3">
      <c r="A186" s="17">
        <v>45476</v>
      </c>
      <c r="B186" s="42">
        <v>9903</v>
      </c>
    </row>
    <row r="187" spans="1:2" x14ac:dyDescent="0.3">
      <c r="A187" s="17">
        <v>45477</v>
      </c>
      <c r="B187" s="42">
        <v>10611</v>
      </c>
    </row>
    <row r="188" spans="1:2" x14ac:dyDescent="0.3">
      <c r="A188" s="17">
        <v>45478</v>
      </c>
      <c r="B188" s="42">
        <v>10119</v>
      </c>
    </row>
    <row r="189" spans="1:2" x14ac:dyDescent="0.3">
      <c r="A189" s="17">
        <v>45479</v>
      </c>
      <c r="B189" s="42">
        <v>9559</v>
      </c>
    </row>
    <row r="190" spans="1:2" x14ac:dyDescent="0.3">
      <c r="A190" s="17">
        <v>45480</v>
      </c>
      <c r="B190" s="42">
        <v>10540</v>
      </c>
    </row>
    <row r="191" spans="1:2" x14ac:dyDescent="0.3">
      <c r="A191" s="17">
        <v>45481</v>
      </c>
      <c r="B191" s="42">
        <v>10805</v>
      </c>
    </row>
    <row r="192" spans="1:2" x14ac:dyDescent="0.3">
      <c r="A192" s="17">
        <v>45482</v>
      </c>
      <c r="B192" s="42">
        <v>8998</v>
      </c>
    </row>
    <row r="193" spans="1:2" x14ac:dyDescent="0.3">
      <c r="A193" s="17">
        <v>45483</v>
      </c>
      <c r="B193" s="42">
        <v>10432</v>
      </c>
    </row>
    <row r="194" spans="1:2" x14ac:dyDescent="0.3">
      <c r="A194" s="17">
        <v>45484</v>
      </c>
      <c r="B194" s="42">
        <v>9793</v>
      </c>
    </row>
    <row r="195" spans="1:2" x14ac:dyDescent="0.3">
      <c r="A195" s="17">
        <v>45485</v>
      </c>
      <c r="B195" s="42">
        <v>11013</v>
      </c>
    </row>
    <row r="196" spans="1:2" x14ac:dyDescent="0.3">
      <c r="A196" s="17">
        <v>45486</v>
      </c>
      <c r="B196" s="42">
        <v>16238</v>
      </c>
    </row>
    <row r="197" spans="1:2" x14ac:dyDescent="0.3">
      <c r="A197" s="17">
        <v>45487</v>
      </c>
      <c r="B197" s="42">
        <v>15450</v>
      </c>
    </row>
    <row r="198" spans="1:2" x14ac:dyDescent="0.3">
      <c r="A198" s="17">
        <v>45488</v>
      </c>
      <c r="B198" s="42">
        <v>13245</v>
      </c>
    </row>
    <row r="199" spans="1:2" x14ac:dyDescent="0.3">
      <c r="A199" s="17">
        <v>45489</v>
      </c>
      <c r="B199" s="42">
        <v>13017</v>
      </c>
    </row>
    <row r="200" spans="1:2" x14ac:dyDescent="0.3">
      <c r="A200" s="17">
        <v>45490</v>
      </c>
      <c r="B200" s="42">
        <v>11132</v>
      </c>
    </row>
    <row r="201" spans="1:2" x14ac:dyDescent="0.3">
      <c r="A201" s="17">
        <v>45491</v>
      </c>
      <c r="B201" s="42">
        <v>11824</v>
      </c>
    </row>
    <row r="202" spans="1:2" x14ac:dyDescent="0.3">
      <c r="A202" s="17">
        <v>45492</v>
      </c>
      <c r="B202" s="42">
        <v>13318</v>
      </c>
    </row>
    <row r="203" spans="1:2" x14ac:dyDescent="0.3">
      <c r="A203" s="17">
        <v>45493</v>
      </c>
      <c r="B203" s="42">
        <v>13962</v>
      </c>
    </row>
    <row r="204" spans="1:2" x14ac:dyDescent="0.3">
      <c r="A204" s="17">
        <v>45494</v>
      </c>
      <c r="B204" s="42">
        <v>12616</v>
      </c>
    </row>
    <row r="205" spans="1:2" x14ac:dyDescent="0.3">
      <c r="A205" s="17">
        <v>45495</v>
      </c>
      <c r="B205" s="42">
        <v>11109</v>
      </c>
    </row>
    <row r="206" spans="1:2" x14ac:dyDescent="0.3">
      <c r="A206" s="17">
        <v>45496</v>
      </c>
      <c r="B206" s="42">
        <v>11777</v>
      </c>
    </row>
    <row r="207" spans="1:2" x14ac:dyDescent="0.3">
      <c r="A207" s="17">
        <v>45497</v>
      </c>
      <c r="B207" s="42">
        <v>10892</v>
      </c>
    </row>
    <row r="208" spans="1:2" x14ac:dyDescent="0.3">
      <c r="A208" s="17">
        <v>45498</v>
      </c>
      <c r="B208" s="42">
        <v>12051</v>
      </c>
    </row>
    <row r="209" spans="1:2" x14ac:dyDescent="0.3">
      <c r="A209" s="17">
        <v>45499</v>
      </c>
      <c r="B209" s="42">
        <v>12033</v>
      </c>
    </row>
    <row r="210" spans="1:2" x14ac:dyDescent="0.3">
      <c r="A210" s="17">
        <v>45500</v>
      </c>
      <c r="B210" s="42">
        <v>13168</v>
      </c>
    </row>
    <row r="211" spans="1:2" x14ac:dyDescent="0.3">
      <c r="A211" s="17">
        <v>45501</v>
      </c>
      <c r="B211" s="42">
        <v>15092</v>
      </c>
    </row>
    <row r="212" spans="1:2" x14ac:dyDescent="0.3">
      <c r="A212" s="17">
        <v>45502</v>
      </c>
      <c r="B212" s="42">
        <v>14266</v>
      </c>
    </row>
    <row r="213" spans="1:2" x14ac:dyDescent="0.3">
      <c r="A213" s="17">
        <v>45503</v>
      </c>
      <c r="B213" s="42">
        <v>12978</v>
      </c>
    </row>
    <row r="214" spans="1:2" x14ac:dyDescent="0.3">
      <c r="A214" s="17">
        <v>45504</v>
      </c>
      <c r="B214" s="42">
        <v>12456</v>
      </c>
    </row>
    <row r="215" spans="1:2" x14ac:dyDescent="0.3">
      <c r="A215" s="17">
        <v>45505</v>
      </c>
      <c r="B215" s="42">
        <v>11869</v>
      </c>
    </row>
    <row r="216" spans="1:2" x14ac:dyDescent="0.3">
      <c r="A216" s="17">
        <v>45506</v>
      </c>
      <c r="B216" s="42">
        <v>13749</v>
      </c>
    </row>
    <row r="217" spans="1:2" x14ac:dyDescent="0.3">
      <c r="A217" s="17">
        <v>45507</v>
      </c>
      <c r="B217" s="42">
        <v>13145</v>
      </c>
    </row>
    <row r="218" spans="1:2" x14ac:dyDescent="0.3">
      <c r="A218" s="17">
        <v>45508</v>
      </c>
      <c r="B218" s="42">
        <v>14171</v>
      </c>
    </row>
    <row r="219" spans="1:2" x14ac:dyDescent="0.3">
      <c r="A219" s="17">
        <v>45509</v>
      </c>
      <c r="B219" s="42">
        <v>14471</v>
      </c>
    </row>
    <row r="220" spans="1:2" x14ac:dyDescent="0.3">
      <c r="A220" s="17">
        <v>45510</v>
      </c>
      <c r="B220" s="42">
        <v>10966</v>
      </c>
    </row>
    <row r="221" spans="1:2" x14ac:dyDescent="0.3">
      <c r="A221" s="17">
        <v>45511</v>
      </c>
      <c r="B221" s="42">
        <v>13072</v>
      </c>
    </row>
    <row r="222" spans="1:2" x14ac:dyDescent="0.3">
      <c r="A222" s="17">
        <v>45512</v>
      </c>
      <c r="B222" s="42">
        <v>12034</v>
      </c>
    </row>
    <row r="223" spans="1:2" x14ac:dyDescent="0.3">
      <c r="A223" s="17">
        <v>45513</v>
      </c>
      <c r="B223" s="42">
        <v>13456</v>
      </c>
    </row>
    <row r="224" spans="1:2" x14ac:dyDescent="0.3">
      <c r="A224" s="17">
        <v>45514</v>
      </c>
      <c r="B224" s="42">
        <v>12965</v>
      </c>
    </row>
    <row r="225" spans="1:2" x14ac:dyDescent="0.3">
      <c r="A225" s="17">
        <v>45515</v>
      </c>
      <c r="B225" s="42">
        <v>14137</v>
      </c>
    </row>
    <row r="226" spans="1:2" x14ac:dyDescent="0.3">
      <c r="A226" s="17">
        <v>45516</v>
      </c>
      <c r="B226" s="42">
        <v>12616</v>
      </c>
    </row>
    <row r="227" spans="1:2" x14ac:dyDescent="0.3">
      <c r="A227" s="17">
        <v>45517</v>
      </c>
      <c r="B227" s="42">
        <v>11030</v>
      </c>
    </row>
    <row r="228" spans="1:2" x14ac:dyDescent="0.3">
      <c r="A228" s="17">
        <v>45518</v>
      </c>
      <c r="B228" s="42">
        <v>11243</v>
      </c>
    </row>
    <row r="229" spans="1:2" x14ac:dyDescent="0.3">
      <c r="A229" s="17">
        <v>45519</v>
      </c>
      <c r="B229" s="42">
        <v>11720</v>
      </c>
    </row>
    <row r="230" spans="1:2" x14ac:dyDescent="0.3">
      <c r="A230" s="17">
        <v>45520</v>
      </c>
      <c r="B230" s="42">
        <v>11573</v>
      </c>
    </row>
    <row r="231" spans="1:2" x14ac:dyDescent="0.3">
      <c r="A231" s="17">
        <v>45521</v>
      </c>
      <c r="B231" s="42">
        <v>12695</v>
      </c>
    </row>
    <row r="232" spans="1:2" x14ac:dyDescent="0.3">
      <c r="A232" s="17">
        <v>45522</v>
      </c>
      <c r="B232" s="42">
        <v>13101</v>
      </c>
    </row>
    <row r="233" spans="1:2" x14ac:dyDescent="0.3">
      <c r="A233" s="17">
        <v>45523</v>
      </c>
      <c r="B233" s="42">
        <v>10120</v>
      </c>
    </row>
    <row r="234" spans="1:2" x14ac:dyDescent="0.3">
      <c r="A234" s="17">
        <v>45524</v>
      </c>
      <c r="B234" s="42">
        <v>9925</v>
      </c>
    </row>
    <row r="235" spans="1:2" x14ac:dyDescent="0.3">
      <c r="A235" s="17">
        <v>45525</v>
      </c>
      <c r="B235" s="42">
        <v>11631</v>
      </c>
    </row>
    <row r="236" spans="1:2" x14ac:dyDescent="0.3">
      <c r="A236" s="17">
        <v>45526</v>
      </c>
      <c r="B236" s="42">
        <v>11828</v>
      </c>
    </row>
    <row r="237" spans="1:2" x14ac:dyDescent="0.3">
      <c r="A237" s="17">
        <v>45527</v>
      </c>
      <c r="B237" s="42">
        <v>13074</v>
      </c>
    </row>
    <row r="238" spans="1:2" x14ac:dyDescent="0.3">
      <c r="A238" s="17">
        <v>45528</v>
      </c>
      <c r="B238" s="42">
        <v>14131</v>
      </c>
    </row>
    <row r="239" spans="1:2" x14ac:dyDescent="0.3">
      <c r="A239" s="17">
        <v>45529</v>
      </c>
      <c r="B239" s="42">
        <v>13627</v>
      </c>
    </row>
    <row r="240" spans="1:2" x14ac:dyDescent="0.3">
      <c r="A240" s="17">
        <v>45530</v>
      </c>
      <c r="B240" s="42">
        <v>12211</v>
      </c>
    </row>
    <row r="241" spans="1:2" x14ac:dyDescent="0.3">
      <c r="A241" s="17">
        <v>45531</v>
      </c>
      <c r="B241" s="42">
        <v>11872</v>
      </c>
    </row>
    <row r="242" spans="1:2" x14ac:dyDescent="0.3">
      <c r="A242" s="17">
        <v>45532</v>
      </c>
      <c r="B242" s="42">
        <v>12875</v>
      </c>
    </row>
    <row r="243" spans="1:2" x14ac:dyDescent="0.3">
      <c r="A243" s="17">
        <v>45533</v>
      </c>
      <c r="B243" s="42">
        <v>13491</v>
      </c>
    </row>
    <row r="244" spans="1:2" x14ac:dyDescent="0.3">
      <c r="A244" s="17">
        <v>45534</v>
      </c>
      <c r="B244" s="42">
        <v>16100</v>
      </c>
    </row>
    <row r="245" spans="1:2" x14ac:dyDescent="0.3">
      <c r="A245" s="17">
        <v>45535</v>
      </c>
      <c r="B245" s="42">
        <v>13103</v>
      </c>
    </row>
    <row r="246" spans="1:2" x14ac:dyDescent="0.3">
      <c r="A246" s="17">
        <v>45536</v>
      </c>
      <c r="B246" s="42">
        <v>12956</v>
      </c>
    </row>
    <row r="247" spans="1:2" x14ac:dyDescent="0.3">
      <c r="A247" s="17">
        <v>45537</v>
      </c>
      <c r="B247" s="42">
        <v>14409</v>
      </c>
    </row>
    <row r="248" spans="1:2" x14ac:dyDescent="0.3">
      <c r="A248" s="17">
        <v>45538</v>
      </c>
      <c r="B248" s="42">
        <v>14400</v>
      </c>
    </row>
    <row r="249" spans="1:2" x14ac:dyDescent="0.3">
      <c r="A249" s="17">
        <v>45539</v>
      </c>
      <c r="B249" s="42">
        <v>14825</v>
      </c>
    </row>
    <row r="250" spans="1:2" x14ac:dyDescent="0.3">
      <c r="A250" s="17">
        <v>45540</v>
      </c>
      <c r="B250" s="42">
        <v>17555</v>
      </c>
    </row>
    <row r="251" spans="1:2" x14ac:dyDescent="0.3">
      <c r="A251" s="17">
        <v>45541</v>
      </c>
      <c r="B251" s="42">
        <v>14871</v>
      </c>
    </row>
    <row r="252" spans="1:2" x14ac:dyDescent="0.3">
      <c r="A252" s="17">
        <v>45542</v>
      </c>
      <c r="B252" s="42">
        <v>14563</v>
      </c>
    </row>
    <row r="253" spans="1:2" x14ac:dyDescent="0.3">
      <c r="A253" s="17">
        <v>45543</v>
      </c>
      <c r="B253" s="42">
        <v>14318</v>
      </c>
    </row>
    <row r="254" spans="1:2" x14ac:dyDescent="0.3">
      <c r="A254" s="17">
        <v>45544</v>
      </c>
      <c r="B254" s="42">
        <v>10200</v>
      </c>
    </row>
    <row r="255" spans="1:2" x14ac:dyDescent="0.3">
      <c r="A255" s="17">
        <v>45545</v>
      </c>
      <c r="B255" s="42">
        <v>10075</v>
      </c>
    </row>
    <row r="256" spans="1:2" x14ac:dyDescent="0.3">
      <c r="A256" s="17">
        <v>45546</v>
      </c>
      <c r="B256" s="42">
        <v>11096</v>
      </c>
    </row>
    <row r="257" spans="1:2" x14ac:dyDescent="0.3">
      <c r="A257" s="17">
        <v>45547</v>
      </c>
      <c r="B257" s="42">
        <v>10735</v>
      </c>
    </row>
    <row r="258" spans="1:2" x14ac:dyDescent="0.3">
      <c r="A258" s="17">
        <v>45548</v>
      </c>
      <c r="B258" s="42">
        <v>13410</v>
      </c>
    </row>
    <row r="259" spans="1:2" x14ac:dyDescent="0.3">
      <c r="A259" s="17">
        <v>45549</v>
      </c>
      <c r="B259" s="42">
        <v>11689</v>
      </c>
    </row>
    <row r="260" spans="1:2" x14ac:dyDescent="0.3">
      <c r="A260" s="17">
        <v>45550</v>
      </c>
      <c r="B260" s="42">
        <v>11743</v>
      </c>
    </row>
    <row r="261" spans="1:2" x14ac:dyDescent="0.3">
      <c r="A261" s="17">
        <v>45551</v>
      </c>
      <c r="B261" s="42">
        <v>11111</v>
      </c>
    </row>
    <row r="262" spans="1:2" x14ac:dyDescent="0.3">
      <c r="A262" s="17">
        <v>45552</v>
      </c>
      <c r="B262" s="42">
        <v>10746</v>
      </c>
    </row>
    <row r="263" spans="1:2" x14ac:dyDescent="0.3">
      <c r="A263" s="17">
        <v>45553</v>
      </c>
      <c r="B263" s="42">
        <v>10503</v>
      </c>
    </row>
    <row r="264" spans="1:2" x14ac:dyDescent="0.3">
      <c r="A264" s="17">
        <v>45554</v>
      </c>
      <c r="B264" s="42">
        <v>9668</v>
      </c>
    </row>
    <row r="265" spans="1:2" x14ac:dyDescent="0.3">
      <c r="A265" s="17">
        <v>45555</v>
      </c>
      <c r="B265" s="42">
        <v>11342</v>
      </c>
    </row>
    <row r="266" spans="1:2" x14ac:dyDescent="0.3">
      <c r="A266" s="17">
        <v>45556</v>
      </c>
      <c r="B266" s="42">
        <v>11452</v>
      </c>
    </row>
    <row r="267" spans="1:2" x14ac:dyDescent="0.3">
      <c r="A267" s="17">
        <v>45557</v>
      </c>
      <c r="B267" s="42">
        <v>11374</v>
      </c>
    </row>
    <row r="268" spans="1:2" x14ac:dyDescent="0.3">
      <c r="A268" s="17">
        <v>45558</v>
      </c>
      <c r="B268" s="42">
        <v>10580</v>
      </c>
    </row>
    <row r="269" spans="1:2" x14ac:dyDescent="0.3">
      <c r="A269" s="17">
        <v>45559</v>
      </c>
      <c r="B269" s="42">
        <v>11150</v>
      </c>
    </row>
    <row r="270" spans="1:2" x14ac:dyDescent="0.3">
      <c r="A270" s="17">
        <v>45560</v>
      </c>
      <c r="B270" s="42">
        <v>12375</v>
      </c>
    </row>
    <row r="271" spans="1:2" x14ac:dyDescent="0.3">
      <c r="A271" s="17">
        <v>45561</v>
      </c>
      <c r="B271" s="42">
        <v>12573</v>
      </c>
    </row>
    <row r="272" spans="1:2" x14ac:dyDescent="0.3">
      <c r="A272" s="17">
        <v>45562</v>
      </c>
      <c r="B272" s="42">
        <v>12638</v>
      </c>
    </row>
    <row r="273" spans="1:2" x14ac:dyDescent="0.3">
      <c r="A273" s="17">
        <v>45563</v>
      </c>
      <c r="B273" s="42">
        <v>14496</v>
      </c>
    </row>
    <row r="274" spans="1:2" x14ac:dyDescent="0.3">
      <c r="A274" s="17">
        <v>45564</v>
      </c>
      <c r="B274" s="42">
        <v>15175</v>
      </c>
    </row>
    <row r="275" spans="1:2" x14ac:dyDescent="0.3">
      <c r="A275" s="17">
        <v>45565</v>
      </c>
      <c r="B275" s="42">
        <v>13000</v>
      </c>
    </row>
    <row r="276" spans="1:2" x14ac:dyDescent="0.3">
      <c r="A276" s="17">
        <v>45566</v>
      </c>
      <c r="B276" s="42">
        <v>12945</v>
      </c>
    </row>
    <row r="277" spans="1:2" x14ac:dyDescent="0.3">
      <c r="A277" s="17">
        <v>45567</v>
      </c>
      <c r="B277" s="42">
        <v>11861</v>
      </c>
    </row>
    <row r="278" spans="1:2" x14ac:dyDescent="0.3">
      <c r="A278" s="17">
        <v>45568</v>
      </c>
      <c r="B278" s="42">
        <v>11887</v>
      </c>
    </row>
    <row r="279" spans="1:2" x14ac:dyDescent="0.3">
      <c r="A279" s="17">
        <v>45569</v>
      </c>
      <c r="B279" s="42">
        <v>12957</v>
      </c>
    </row>
    <row r="280" spans="1:2" x14ac:dyDescent="0.3">
      <c r="A280" s="17">
        <v>45570</v>
      </c>
      <c r="B280" s="42">
        <v>13305</v>
      </c>
    </row>
    <row r="281" spans="1:2" x14ac:dyDescent="0.3">
      <c r="A281" s="17">
        <v>45571</v>
      </c>
      <c r="B281" s="42">
        <v>13408</v>
      </c>
    </row>
    <row r="282" spans="1:2" x14ac:dyDescent="0.3">
      <c r="A282" s="17">
        <v>45572</v>
      </c>
      <c r="B282" s="42">
        <v>12362</v>
      </c>
    </row>
    <row r="283" spans="1:2" x14ac:dyDescent="0.3">
      <c r="A283" s="17">
        <v>45573</v>
      </c>
      <c r="B283" s="42">
        <v>10681</v>
      </c>
    </row>
    <row r="284" spans="1:2" x14ac:dyDescent="0.3">
      <c r="A284" s="17">
        <v>45574</v>
      </c>
      <c r="B284" s="42">
        <v>11454</v>
      </c>
    </row>
    <row r="285" spans="1:2" x14ac:dyDescent="0.3">
      <c r="A285" s="17">
        <v>45575</v>
      </c>
      <c r="B285" s="42">
        <v>10692</v>
      </c>
    </row>
    <row r="286" spans="1:2" x14ac:dyDescent="0.3">
      <c r="A286" s="17">
        <v>45576</v>
      </c>
      <c r="B286" s="42">
        <v>12898</v>
      </c>
    </row>
    <row r="287" spans="1:2" x14ac:dyDescent="0.3">
      <c r="A287" s="17">
        <v>45577</v>
      </c>
      <c r="B287" s="42">
        <v>12040</v>
      </c>
    </row>
    <row r="288" spans="1:2" x14ac:dyDescent="0.3">
      <c r="A288" s="17">
        <v>45578</v>
      </c>
      <c r="B288" s="42">
        <v>13503</v>
      </c>
    </row>
    <row r="289" spans="1:2" x14ac:dyDescent="0.3">
      <c r="A289" s="17">
        <v>45579</v>
      </c>
      <c r="B289" s="42">
        <v>12574</v>
      </c>
    </row>
    <row r="290" spans="1:2" x14ac:dyDescent="0.3">
      <c r="A290" s="17">
        <v>45580</v>
      </c>
      <c r="B290" s="42">
        <v>10488</v>
      </c>
    </row>
    <row r="291" spans="1:2" x14ac:dyDescent="0.3">
      <c r="A291" s="17">
        <v>45581</v>
      </c>
      <c r="B291" s="42">
        <v>10123</v>
      </c>
    </row>
    <row r="292" spans="1:2" x14ac:dyDescent="0.3">
      <c r="A292" s="17">
        <v>45582</v>
      </c>
      <c r="B292" s="42">
        <v>11912</v>
      </c>
    </row>
    <row r="293" spans="1:2" x14ac:dyDescent="0.3">
      <c r="A293" s="17">
        <v>45583</v>
      </c>
      <c r="B293" s="42">
        <v>12680</v>
      </c>
    </row>
    <row r="294" spans="1:2" x14ac:dyDescent="0.3">
      <c r="A294" s="17">
        <v>45584</v>
      </c>
      <c r="B294" s="42">
        <v>13020</v>
      </c>
    </row>
    <row r="295" spans="1:2" x14ac:dyDescent="0.3">
      <c r="A295" s="17">
        <v>45585</v>
      </c>
      <c r="B295" s="42">
        <v>14055</v>
      </c>
    </row>
    <row r="296" spans="1:2" x14ac:dyDescent="0.3">
      <c r="A296" s="17">
        <v>45586</v>
      </c>
      <c r="B296" s="42">
        <v>11200</v>
      </c>
    </row>
    <row r="297" spans="1:2" x14ac:dyDescent="0.3">
      <c r="A297" s="17">
        <v>45587</v>
      </c>
      <c r="B297" s="42">
        <v>11458</v>
      </c>
    </row>
    <row r="298" spans="1:2" x14ac:dyDescent="0.3">
      <c r="A298" s="17">
        <v>45588</v>
      </c>
      <c r="B298" s="42">
        <v>10356</v>
      </c>
    </row>
    <row r="299" spans="1:2" x14ac:dyDescent="0.3">
      <c r="A299" s="17">
        <v>45589</v>
      </c>
      <c r="B299" s="42">
        <v>9064</v>
      </c>
    </row>
    <row r="300" spans="1:2" x14ac:dyDescent="0.3">
      <c r="A300" s="17">
        <v>45590</v>
      </c>
      <c r="B300" s="42">
        <v>10778</v>
      </c>
    </row>
    <row r="301" spans="1:2" x14ac:dyDescent="0.3">
      <c r="A301" s="17">
        <v>45591</v>
      </c>
      <c r="B301" s="42">
        <v>12953</v>
      </c>
    </row>
    <row r="302" spans="1:2" x14ac:dyDescent="0.3">
      <c r="A302" s="17">
        <v>45592</v>
      </c>
      <c r="B302" s="42">
        <v>16157</v>
      </c>
    </row>
    <row r="303" spans="1:2" x14ac:dyDescent="0.3">
      <c r="A303" s="17">
        <v>45593</v>
      </c>
      <c r="B303" s="42">
        <v>9958</v>
      </c>
    </row>
    <row r="304" spans="1:2" x14ac:dyDescent="0.3">
      <c r="A304" s="17">
        <v>45594</v>
      </c>
      <c r="B304" s="42">
        <v>10985</v>
      </c>
    </row>
    <row r="305" spans="1:2" x14ac:dyDescent="0.3">
      <c r="A305" s="17">
        <v>45595</v>
      </c>
      <c r="B305" s="42">
        <v>12331</v>
      </c>
    </row>
    <row r="306" spans="1:2" x14ac:dyDescent="0.3">
      <c r="A306" s="17">
        <v>45596</v>
      </c>
      <c r="B306" s="42">
        <v>15404</v>
      </c>
    </row>
    <row r="307" spans="1:2" x14ac:dyDescent="0.3">
      <c r="A307" s="17">
        <v>45597</v>
      </c>
      <c r="B307" s="42">
        <v>19812</v>
      </c>
    </row>
    <row r="308" spans="1:2" x14ac:dyDescent="0.3">
      <c r="A308" s="17">
        <v>45598</v>
      </c>
      <c r="B308" s="42">
        <v>15386</v>
      </c>
    </row>
    <row r="309" spans="1:2" x14ac:dyDescent="0.3">
      <c r="A309" s="17">
        <v>45599</v>
      </c>
      <c r="B309" s="42">
        <v>16554</v>
      </c>
    </row>
    <row r="310" spans="1:2" x14ac:dyDescent="0.3">
      <c r="A310" s="17">
        <v>45600</v>
      </c>
      <c r="B310" s="42">
        <v>12481</v>
      </c>
    </row>
    <row r="311" spans="1:2" x14ac:dyDescent="0.3">
      <c r="A311" s="17">
        <v>45601</v>
      </c>
      <c r="B311" s="42">
        <v>11731</v>
      </c>
    </row>
    <row r="312" spans="1:2" x14ac:dyDescent="0.3">
      <c r="A312" s="17">
        <v>45602</v>
      </c>
      <c r="B312" s="42">
        <v>12671</v>
      </c>
    </row>
    <row r="313" spans="1:2" x14ac:dyDescent="0.3">
      <c r="A313" s="17">
        <v>45603</v>
      </c>
      <c r="B313" s="42">
        <v>15703</v>
      </c>
    </row>
    <row r="314" spans="1:2" x14ac:dyDescent="0.3">
      <c r="A314" s="17">
        <v>45604</v>
      </c>
      <c r="B314" s="42">
        <v>16958</v>
      </c>
    </row>
    <row r="315" spans="1:2" x14ac:dyDescent="0.3">
      <c r="A315" s="17">
        <v>45605</v>
      </c>
      <c r="B315" s="42">
        <v>15511</v>
      </c>
    </row>
    <row r="316" spans="1:2" x14ac:dyDescent="0.3">
      <c r="A316" s="17">
        <v>45606</v>
      </c>
      <c r="B316" s="42">
        <v>12697</v>
      </c>
    </row>
    <row r="317" spans="1:2" x14ac:dyDescent="0.3">
      <c r="A317" s="17">
        <v>45607</v>
      </c>
      <c r="B317" s="42">
        <v>13342</v>
      </c>
    </row>
    <row r="318" spans="1:2" x14ac:dyDescent="0.3">
      <c r="A318" s="17">
        <v>45608</v>
      </c>
      <c r="B318" s="42">
        <v>11928</v>
      </c>
    </row>
    <row r="319" spans="1:2" x14ac:dyDescent="0.3">
      <c r="A319" s="17">
        <v>45609</v>
      </c>
      <c r="B319" s="42">
        <v>10728</v>
      </c>
    </row>
    <row r="320" spans="1:2" x14ac:dyDescent="0.3">
      <c r="A320" s="17">
        <v>45610</v>
      </c>
      <c r="B320" s="42">
        <v>12497</v>
      </c>
    </row>
    <row r="321" spans="1:2" x14ac:dyDescent="0.3">
      <c r="A321" s="17">
        <v>45611</v>
      </c>
      <c r="B321" s="42">
        <v>12509</v>
      </c>
    </row>
    <row r="322" spans="1:2" x14ac:dyDescent="0.3">
      <c r="A322" s="17">
        <v>45612</v>
      </c>
      <c r="B322" s="42">
        <v>18265</v>
      </c>
    </row>
    <row r="323" spans="1:2" x14ac:dyDescent="0.3">
      <c r="A323" s="17">
        <v>45613</v>
      </c>
      <c r="B323" s="42">
        <v>14741</v>
      </c>
    </row>
    <row r="324" spans="1:2" x14ac:dyDescent="0.3">
      <c r="A324" s="17">
        <v>45614</v>
      </c>
      <c r="B324" s="42">
        <v>13073</v>
      </c>
    </row>
    <row r="325" spans="1:2" x14ac:dyDescent="0.3">
      <c r="A325" s="17">
        <v>45615</v>
      </c>
      <c r="B325" s="42">
        <v>12139</v>
      </c>
    </row>
    <row r="326" spans="1:2" x14ac:dyDescent="0.3">
      <c r="A326" s="17">
        <v>45616</v>
      </c>
      <c r="B326" s="42">
        <v>12102</v>
      </c>
    </row>
    <row r="327" spans="1:2" x14ac:dyDescent="0.3">
      <c r="A327" s="17">
        <v>45617</v>
      </c>
      <c r="B327" s="42">
        <v>14994</v>
      </c>
    </row>
    <row r="328" spans="1:2" x14ac:dyDescent="0.3">
      <c r="A328" s="17">
        <v>45618</v>
      </c>
      <c r="B328" s="42">
        <v>16436</v>
      </c>
    </row>
    <row r="329" spans="1:2" x14ac:dyDescent="0.3">
      <c r="A329" s="17">
        <v>45619</v>
      </c>
      <c r="B329" s="42">
        <v>18228</v>
      </c>
    </row>
    <row r="330" spans="1:2" x14ac:dyDescent="0.3">
      <c r="A330" s="17">
        <v>45620</v>
      </c>
      <c r="B330" s="42">
        <v>15112</v>
      </c>
    </row>
    <row r="331" spans="1:2" x14ac:dyDescent="0.3">
      <c r="A331" s="17">
        <v>45621</v>
      </c>
      <c r="B331" s="42">
        <v>13370</v>
      </c>
    </row>
    <row r="332" spans="1:2" x14ac:dyDescent="0.3">
      <c r="A332" s="17">
        <v>45622</v>
      </c>
      <c r="B332" s="42">
        <v>13580</v>
      </c>
    </row>
    <row r="333" spans="1:2" x14ac:dyDescent="0.3">
      <c r="A333" s="17">
        <v>45623</v>
      </c>
      <c r="B333" s="42">
        <v>13649</v>
      </c>
    </row>
    <row r="334" spans="1:2" x14ac:dyDescent="0.3">
      <c r="A334" s="17">
        <v>45624</v>
      </c>
      <c r="B334" s="42">
        <v>13204</v>
      </c>
    </row>
    <row r="335" spans="1:2" x14ac:dyDescent="0.3">
      <c r="A335" s="17">
        <v>45625</v>
      </c>
      <c r="B335" s="42">
        <v>9159</v>
      </c>
    </row>
    <row r="336" spans="1:2" x14ac:dyDescent="0.3">
      <c r="A336" s="17">
        <v>45626</v>
      </c>
      <c r="B336" s="42">
        <v>12062</v>
      </c>
    </row>
    <row r="337" spans="1:2" x14ac:dyDescent="0.3">
      <c r="A337" s="17">
        <v>45627</v>
      </c>
      <c r="B337" s="42">
        <v>15405</v>
      </c>
    </row>
    <row r="338" spans="1:2" x14ac:dyDescent="0.3">
      <c r="A338" s="17">
        <v>45628</v>
      </c>
      <c r="B338" s="42">
        <v>16501</v>
      </c>
    </row>
    <row r="339" spans="1:2" x14ac:dyDescent="0.3">
      <c r="A339" s="17">
        <v>45629</v>
      </c>
      <c r="B339" s="42">
        <v>13151</v>
      </c>
    </row>
    <row r="340" spans="1:2" x14ac:dyDescent="0.3">
      <c r="A340" s="17">
        <v>45630</v>
      </c>
      <c r="B340" s="42">
        <v>14848</v>
      </c>
    </row>
    <row r="341" spans="1:2" x14ac:dyDescent="0.3">
      <c r="A341" s="17">
        <v>45631</v>
      </c>
      <c r="B341" s="42">
        <v>16045</v>
      </c>
    </row>
    <row r="342" spans="1:2" x14ac:dyDescent="0.3">
      <c r="A342" s="17">
        <v>45632</v>
      </c>
      <c r="B342" s="42">
        <v>15570</v>
      </c>
    </row>
    <row r="343" spans="1:2" x14ac:dyDescent="0.3">
      <c r="A343" s="17">
        <v>45633</v>
      </c>
      <c r="B343" s="42">
        <v>16918</v>
      </c>
    </row>
    <row r="344" spans="1:2" x14ac:dyDescent="0.3">
      <c r="A344" s="17">
        <v>45634</v>
      </c>
      <c r="B344" s="42">
        <v>15718</v>
      </c>
    </row>
    <row r="345" spans="1:2" x14ac:dyDescent="0.3">
      <c r="A345" s="17">
        <v>45635</v>
      </c>
      <c r="B345" s="42">
        <v>12035</v>
      </c>
    </row>
    <row r="346" spans="1:2" x14ac:dyDescent="0.3">
      <c r="A346" s="17">
        <v>45636</v>
      </c>
      <c r="B346" s="42">
        <v>11205</v>
      </c>
    </row>
    <row r="347" spans="1:2" x14ac:dyDescent="0.3">
      <c r="A347" s="17">
        <v>45637</v>
      </c>
      <c r="B347" s="42">
        <v>11359</v>
      </c>
    </row>
    <row r="348" spans="1:2" x14ac:dyDescent="0.3">
      <c r="A348" s="17">
        <v>45638</v>
      </c>
      <c r="B348" s="42">
        <v>12668</v>
      </c>
    </row>
    <row r="349" spans="1:2" x14ac:dyDescent="0.3">
      <c r="A349" s="17">
        <v>45639</v>
      </c>
      <c r="B349" s="42">
        <v>14116</v>
      </c>
    </row>
    <row r="350" spans="1:2" x14ac:dyDescent="0.3">
      <c r="A350" s="17">
        <v>45640</v>
      </c>
      <c r="B350" s="42">
        <v>15697</v>
      </c>
    </row>
    <row r="351" spans="1:2" x14ac:dyDescent="0.3">
      <c r="A351" s="17">
        <v>45641</v>
      </c>
      <c r="B351" s="42">
        <v>15323</v>
      </c>
    </row>
    <row r="352" spans="1:2" x14ac:dyDescent="0.3">
      <c r="A352" s="17">
        <v>45642</v>
      </c>
      <c r="B352" s="42">
        <v>12037</v>
      </c>
    </row>
    <row r="353" spans="1:5" x14ac:dyDescent="0.3">
      <c r="A353" s="17">
        <v>45643</v>
      </c>
      <c r="B353" s="42">
        <v>7979</v>
      </c>
    </row>
    <row r="354" spans="1:5" x14ac:dyDescent="0.3">
      <c r="A354" s="17">
        <v>45644</v>
      </c>
      <c r="B354" s="42">
        <v>9653</v>
      </c>
    </row>
    <row r="355" spans="1:5" x14ac:dyDescent="0.3">
      <c r="A355" s="17">
        <v>45645</v>
      </c>
      <c r="B355" s="42">
        <v>10755</v>
      </c>
    </row>
    <row r="356" spans="1:5" x14ac:dyDescent="0.3">
      <c r="A356" s="17">
        <v>45646</v>
      </c>
      <c r="B356" s="42">
        <v>12369</v>
      </c>
    </row>
    <row r="357" spans="1:5" x14ac:dyDescent="0.3">
      <c r="A357" s="17">
        <v>45647</v>
      </c>
      <c r="B357" s="42">
        <v>12988</v>
      </c>
    </row>
    <row r="358" spans="1:5" x14ac:dyDescent="0.3">
      <c r="A358" s="17">
        <v>45648</v>
      </c>
      <c r="B358" s="42">
        <v>14232</v>
      </c>
    </row>
    <row r="359" spans="1:5" x14ac:dyDescent="0.3">
      <c r="A359" s="17">
        <v>45649</v>
      </c>
      <c r="B359" s="42">
        <v>5133</v>
      </c>
    </row>
    <row r="360" spans="1:5" x14ac:dyDescent="0.3">
      <c r="A360" s="17">
        <v>45650</v>
      </c>
      <c r="B360" s="42">
        <v>11812</v>
      </c>
    </row>
    <row r="361" spans="1:5" x14ac:dyDescent="0.3">
      <c r="A361" s="17">
        <v>45651</v>
      </c>
      <c r="B361" s="42">
        <v>14147</v>
      </c>
    </row>
    <row r="362" spans="1:5" x14ac:dyDescent="0.3">
      <c r="A362" s="17">
        <v>45652</v>
      </c>
      <c r="B362" s="42">
        <v>13507</v>
      </c>
    </row>
    <row r="363" spans="1:5" x14ac:dyDescent="0.3">
      <c r="A363" s="17">
        <v>45653</v>
      </c>
      <c r="B363" s="42">
        <v>13742</v>
      </c>
    </row>
    <row r="364" spans="1:5" x14ac:dyDescent="0.3">
      <c r="A364" s="17">
        <v>45654</v>
      </c>
      <c r="B364" s="42">
        <v>11899</v>
      </c>
    </row>
    <row r="365" spans="1:5" x14ac:dyDescent="0.3">
      <c r="A365" s="17">
        <v>45655</v>
      </c>
      <c r="B365" s="42">
        <v>12250</v>
      </c>
    </row>
    <row r="366" spans="1:5" x14ac:dyDescent="0.3">
      <c r="A366" s="17">
        <v>45656</v>
      </c>
      <c r="B366" s="42">
        <v>12999</v>
      </c>
    </row>
    <row r="367" spans="1:5" x14ac:dyDescent="0.3">
      <c r="A367" s="17">
        <v>45657</v>
      </c>
      <c r="B367" s="42">
        <v>13781</v>
      </c>
      <c r="C367" s="42">
        <v>13781</v>
      </c>
      <c r="D367" s="42">
        <v>13781</v>
      </c>
      <c r="E367" s="42">
        <v>13781</v>
      </c>
    </row>
    <row r="368" spans="1:5" x14ac:dyDescent="0.3">
      <c r="A368" s="17">
        <v>45658</v>
      </c>
      <c r="C368" s="42">
        <f t="shared" ref="C368:C399" si="0">_xlfn.FORECAST.ETS(A368,$B$2:$B$367,$A$2:$A$367,1,1)</f>
        <v>14297.077283858318</v>
      </c>
      <c r="D368" s="42">
        <f t="shared" ref="D368:D399" si="1">C368-_xlfn.FORECAST.ETS.CONFINT(A368,$B$2:$B$367,$A$2:$A$367,0.95,1,1)</f>
        <v>10444.704067094932</v>
      </c>
      <c r="E368" s="42">
        <f t="shared" ref="E368:E399" si="2">C368+_xlfn.FORECAST.ETS.CONFINT(A368,$B$2:$B$367,$A$2:$A$367,0.95,1,1)</f>
        <v>18149.450500621704</v>
      </c>
    </row>
    <row r="369" spans="1:5" x14ac:dyDescent="0.3">
      <c r="A369" s="17">
        <v>45659</v>
      </c>
      <c r="C369" s="42">
        <f t="shared" si="0"/>
        <v>14717.36720925093</v>
      </c>
      <c r="D369" s="42">
        <f t="shared" si="1"/>
        <v>9531.9512220866836</v>
      </c>
      <c r="E369" s="42">
        <f t="shared" si="2"/>
        <v>19902.783196415177</v>
      </c>
    </row>
    <row r="370" spans="1:5" x14ac:dyDescent="0.3">
      <c r="A370" s="17">
        <v>45660</v>
      </c>
      <c r="C370" s="42">
        <f t="shared" si="0"/>
        <v>15086.481840555882</v>
      </c>
      <c r="D370" s="42">
        <f t="shared" si="1"/>
        <v>8844.4423946775023</v>
      </c>
      <c r="E370" s="42">
        <f t="shared" si="2"/>
        <v>21328.521286434261</v>
      </c>
    </row>
    <row r="371" spans="1:5" x14ac:dyDescent="0.3">
      <c r="A371" s="17">
        <v>45661</v>
      </c>
      <c r="C371" s="42">
        <f t="shared" si="0"/>
        <v>15553.27394889057</v>
      </c>
      <c r="D371" s="42">
        <f t="shared" si="1"/>
        <v>8407.340732390152</v>
      </c>
      <c r="E371" s="42">
        <f t="shared" si="2"/>
        <v>22699.207165390988</v>
      </c>
    </row>
    <row r="372" spans="1:5" x14ac:dyDescent="0.3">
      <c r="A372" s="17">
        <v>45662</v>
      </c>
      <c r="C372" s="42">
        <f t="shared" si="0"/>
        <v>15453.314191460166</v>
      </c>
      <c r="D372" s="42">
        <f t="shared" si="1"/>
        <v>7503.9441589453645</v>
      </c>
      <c r="E372" s="42">
        <f t="shared" si="2"/>
        <v>23402.684223974968</v>
      </c>
    </row>
    <row r="373" spans="1:5" x14ac:dyDescent="0.3">
      <c r="A373" s="17">
        <v>45663</v>
      </c>
      <c r="C373" s="42">
        <f t="shared" si="0"/>
        <v>13245.317073839367</v>
      </c>
      <c r="D373" s="42">
        <f t="shared" si="1"/>
        <v>4565.025992145067</v>
      </c>
      <c r="E373" s="42">
        <f t="shared" si="2"/>
        <v>21925.608155533668</v>
      </c>
    </row>
    <row r="374" spans="1:5" x14ac:dyDescent="0.3">
      <c r="A374" s="17">
        <v>45664</v>
      </c>
      <c r="C374" s="42">
        <f t="shared" si="0"/>
        <v>13725.085973889432</v>
      </c>
      <c r="D374" s="42">
        <f t="shared" si="1"/>
        <v>4369.3765265233778</v>
      </c>
      <c r="E374" s="42">
        <f t="shared" si="2"/>
        <v>23080.795421255487</v>
      </c>
    </row>
    <row r="375" spans="1:5" x14ac:dyDescent="0.3">
      <c r="A375" s="17">
        <v>45665</v>
      </c>
      <c r="C375" s="42">
        <f t="shared" si="0"/>
        <v>14241.502721733903</v>
      </c>
      <c r="D375" s="42">
        <f t="shared" si="1"/>
        <v>4114.8694072683502</v>
      </c>
      <c r="E375" s="42">
        <f t="shared" si="2"/>
        <v>24368.136036199456</v>
      </c>
    </row>
    <row r="376" spans="1:5" x14ac:dyDescent="0.3">
      <c r="A376" s="17">
        <v>45666</v>
      </c>
      <c r="C376" s="42">
        <f t="shared" si="0"/>
        <v>14661.792647126515</v>
      </c>
      <c r="D376" s="42">
        <f t="shared" si="1"/>
        <v>3948.044907240901</v>
      </c>
      <c r="E376" s="42">
        <f t="shared" si="2"/>
        <v>25375.54038701213</v>
      </c>
    </row>
    <row r="377" spans="1:5" x14ac:dyDescent="0.3">
      <c r="A377" s="17">
        <v>45667</v>
      </c>
      <c r="C377" s="42">
        <f t="shared" si="0"/>
        <v>15030.907278431467</v>
      </c>
      <c r="D377" s="42">
        <f t="shared" si="1"/>
        <v>3759.3925320304006</v>
      </c>
      <c r="E377" s="42">
        <f t="shared" si="2"/>
        <v>26302.422024832533</v>
      </c>
    </row>
    <row r="378" spans="1:5" x14ac:dyDescent="0.3">
      <c r="A378" s="17">
        <v>45668</v>
      </c>
      <c r="C378" s="42">
        <f t="shared" si="0"/>
        <v>15497.699386766155</v>
      </c>
      <c r="D378" s="42">
        <f t="shared" si="1"/>
        <v>3693.6028901892096</v>
      </c>
      <c r="E378" s="42">
        <f t="shared" si="2"/>
        <v>27301.7958833431</v>
      </c>
    </row>
    <row r="379" spans="1:5" x14ac:dyDescent="0.3">
      <c r="A379" s="17">
        <v>45669</v>
      </c>
      <c r="C379" s="42">
        <f t="shared" si="0"/>
        <v>15397.739629335751</v>
      </c>
      <c r="D379" s="42">
        <f t="shared" si="1"/>
        <v>3082.9774074350298</v>
      </c>
      <c r="E379" s="42">
        <f t="shared" si="2"/>
        <v>27712.50185123647</v>
      </c>
    </row>
    <row r="380" spans="1:5" x14ac:dyDescent="0.3">
      <c r="A380" s="17">
        <v>45670</v>
      </c>
      <c r="C380" s="42">
        <f t="shared" si="0"/>
        <v>13189.742511714954</v>
      </c>
      <c r="D380" s="42">
        <f t="shared" si="1"/>
        <v>383.60734905737991</v>
      </c>
      <c r="E380" s="42">
        <f t="shared" si="2"/>
        <v>25995.877674372528</v>
      </c>
    </row>
    <row r="381" spans="1:5" x14ac:dyDescent="0.3">
      <c r="A381" s="17">
        <v>45671</v>
      </c>
      <c r="C381" s="42">
        <f t="shared" si="0"/>
        <v>13669.511411765019</v>
      </c>
      <c r="D381" s="42">
        <f t="shared" si="1"/>
        <v>389.15330481009005</v>
      </c>
      <c r="E381" s="42">
        <f t="shared" si="2"/>
        <v>26949.869518719948</v>
      </c>
    </row>
    <row r="382" spans="1:5" x14ac:dyDescent="0.3">
      <c r="A382" s="17">
        <v>45672</v>
      </c>
      <c r="C382" s="42">
        <f t="shared" si="0"/>
        <v>14185.92815960949</v>
      </c>
      <c r="D382" s="42">
        <f t="shared" si="1"/>
        <v>344.06920908010943</v>
      </c>
      <c r="E382" s="42">
        <f t="shared" si="2"/>
        <v>28027.78711013887</v>
      </c>
    </row>
    <row r="383" spans="1:5" x14ac:dyDescent="0.3">
      <c r="A383" s="17">
        <v>45673</v>
      </c>
      <c r="C383" s="42">
        <f t="shared" si="0"/>
        <v>14606.218085002101</v>
      </c>
      <c r="D383" s="42">
        <f t="shared" si="1"/>
        <v>322.58651804581677</v>
      </c>
      <c r="E383" s="42">
        <f t="shared" si="2"/>
        <v>28889.849651958386</v>
      </c>
    </row>
    <row r="384" spans="1:5" x14ac:dyDescent="0.3">
      <c r="A384" s="17">
        <v>45674</v>
      </c>
      <c r="C384" s="42">
        <f t="shared" si="0"/>
        <v>14975.332716307053</v>
      </c>
      <c r="D384" s="42">
        <f t="shared" si="1"/>
        <v>262.26452024973332</v>
      </c>
      <c r="E384" s="42">
        <f t="shared" si="2"/>
        <v>29688.400912364374</v>
      </c>
    </row>
    <row r="385" spans="1:5" x14ac:dyDescent="0.3">
      <c r="A385" s="17">
        <v>45675</v>
      </c>
      <c r="C385" s="42">
        <f t="shared" si="0"/>
        <v>15442.124824641742</v>
      </c>
      <c r="D385" s="42">
        <f t="shared" si="1"/>
        <v>310.90465270057575</v>
      </c>
      <c r="E385" s="42">
        <f t="shared" si="2"/>
        <v>30573.344996582906</v>
      </c>
    </row>
    <row r="386" spans="1:5" x14ac:dyDescent="0.3">
      <c r="A386" s="17">
        <v>45676</v>
      </c>
      <c r="C386" s="42">
        <f t="shared" si="0"/>
        <v>15342.165067211337</v>
      </c>
      <c r="D386" s="42">
        <f t="shared" si="1"/>
        <v>-196.83441383268109</v>
      </c>
      <c r="E386" s="42">
        <f t="shared" si="2"/>
        <v>30881.164548255358</v>
      </c>
    </row>
    <row r="387" spans="1:5" x14ac:dyDescent="0.3">
      <c r="A387" s="17">
        <v>45677</v>
      </c>
      <c r="C387" s="42">
        <f t="shared" si="0"/>
        <v>13134.167949590537</v>
      </c>
      <c r="D387" s="42">
        <f t="shared" si="1"/>
        <v>-2803.0353296480589</v>
      </c>
      <c r="E387" s="42">
        <f t="shared" si="2"/>
        <v>29071.371228829135</v>
      </c>
    </row>
    <row r="388" spans="1:5" x14ac:dyDescent="0.3">
      <c r="A388" s="17">
        <v>45678</v>
      </c>
      <c r="C388" s="42">
        <f t="shared" si="0"/>
        <v>13613.936849640604</v>
      </c>
      <c r="D388" s="42">
        <f t="shared" si="1"/>
        <v>-2712.5962804816481</v>
      </c>
      <c r="E388" s="42">
        <f t="shared" si="2"/>
        <v>29940.469979762856</v>
      </c>
    </row>
    <row r="389" spans="1:5" x14ac:dyDescent="0.3">
      <c r="A389" s="17">
        <v>45679</v>
      </c>
      <c r="C389" s="42">
        <f t="shared" si="0"/>
        <v>14130.353597485075</v>
      </c>
      <c r="D389" s="42">
        <f t="shared" si="1"/>
        <v>-2662.3838487452267</v>
      </c>
      <c r="E389" s="42">
        <f t="shared" si="2"/>
        <v>30923.091043715376</v>
      </c>
    </row>
    <row r="390" spans="1:5" x14ac:dyDescent="0.3">
      <c r="A390" s="17">
        <v>45680</v>
      </c>
      <c r="C390" s="42">
        <f t="shared" si="0"/>
        <v>14550.643522877686</v>
      </c>
      <c r="D390" s="42">
        <f t="shared" si="1"/>
        <v>-2613.6199350906027</v>
      </c>
      <c r="E390" s="42">
        <f t="shared" si="2"/>
        <v>31714.906980845975</v>
      </c>
    </row>
    <row r="391" spans="1:5" x14ac:dyDescent="0.3">
      <c r="A391" s="17">
        <v>45681</v>
      </c>
      <c r="C391" s="42">
        <f t="shared" si="0"/>
        <v>14919.758154182638</v>
      </c>
      <c r="D391" s="42">
        <f t="shared" si="1"/>
        <v>-2608.9391850111951</v>
      </c>
      <c r="E391" s="42">
        <f t="shared" si="2"/>
        <v>32448.455493376474</v>
      </c>
    </row>
    <row r="392" spans="1:5" x14ac:dyDescent="0.3">
      <c r="A392" s="17">
        <v>45682</v>
      </c>
      <c r="C392" s="42">
        <f t="shared" si="0"/>
        <v>15386.550262517327</v>
      </c>
      <c r="D392" s="42">
        <f t="shared" si="1"/>
        <v>-2499.923165275266</v>
      </c>
      <c r="E392" s="42">
        <f t="shared" si="2"/>
        <v>33273.023690309921</v>
      </c>
    </row>
    <row r="393" spans="1:5" x14ac:dyDescent="0.3">
      <c r="A393" s="17">
        <v>45683</v>
      </c>
      <c r="C393" s="42">
        <f t="shared" si="0"/>
        <v>15286.590505086922</v>
      </c>
      <c r="D393" s="42">
        <f t="shared" si="1"/>
        <v>-2951.3938560839415</v>
      </c>
      <c r="E393" s="42">
        <f t="shared" si="2"/>
        <v>33524.574866257783</v>
      </c>
    </row>
    <row r="394" spans="1:5" x14ac:dyDescent="0.3">
      <c r="A394" s="17">
        <v>45684</v>
      </c>
      <c r="C394" s="42">
        <f t="shared" si="0"/>
        <v>13078.593387466124</v>
      </c>
      <c r="D394" s="42">
        <f t="shared" si="1"/>
        <v>-5504.9930725304293</v>
      </c>
      <c r="E394" s="42">
        <f t="shared" si="2"/>
        <v>31662.179847462678</v>
      </c>
    </row>
    <row r="395" spans="1:5" x14ac:dyDescent="0.3">
      <c r="A395" s="17">
        <v>45685</v>
      </c>
      <c r="C395" s="42">
        <f t="shared" si="0"/>
        <v>13558.362287516189</v>
      </c>
      <c r="D395" s="42">
        <f t="shared" si="1"/>
        <v>-5365.2419632139499</v>
      </c>
      <c r="E395" s="42">
        <f t="shared" si="2"/>
        <v>32481.966538246328</v>
      </c>
    </row>
    <row r="396" spans="1:5" x14ac:dyDescent="0.3">
      <c r="A396" s="17">
        <v>45686</v>
      </c>
      <c r="C396" s="42">
        <f t="shared" si="0"/>
        <v>14074.77903536066</v>
      </c>
      <c r="D396" s="42">
        <f t="shared" si="1"/>
        <v>-5257.9858536907213</v>
      </c>
      <c r="E396" s="42">
        <f t="shared" si="2"/>
        <v>33407.543924412043</v>
      </c>
    </row>
    <row r="397" spans="1:5" x14ac:dyDescent="0.3">
      <c r="A397" s="17">
        <v>45687</v>
      </c>
      <c r="C397" s="42">
        <f t="shared" si="0"/>
        <v>14495.068960753271</v>
      </c>
      <c r="D397" s="42">
        <f t="shared" si="1"/>
        <v>-5166.1619099363834</v>
      </c>
      <c r="E397" s="42">
        <f t="shared" si="2"/>
        <v>34156.299831442928</v>
      </c>
    </row>
    <row r="398" spans="1:5" x14ac:dyDescent="0.3">
      <c r="A398" s="17">
        <v>45688</v>
      </c>
      <c r="C398" s="42">
        <f t="shared" si="0"/>
        <v>14864.183592058223</v>
      </c>
      <c r="D398" s="42">
        <f t="shared" si="1"/>
        <v>-5120.8055111334215</v>
      </c>
      <c r="E398" s="42">
        <f t="shared" si="2"/>
        <v>34849.172695249872</v>
      </c>
    </row>
    <row r="399" spans="1:5" x14ac:dyDescent="0.3">
      <c r="A399" s="17">
        <v>45689</v>
      </c>
      <c r="C399" s="42">
        <f t="shared" si="0"/>
        <v>15330.975700392912</v>
      </c>
      <c r="D399" s="42">
        <f t="shared" si="1"/>
        <v>-4973.2898181941455</v>
      </c>
      <c r="E399" s="42">
        <f t="shared" si="2"/>
        <v>35635.241218979965</v>
      </c>
    </row>
    <row r="400" spans="1:5" x14ac:dyDescent="0.3">
      <c r="A400" s="17">
        <v>45690</v>
      </c>
      <c r="C400" s="42">
        <f t="shared" ref="C400:C431" si="3">_xlfn.FORECAST.ETS(A400,$B$2:$B$367,$A$2:$A$367,1,1)</f>
        <v>15231.015942962507</v>
      </c>
      <c r="D400" s="42">
        <f t="shared" ref="D400:D431" si="4">C400-_xlfn.FORECAST.ETS.CONFINT(A400,$B$2:$B$367,$A$2:$A$367,0.95,1,1)</f>
        <v>-5388.2530890837643</v>
      </c>
      <c r="E400" s="42">
        <f t="shared" ref="E400:E431" si="5">C400+_xlfn.FORECAST.ETS.CONFINT(A400,$B$2:$B$367,$A$2:$A$367,0.95,1,1)</f>
        <v>35850.284975008777</v>
      </c>
    </row>
    <row r="401" spans="1:5" x14ac:dyDescent="0.3">
      <c r="A401" s="17">
        <v>45691</v>
      </c>
      <c r="C401" s="42">
        <f t="shared" si="3"/>
        <v>13023.018825341707</v>
      </c>
      <c r="D401" s="42">
        <f t="shared" si="4"/>
        <v>-7907.1744522203735</v>
      </c>
      <c r="E401" s="42">
        <f t="shared" si="5"/>
        <v>33953.212102903788</v>
      </c>
    </row>
    <row r="402" spans="1:5" x14ac:dyDescent="0.3">
      <c r="A402" s="17">
        <v>45692</v>
      </c>
      <c r="C402" s="42">
        <f t="shared" si="3"/>
        <v>13502.787725391774</v>
      </c>
      <c r="D402" s="42">
        <f t="shared" si="4"/>
        <v>-7734.4303973155711</v>
      </c>
      <c r="E402" s="42">
        <f t="shared" si="5"/>
        <v>34740.005848099121</v>
      </c>
    </row>
    <row r="403" spans="1:5" x14ac:dyDescent="0.3">
      <c r="A403" s="17">
        <v>45693</v>
      </c>
      <c r="C403" s="42">
        <f t="shared" si="3"/>
        <v>14019.204473236245</v>
      </c>
      <c r="D403" s="42">
        <f t="shared" si="4"/>
        <v>-7588.3530456726694</v>
      </c>
      <c r="E403" s="42">
        <f t="shared" si="5"/>
        <v>35626.761992145155</v>
      </c>
    </row>
    <row r="404" spans="1:5" x14ac:dyDescent="0.3">
      <c r="A404" s="17">
        <v>45694</v>
      </c>
      <c r="C404" s="42">
        <f t="shared" si="3"/>
        <v>14439.494398628856</v>
      </c>
      <c r="D404" s="42">
        <f t="shared" si="4"/>
        <v>-7466.8628842071521</v>
      </c>
      <c r="E404" s="42">
        <f t="shared" si="5"/>
        <v>36345.851681464861</v>
      </c>
    </row>
    <row r="405" spans="1:5" x14ac:dyDescent="0.3">
      <c r="A405" s="17">
        <v>45695</v>
      </c>
      <c r="C405" s="42">
        <f t="shared" si="3"/>
        <v>14808.60902993381</v>
      </c>
      <c r="D405" s="42">
        <f t="shared" si="4"/>
        <v>-7393.1529193662063</v>
      </c>
      <c r="E405" s="42">
        <f t="shared" si="5"/>
        <v>37010.370979233827</v>
      </c>
    </row>
    <row r="406" spans="1:5" x14ac:dyDescent="0.3">
      <c r="A406" s="17">
        <v>45696</v>
      </c>
      <c r="C406" s="42">
        <f t="shared" si="3"/>
        <v>15275.401138268498</v>
      </c>
      <c r="D406" s="42">
        <f t="shared" si="4"/>
        <v>-7218.5048001159448</v>
      </c>
      <c r="E406" s="42">
        <f t="shared" si="5"/>
        <v>37769.307076652942</v>
      </c>
    </row>
    <row r="407" spans="1:5" x14ac:dyDescent="0.3">
      <c r="A407" s="17">
        <v>45697</v>
      </c>
      <c r="C407" s="42">
        <f t="shared" si="3"/>
        <v>15175.441380838094</v>
      </c>
      <c r="D407" s="42">
        <f t="shared" si="4"/>
        <v>-7607.4739554248245</v>
      </c>
      <c r="E407" s="42">
        <f t="shared" si="5"/>
        <v>37958.356717101015</v>
      </c>
    </row>
    <row r="408" spans="1:5" x14ac:dyDescent="0.3">
      <c r="A408" s="17">
        <v>45698</v>
      </c>
      <c r="C408" s="42">
        <f t="shared" si="3"/>
        <v>12967.444263217294</v>
      </c>
      <c r="D408" s="42">
        <f t="shared" si="4"/>
        <v>-10101.464334682521</v>
      </c>
      <c r="E408" s="42">
        <f t="shared" si="5"/>
        <v>36036.352861117106</v>
      </c>
    </row>
    <row r="409" spans="1:5" x14ac:dyDescent="0.3">
      <c r="A409" s="17">
        <v>45699</v>
      </c>
      <c r="C409" s="42">
        <f t="shared" si="3"/>
        <v>13447.213163267361</v>
      </c>
      <c r="D409" s="42">
        <f t="shared" si="4"/>
        <v>-9904.7840122044126</v>
      </c>
      <c r="E409" s="42">
        <f t="shared" si="5"/>
        <v>36799.210338739133</v>
      </c>
    </row>
    <row r="410" spans="1:5" x14ac:dyDescent="0.3">
      <c r="A410" s="17">
        <v>45700</v>
      </c>
      <c r="C410" s="42">
        <f t="shared" si="3"/>
        <v>13963.629911111831</v>
      </c>
      <c r="D410" s="42">
        <f t="shared" si="4"/>
        <v>-9730.2182935499077</v>
      </c>
      <c r="E410" s="42">
        <f t="shared" si="5"/>
        <v>37657.478115773571</v>
      </c>
    </row>
    <row r="411" spans="1:5" x14ac:dyDescent="0.3">
      <c r="A411" s="17">
        <v>45701</v>
      </c>
      <c r="C411" s="42">
        <f t="shared" si="3"/>
        <v>14383.919836504443</v>
      </c>
      <c r="D411" s="42">
        <f t="shared" si="4"/>
        <v>-9586.8037860173026</v>
      </c>
      <c r="E411" s="42">
        <f t="shared" si="5"/>
        <v>38354.643459026192</v>
      </c>
    </row>
    <row r="412" spans="1:5" x14ac:dyDescent="0.3">
      <c r="A412" s="17">
        <v>45702</v>
      </c>
      <c r="C412" s="42">
        <f t="shared" si="3"/>
        <v>14753.034467809395</v>
      </c>
      <c r="D412" s="42">
        <f t="shared" si="4"/>
        <v>-9491.98035544493</v>
      </c>
      <c r="E412" s="42">
        <f t="shared" si="5"/>
        <v>38998.049291063719</v>
      </c>
    </row>
    <row r="413" spans="1:5" x14ac:dyDescent="0.3">
      <c r="A413" s="17">
        <v>45703</v>
      </c>
      <c r="C413" s="42">
        <f t="shared" si="3"/>
        <v>15219.826576144083</v>
      </c>
      <c r="D413" s="42">
        <f t="shared" si="4"/>
        <v>-9296.982571961029</v>
      </c>
      <c r="E413" s="42">
        <f t="shared" si="5"/>
        <v>39736.635724249194</v>
      </c>
    </row>
    <row r="414" spans="1:5" x14ac:dyDescent="0.3">
      <c r="A414" s="17">
        <v>45704</v>
      </c>
      <c r="C414" s="42">
        <f t="shared" si="3"/>
        <v>15119.866818713679</v>
      </c>
      <c r="D414" s="42">
        <f t="shared" si="4"/>
        <v>-9666.322516140659</v>
      </c>
      <c r="E414" s="42">
        <f t="shared" si="5"/>
        <v>39906.056153568017</v>
      </c>
    </row>
    <row r="415" spans="1:5" x14ac:dyDescent="0.3">
      <c r="A415" s="17">
        <v>45705</v>
      </c>
      <c r="C415" s="42">
        <f t="shared" si="3"/>
        <v>12911.869701092881</v>
      </c>
      <c r="D415" s="42">
        <f t="shared" si="4"/>
        <v>-12141.364147599983</v>
      </c>
      <c r="E415" s="42">
        <f t="shared" si="5"/>
        <v>37965.103549785745</v>
      </c>
    </row>
    <row r="416" spans="1:5" x14ac:dyDescent="0.3">
      <c r="A416" s="17">
        <v>45706</v>
      </c>
      <c r="C416" s="42">
        <f t="shared" si="3"/>
        <v>13391.638601142946</v>
      </c>
      <c r="D416" s="42">
        <f t="shared" si="4"/>
        <v>-11926.378582046935</v>
      </c>
      <c r="E416" s="42">
        <f t="shared" si="5"/>
        <v>38709.655784332826</v>
      </c>
    </row>
    <row r="417" spans="1:5" x14ac:dyDescent="0.3">
      <c r="A417" s="17">
        <v>45707</v>
      </c>
      <c r="C417" s="42">
        <f t="shared" si="3"/>
        <v>13908.055348987416</v>
      </c>
      <c r="D417" s="42">
        <f t="shared" si="4"/>
        <v>-11729.840069080603</v>
      </c>
      <c r="E417" s="42">
        <f t="shared" si="5"/>
        <v>39545.950767055438</v>
      </c>
    </row>
    <row r="418" spans="1:5" x14ac:dyDescent="0.3">
      <c r="A418" s="17">
        <v>45708</v>
      </c>
      <c r="C418" s="42">
        <f t="shared" si="3"/>
        <v>14328.345274380028</v>
      </c>
      <c r="D418" s="42">
        <f t="shared" si="4"/>
        <v>-11569.443914610763</v>
      </c>
      <c r="E418" s="42">
        <f t="shared" si="5"/>
        <v>40226.134463370821</v>
      </c>
    </row>
    <row r="419" spans="1:5" x14ac:dyDescent="0.3">
      <c r="A419" s="17">
        <v>45709</v>
      </c>
      <c r="C419" s="42">
        <f t="shared" si="3"/>
        <v>14697.45990568498</v>
      </c>
      <c r="D419" s="42">
        <f t="shared" si="4"/>
        <v>-11458.180033124885</v>
      </c>
      <c r="E419" s="42">
        <f t="shared" si="5"/>
        <v>40853.099844494849</v>
      </c>
    </row>
    <row r="420" spans="1:5" x14ac:dyDescent="0.3">
      <c r="A420" s="17">
        <v>45710</v>
      </c>
      <c r="C420" s="42">
        <f t="shared" si="3"/>
        <v>15164.252014019668</v>
      </c>
      <c r="D420" s="42">
        <f t="shared" si="4"/>
        <v>-11247.25605241083</v>
      </c>
      <c r="E420" s="42">
        <f t="shared" si="5"/>
        <v>41575.760080450171</v>
      </c>
    </row>
    <row r="421" spans="1:5" x14ac:dyDescent="0.3">
      <c r="A421" s="17">
        <v>45711</v>
      </c>
      <c r="C421" s="42">
        <f t="shared" si="3"/>
        <v>15064.292256589264</v>
      </c>
      <c r="D421" s="42">
        <f t="shared" si="4"/>
        <v>-11601.158944587516</v>
      </c>
      <c r="E421" s="42">
        <f t="shared" si="5"/>
        <v>41729.743457766046</v>
      </c>
    </row>
    <row r="422" spans="1:5" x14ac:dyDescent="0.3">
      <c r="A422" s="17">
        <v>45712</v>
      </c>
      <c r="C422" s="42">
        <f t="shared" si="3"/>
        <v>12856.295138968464</v>
      </c>
      <c r="D422" s="42">
        <f t="shared" si="4"/>
        <v>-14061.229237316129</v>
      </c>
      <c r="E422" s="42">
        <f t="shared" si="5"/>
        <v>39773.819515253053</v>
      </c>
    </row>
    <row r="423" spans="1:5" x14ac:dyDescent="0.3">
      <c r="A423" s="17">
        <v>45713</v>
      </c>
      <c r="C423" s="42">
        <f t="shared" si="3"/>
        <v>13336.064039018531</v>
      </c>
      <c r="D423" s="42">
        <f t="shared" si="4"/>
        <v>-13831.71614967719</v>
      </c>
      <c r="E423" s="42">
        <f t="shared" si="5"/>
        <v>40503.844227714253</v>
      </c>
    </row>
    <row r="424" spans="1:5" x14ac:dyDescent="0.3">
      <c r="A424" s="17">
        <v>45714</v>
      </c>
      <c r="C424" s="42">
        <f t="shared" si="3"/>
        <v>13852.480786863001</v>
      </c>
      <c r="D424" s="42">
        <f t="shared" si="4"/>
        <v>-13617.620029740279</v>
      </c>
      <c r="E424" s="42">
        <f t="shared" si="5"/>
        <v>41322.581603466286</v>
      </c>
    </row>
    <row r="425" spans="1:5" x14ac:dyDescent="0.3">
      <c r="A425" s="17">
        <v>45715</v>
      </c>
      <c r="C425" s="42">
        <f t="shared" si="3"/>
        <v>14272.770712255613</v>
      </c>
      <c r="D425" s="42">
        <f t="shared" si="4"/>
        <v>-13443.620680712385</v>
      </c>
      <c r="E425" s="42">
        <f t="shared" si="5"/>
        <v>41989.162105223615</v>
      </c>
    </row>
    <row r="426" spans="1:5" x14ac:dyDescent="0.3">
      <c r="A426" s="17">
        <v>45716</v>
      </c>
      <c r="C426" s="42">
        <f t="shared" si="3"/>
        <v>14641.885343560565</v>
      </c>
      <c r="D426" s="42">
        <f t="shared" si="4"/>
        <v>-13319.135469610521</v>
      </c>
      <c r="E426" s="42">
        <f t="shared" si="5"/>
        <v>42602.906156731653</v>
      </c>
    </row>
    <row r="427" spans="1:5" x14ac:dyDescent="0.3">
      <c r="A427" s="17">
        <v>45717</v>
      </c>
      <c r="C427" s="42">
        <f t="shared" si="3"/>
        <v>15108.677451895253</v>
      </c>
      <c r="D427" s="42">
        <f t="shared" si="4"/>
        <v>-13095.355375966343</v>
      </c>
      <c r="E427" s="42">
        <f t="shared" si="5"/>
        <v>43312.710279756851</v>
      </c>
    </row>
    <row r="428" spans="1:5" x14ac:dyDescent="0.3">
      <c r="A428" s="17">
        <v>45718</v>
      </c>
      <c r="C428" s="42">
        <f t="shared" si="3"/>
        <v>15008.717694464849</v>
      </c>
      <c r="D428" s="42">
        <f t="shared" si="4"/>
        <v>-13436.75171722308</v>
      </c>
      <c r="E428" s="42">
        <f t="shared" si="5"/>
        <v>43454.187106152778</v>
      </c>
    </row>
    <row r="429" spans="1:5" x14ac:dyDescent="0.3">
      <c r="A429" s="17">
        <v>45719</v>
      </c>
      <c r="C429" s="42">
        <f t="shared" si="3"/>
        <v>12800.720576844051</v>
      </c>
      <c r="D429" s="42">
        <f t="shared" si="4"/>
        <v>-15884.650285054915</v>
      </c>
      <c r="E429" s="42">
        <f t="shared" si="5"/>
        <v>41486.091438743017</v>
      </c>
    </row>
    <row r="430" spans="1:5" x14ac:dyDescent="0.3">
      <c r="A430" s="17">
        <v>45720</v>
      </c>
      <c r="C430" s="42">
        <f t="shared" si="3"/>
        <v>13280.489476894118</v>
      </c>
      <c r="D430" s="42">
        <f t="shared" si="4"/>
        <v>-15643.28641313932</v>
      </c>
      <c r="E430" s="42">
        <f t="shared" si="5"/>
        <v>42204.265366927553</v>
      </c>
    </row>
    <row r="431" spans="1:5" x14ac:dyDescent="0.3">
      <c r="A431" s="17">
        <v>45721</v>
      </c>
      <c r="C431" s="42">
        <f t="shared" si="3"/>
        <v>13796.906224738588</v>
      </c>
      <c r="D431" s="42">
        <f t="shared" si="4"/>
        <v>-15414.784855030946</v>
      </c>
      <c r="E431" s="42">
        <f t="shared" si="5"/>
        <v>43008.597304508119</v>
      </c>
    </row>
    <row r="432" spans="1:5" x14ac:dyDescent="0.3">
      <c r="A432" s="17">
        <v>45722</v>
      </c>
      <c r="C432" s="42">
        <f t="shared" ref="C432:C463" si="6">_xlfn.FORECAST.ETS(A432,$B$2:$B$367,$A$2:$A$367,1,1)</f>
        <v>14217.1961501312</v>
      </c>
      <c r="D432" s="42">
        <f t="shared" ref="D432:D463" si="7">C432-_xlfn.FORECAST.ETS.CONFINT(A432,$B$2:$B$367,$A$2:$A$367,0.95,1,1)</f>
        <v>-15229.609664325788</v>
      </c>
      <c r="E432" s="42">
        <f t="shared" ref="E432:E463" si="8">C432+_xlfn.FORECAST.ETS.CONFINT(A432,$B$2:$B$367,$A$2:$A$367,0.95,1,1)</f>
        <v>43664.001964588184</v>
      </c>
    </row>
    <row r="433" spans="1:5" x14ac:dyDescent="0.3">
      <c r="A433" s="17">
        <v>45723</v>
      </c>
      <c r="C433" s="42">
        <f t="shared" si="6"/>
        <v>14586.310781436152</v>
      </c>
      <c r="D433" s="42">
        <f t="shared" si="7"/>
        <v>-15094.229602327983</v>
      </c>
      <c r="E433" s="42">
        <f t="shared" si="8"/>
        <v>44266.851165200285</v>
      </c>
    </row>
    <row r="434" spans="1:5" x14ac:dyDescent="0.3">
      <c r="A434" s="17">
        <v>45724</v>
      </c>
      <c r="C434" s="42">
        <f t="shared" si="6"/>
        <v>15053.10288977084</v>
      </c>
      <c r="D434" s="42">
        <f t="shared" si="7"/>
        <v>-14859.824747209017</v>
      </c>
      <c r="E434" s="42">
        <f t="shared" si="8"/>
        <v>44966.030526750699</v>
      </c>
    </row>
    <row r="435" spans="1:5" x14ac:dyDescent="0.3">
      <c r="A435" s="17">
        <v>45725</v>
      </c>
      <c r="C435" s="42">
        <f t="shared" si="6"/>
        <v>14953.143132340436</v>
      </c>
      <c r="D435" s="42">
        <f t="shared" si="7"/>
        <v>-15190.856094449558</v>
      </c>
      <c r="E435" s="42">
        <f t="shared" si="8"/>
        <v>45097.142359130434</v>
      </c>
    </row>
    <row r="436" spans="1:5" x14ac:dyDescent="0.3">
      <c r="A436" s="17">
        <v>45726</v>
      </c>
      <c r="C436" s="42">
        <f t="shared" si="6"/>
        <v>12745.146014719638</v>
      </c>
      <c r="D436" s="42">
        <f t="shared" si="7"/>
        <v>-17628.639654215003</v>
      </c>
      <c r="E436" s="42">
        <f t="shared" si="8"/>
        <v>43118.931683654278</v>
      </c>
    </row>
    <row r="437" spans="1:5" x14ac:dyDescent="0.3">
      <c r="A437" s="17">
        <v>45727</v>
      </c>
      <c r="C437" s="42">
        <f t="shared" si="6"/>
        <v>13224.914914769703</v>
      </c>
      <c r="D437" s="42">
        <f t="shared" si="7"/>
        <v>-17377.401483335576</v>
      </c>
      <c r="E437" s="42">
        <f t="shared" si="8"/>
        <v>43827.231312874981</v>
      </c>
    </row>
    <row r="438" spans="1:5" x14ac:dyDescent="0.3">
      <c r="A438" s="17">
        <v>45728</v>
      </c>
      <c r="C438" s="42">
        <f t="shared" si="6"/>
        <v>13741.331662614173</v>
      </c>
      <c r="D438" s="42">
        <f t="shared" si="7"/>
        <v>-17136.835913184084</v>
      </c>
      <c r="E438" s="42">
        <f t="shared" si="8"/>
        <v>44619.499238412434</v>
      </c>
    </row>
    <row r="439" spans="1:5" x14ac:dyDescent="0.3">
      <c r="A439" s="17">
        <v>45729</v>
      </c>
      <c r="C439" s="42">
        <f t="shared" si="6"/>
        <v>14161.621588006785</v>
      </c>
      <c r="D439" s="42">
        <f t="shared" si="7"/>
        <v>-16942.29662386034</v>
      </c>
      <c r="E439" s="42">
        <f t="shared" si="8"/>
        <v>45265.539799873914</v>
      </c>
    </row>
    <row r="440" spans="1:5" x14ac:dyDescent="0.3">
      <c r="A440" s="17">
        <v>45730</v>
      </c>
      <c r="C440" s="42">
        <f t="shared" si="6"/>
        <v>14530.736219311737</v>
      </c>
      <c r="D440" s="42">
        <f t="shared" si="7"/>
        <v>-16797.76612370391</v>
      </c>
      <c r="E440" s="42">
        <f t="shared" si="8"/>
        <v>45859.238562327388</v>
      </c>
    </row>
    <row r="441" spans="1:5" x14ac:dyDescent="0.3">
      <c r="A441" s="17">
        <v>45731</v>
      </c>
      <c r="C441" s="42">
        <f t="shared" si="6"/>
        <v>14997.528327646425</v>
      </c>
      <c r="D441" s="42">
        <f t="shared" si="7"/>
        <v>-16554.417021223733</v>
      </c>
      <c r="E441" s="42">
        <f t="shared" si="8"/>
        <v>46549.473676516587</v>
      </c>
    </row>
    <row r="442" spans="1:5" x14ac:dyDescent="0.3">
      <c r="A442" s="17">
        <v>45732</v>
      </c>
      <c r="C442" s="42">
        <f t="shared" si="6"/>
        <v>14897.568570216021</v>
      </c>
      <c r="D442" s="42">
        <f t="shared" si="7"/>
        <v>-16876.70320015405</v>
      </c>
      <c r="E442" s="42">
        <f t="shared" si="8"/>
        <v>46671.840340586088</v>
      </c>
    </row>
    <row r="443" spans="1:5" x14ac:dyDescent="0.3">
      <c r="A443" s="17">
        <v>45733</v>
      </c>
      <c r="C443" s="42">
        <f t="shared" si="6"/>
        <v>12689.571452595221</v>
      </c>
      <c r="D443" s="42">
        <f t="shared" si="7"/>
        <v>-19305.933895119419</v>
      </c>
      <c r="E443" s="42">
        <f t="shared" si="8"/>
        <v>44685.076800309864</v>
      </c>
    </row>
    <row r="444" spans="1:5" x14ac:dyDescent="0.3">
      <c r="A444" s="17">
        <v>45734</v>
      </c>
      <c r="C444" s="42">
        <f t="shared" si="6"/>
        <v>13169.340352645288</v>
      </c>
      <c r="D444" s="42">
        <f t="shared" si="7"/>
        <v>-19046.328703491781</v>
      </c>
      <c r="E444" s="42">
        <f t="shared" si="8"/>
        <v>45385.00940878236</v>
      </c>
    </row>
    <row r="445" spans="1:5" x14ac:dyDescent="0.3">
      <c r="A445" s="17">
        <v>45735</v>
      </c>
      <c r="C445" s="42">
        <f t="shared" si="6"/>
        <v>13685.757100489758</v>
      </c>
      <c r="D445" s="42">
        <f t="shared" si="7"/>
        <v>-18795.493351834164</v>
      </c>
      <c r="E445" s="42">
        <f t="shared" si="8"/>
        <v>46167.00755281368</v>
      </c>
    </row>
    <row r="446" spans="1:5" x14ac:dyDescent="0.3">
      <c r="A446" s="17">
        <v>45736</v>
      </c>
      <c r="C446" s="42">
        <f t="shared" si="6"/>
        <v>14106.04702588237</v>
      </c>
      <c r="D446" s="42">
        <f t="shared" si="7"/>
        <v>-18592.983525364929</v>
      </c>
      <c r="E446" s="42">
        <f t="shared" si="8"/>
        <v>46805.077577129668</v>
      </c>
    </row>
    <row r="447" spans="1:5" x14ac:dyDescent="0.3">
      <c r="A447" s="17">
        <v>45737</v>
      </c>
      <c r="C447" s="42">
        <f t="shared" si="6"/>
        <v>14475.161657187322</v>
      </c>
      <c r="D447" s="42">
        <f t="shared" si="7"/>
        <v>-18440.649291982751</v>
      </c>
      <c r="E447" s="42">
        <f t="shared" si="8"/>
        <v>47390.972606357398</v>
      </c>
    </row>
    <row r="448" spans="1:5" x14ac:dyDescent="0.3">
      <c r="A448" s="17">
        <v>45738</v>
      </c>
      <c r="C448" s="42">
        <f t="shared" si="6"/>
        <v>14941.95376552201</v>
      </c>
      <c r="D448" s="42">
        <f t="shared" si="7"/>
        <v>-18189.657951665118</v>
      </c>
      <c r="E448" s="42">
        <f t="shared" si="8"/>
        <v>48073.565482709142</v>
      </c>
    </row>
    <row r="449" spans="1:5" x14ac:dyDescent="0.3">
      <c r="A449" s="17">
        <v>45739</v>
      </c>
      <c r="C449" s="42">
        <f t="shared" si="6"/>
        <v>14841.994008091606</v>
      </c>
      <c r="D449" s="42">
        <f t="shared" si="7"/>
        <v>-18504.458311215232</v>
      </c>
      <c r="E449" s="42">
        <f t="shared" si="8"/>
        <v>48188.446327398444</v>
      </c>
    </row>
    <row r="450" spans="1:5" x14ac:dyDescent="0.3">
      <c r="A450" s="17">
        <v>45740</v>
      </c>
      <c r="C450" s="42">
        <f t="shared" si="6"/>
        <v>12633.996890470808</v>
      </c>
      <c r="D450" s="42">
        <f t="shared" si="7"/>
        <v>-20926.354747125624</v>
      </c>
      <c r="E450" s="42">
        <f t="shared" si="8"/>
        <v>46194.348528067239</v>
      </c>
    </row>
    <row r="451" spans="1:5" x14ac:dyDescent="0.3">
      <c r="A451" s="17">
        <v>45741</v>
      </c>
      <c r="C451" s="42">
        <f t="shared" si="6"/>
        <v>13113.765790520873</v>
      </c>
      <c r="D451" s="42">
        <f t="shared" si="7"/>
        <v>-20659.562205487495</v>
      </c>
      <c r="E451" s="42">
        <f t="shared" si="8"/>
        <v>46887.093786529236</v>
      </c>
    </row>
    <row r="452" spans="1:5" x14ac:dyDescent="0.3">
      <c r="A452" s="17">
        <v>45742</v>
      </c>
      <c r="C452" s="42">
        <f t="shared" si="6"/>
        <v>13630.182538365343</v>
      </c>
      <c r="D452" s="42">
        <f t="shared" si="7"/>
        <v>-20399.86698903174</v>
      </c>
      <c r="E452" s="42">
        <f t="shared" si="8"/>
        <v>47660.232065762422</v>
      </c>
    </row>
    <row r="453" spans="1:5" x14ac:dyDescent="0.3">
      <c r="A453" s="17">
        <v>45743</v>
      </c>
      <c r="C453" s="42">
        <f t="shared" si="6"/>
        <v>14050.472463757955</v>
      </c>
      <c r="D453" s="42">
        <f t="shared" si="7"/>
        <v>-20190.484970748206</v>
      </c>
      <c r="E453" s="42">
        <f t="shared" si="8"/>
        <v>48291.429898264119</v>
      </c>
    </row>
    <row r="454" spans="1:5" x14ac:dyDescent="0.3">
      <c r="A454" s="17">
        <v>45744</v>
      </c>
      <c r="C454" s="42">
        <f t="shared" si="6"/>
        <v>14419.587095062907</v>
      </c>
      <c r="D454" s="42">
        <f t="shared" si="7"/>
        <v>-20031.41161908799</v>
      </c>
      <c r="E454" s="42">
        <f t="shared" si="8"/>
        <v>48870.585809213808</v>
      </c>
    </row>
    <row r="455" spans="1:5" x14ac:dyDescent="0.3">
      <c r="A455" s="17">
        <v>45745</v>
      </c>
      <c r="C455" s="42">
        <f t="shared" si="6"/>
        <v>14886.379203397597</v>
      </c>
      <c r="D455" s="42">
        <f t="shared" si="7"/>
        <v>-19773.810346443999</v>
      </c>
      <c r="E455" s="42">
        <f t="shared" si="8"/>
        <v>49546.568753239197</v>
      </c>
    </row>
    <row r="456" spans="1:5" x14ac:dyDescent="0.3">
      <c r="A456" s="17">
        <v>45746</v>
      </c>
      <c r="C456" s="42">
        <f t="shared" si="6"/>
        <v>14786.419445967193</v>
      </c>
      <c r="D456" s="42">
        <f t="shared" si="7"/>
        <v>-20082.126227731169</v>
      </c>
      <c r="E456" s="42">
        <f t="shared" si="8"/>
        <v>49654.965119665554</v>
      </c>
    </row>
    <row r="457" spans="1:5" x14ac:dyDescent="0.3">
      <c r="A457" s="17">
        <v>45747</v>
      </c>
      <c r="C457" s="42">
        <f t="shared" si="6"/>
        <v>12578.422328346394</v>
      </c>
      <c r="D457" s="42">
        <f t="shared" si="7"/>
        <v>-22497.660055344997</v>
      </c>
      <c r="E457" s="42">
        <f t="shared" si="8"/>
        <v>47654.504712037786</v>
      </c>
    </row>
    <row r="458" spans="1:5" x14ac:dyDescent="0.3">
      <c r="A458" s="17">
        <v>45748</v>
      </c>
      <c r="C458" s="42">
        <f t="shared" si="6"/>
        <v>13058.191228396459</v>
      </c>
      <c r="D458" s="42">
        <f t="shared" si="7"/>
        <v>-22224.623331650426</v>
      </c>
      <c r="E458" s="42">
        <f t="shared" si="8"/>
        <v>48341.005788443348</v>
      </c>
    </row>
    <row r="459" spans="1:5" x14ac:dyDescent="0.3">
      <c r="A459" s="17">
        <v>45749</v>
      </c>
      <c r="C459" s="42">
        <f t="shared" si="6"/>
        <v>13574.60797624093</v>
      </c>
      <c r="D459" s="42">
        <f t="shared" si="7"/>
        <v>-21957.199369928014</v>
      </c>
      <c r="E459" s="42">
        <f t="shared" si="8"/>
        <v>49106.41532240987</v>
      </c>
    </row>
    <row r="460" spans="1:5" x14ac:dyDescent="0.3">
      <c r="A460" s="17">
        <v>45750</v>
      </c>
      <c r="C460" s="42">
        <f t="shared" si="6"/>
        <v>13994.897901633542</v>
      </c>
      <c r="D460" s="42">
        <f t="shared" si="7"/>
        <v>-21741.828445724619</v>
      </c>
      <c r="E460" s="42">
        <f t="shared" si="8"/>
        <v>49731.624248991706</v>
      </c>
    </row>
    <row r="461" spans="1:5" x14ac:dyDescent="0.3">
      <c r="A461" s="17">
        <v>45751</v>
      </c>
      <c r="C461" s="42">
        <f t="shared" si="6"/>
        <v>14364.012532938494</v>
      </c>
      <c r="D461" s="42">
        <f t="shared" si="7"/>
        <v>-21576.874291314631</v>
      </c>
      <c r="E461" s="42">
        <f t="shared" si="8"/>
        <v>50304.899357191622</v>
      </c>
    </row>
    <row r="462" spans="1:5" x14ac:dyDescent="0.3">
      <c r="A462" s="17">
        <v>45752</v>
      </c>
      <c r="C462" s="42">
        <f t="shared" si="6"/>
        <v>14830.804641273182</v>
      </c>
      <c r="D462" s="42">
        <f t="shared" si="7"/>
        <v>-21313.497399715958</v>
      </c>
      <c r="E462" s="42">
        <f t="shared" si="8"/>
        <v>50975.106682262325</v>
      </c>
    </row>
    <row r="463" spans="1:5" x14ac:dyDescent="0.3">
      <c r="A463" s="17">
        <v>45753</v>
      </c>
      <c r="C463" s="42">
        <f t="shared" si="6"/>
        <v>14730.844883842778</v>
      </c>
      <c r="D463" s="42">
        <f t="shared" si="7"/>
        <v>-21616.140034537457</v>
      </c>
      <c r="E463" s="42">
        <f t="shared" si="8"/>
        <v>51077.829802223016</v>
      </c>
    </row>
    <row r="464" spans="1:5" x14ac:dyDescent="0.3">
      <c r="A464" s="17">
        <v>45754</v>
      </c>
      <c r="C464" s="42">
        <f t="shared" ref="C464:C495" si="9">_xlfn.FORECAST.ETS(A464,$B$2:$B$367,$A$2:$A$367,1,1)</f>
        <v>12522.847766221978</v>
      </c>
      <c r="D464" s="42">
        <f t="shared" ref="D464:D495" si="10">C464-_xlfn.FORECAST.ETS.CONFINT(A464,$B$2:$B$367,$A$2:$A$367,0.95,1,1)</f>
        <v>-24026.100279863513</v>
      </c>
      <c r="E464" s="42">
        <f t="shared" ref="E464:E495" si="11">C464+_xlfn.FORECAST.ETS.CONFINT(A464,$B$2:$B$367,$A$2:$A$367,0.95,1,1)</f>
        <v>49071.795812307464</v>
      </c>
    </row>
    <row r="465" spans="1:5" x14ac:dyDescent="0.3">
      <c r="A465" s="17">
        <v>45755</v>
      </c>
      <c r="C465" s="42">
        <f t="shared" si="9"/>
        <v>13002.616666272044</v>
      </c>
      <c r="D465" s="42">
        <f t="shared" si="10"/>
        <v>-23747.587027956644</v>
      </c>
      <c r="E465" s="42">
        <f t="shared" si="11"/>
        <v>49752.820360500729</v>
      </c>
    </row>
    <row r="466" spans="1:5" x14ac:dyDescent="0.3">
      <c r="A466" s="17">
        <v>45756</v>
      </c>
      <c r="C466" s="42">
        <f t="shared" si="9"/>
        <v>13519.033414116515</v>
      </c>
      <c r="D466" s="42">
        <f t="shared" si="10"/>
        <v>-23473.357682780173</v>
      </c>
      <c r="E466" s="42">
        <f t="shared" si="11"/>
        <v>50511.424511013203</v>
      </c>
    </row>
    <row r="467" spans="1:5" x14ac:dyDescent="0.3">
      <c r="A467" s="17">
        <v>45757</v>
      </c>
      <c r="C467" s="42">
        <f t="shared" si="9"/>
        <v>13939.323339509127</v>
      </c>
      <c r="D467" s="42">
        <f t="shared" si="10"/>
        <v>-23252.720322394885</v>
      </c>
      <c r="E467" s="42">
        <f t="shared" si="11"/>
        <v>51131.367001413135</v>
      </c>
    </row>
    <row r="468" spans="1:5" x14ac:dyDescent="0.3">
      <c r="A468" s="17">
        <v>45758</v>
      </c>
      <c r="C468" s="42">
        <f t="shared" si="9"/>
        <v>14308.437970814079</v>
      </c>
      <c r="D468" s="42">
        <f t="shared" si="10"/>
        <v>-23082.588909310653</v>
      </c>
      <c r="E468" s="42">
        <f t="shared" si="11"/>
        <v>51699.464850938806</v>
      </c>
    </row>
    <row r="469" spans="1:5" x14ac:dyDescent="0.3">
      <c r="A469" s="17">
        <v>45759</v>
      </c>
      <c r="C469" s="42">
        <f t="shared" si="9"/>
        <v>14775.230079148767</v>
      </c>
      <c r="D469" s="42">
        <f t="shared" si="10"/>
        <v>-22814.121696999595</v>
      </c>
      <c r="E469" s="42">
        <f t="shared" si="11"/>
        <v>52364.581855297125</v>
      </c>
    </row>
    <row r="470" spans="1:5" x14ac:dyDescent="0.3">
      <c r="A470" s="17">
        <v>45760</v>
      </c>
      <c r="C470" s="42">
        <f t="shared" si="9"/>
        <v>14675.270321718363</v>
      </c>
      <c r="D470" s="42">
        <f t="shared" si="10"/>
        <v>-23111.758786601149</v>
      </c>
      <c r="E470" s="42">
        <f t="shared" si="11"/>
        <v>52462.299430037878</v>
      </c>
    </row>
    <row r="471" spans="1:5" x14ac:dyDescent="0.3">
      <c r="A471" s="17">
        <v>45761</v>
      </c>
      <c r="C471" s="42">
        <f t="shared" si="9"/>
        <v>12467.273204097564</v>
      </c>
      <c r="D471" s="42">
        <f t="shared" si="10"/>
        <v>-25516.796173440755</v>
      </c>
      <c r="E471" s="42">
        <f t="shared" si="11"/>
        <v>50451.342581635879</v>
      </c>
    </row>
    <row r="472" spans="1:5" x14ac:dyDescent="0.3">
      <c r="A472" s="17">
        <v>45762</v>
      </c>
      <c r="C472" s="42">
        <f t="shared" si="9"/>
        <v>12947.042104147629</v>
      </c>
      <c r="D472" s="42">
        <f t="shared" si="10"/>
        <v>-25233.440731544222</v>
      </c>
      <c r="E472" s="42">
        <f t="shared" si="11"/>
        <v>51127.524939839481</v>
      </c>
    </row>
    <row r="473" spans="1:5" x14ac:dyDescent="0.3">
      <c r="A473" s="17">
        <v>45763</v>
      </c>
      <c r="C473" s="42">
        <f t="shared" si="9"/>
        <v>13463.4588519921</v>
      </c>
      <c r="D473" s="42">
        <f t="shared" si="10"/>
        <v>-24953.170996984198</v>
      </c>
      <c r="E473" s="42">
        <f t="shared" si="11"/>
        <v>51880.088700968401</v>
      </c>
    </row>
    <row r="474" spans="1:5" x14ac:dyDescent="0.3">
      <c r="A474" s="17">
        <v>45764</v>
      </c>
      <c r="C474" s="42">
        <f t="shared" si="9"/>
        <v>13883.748777384712</v>
      </c>
      <c r="D474" s="42">
        <f t="shared" si="10"/>
        <v>-24727.866728514113</v>
      </c>
      <c r="E474" s="42">
        <f t="shared" si="11"/>
        <v>52495.364283283532</v>
      </c>
    </row>
    <row r="475" spans="1:5" x14ac:dyDescent="0.3">
      <c r="A475" s="17">
        <v>45765</v>
      </c>
      <c r="C475" s="42">
        <f t="shared" si="9"/>
        <v>14252.863408689664</v>
      </c>
      <c r="D475" s="42">
        <f t="shared" si="10"/>
        <v>-24553.142949687513</v>
      </c>
      <c r="E475" s="42">
        <f t="shared" si="11"/>
        <v>53058.869767066841</v>
      </c>
    </row>
    <row r="476" spans="1:5" x14ac:dyDescent="0.3">
      <c r="A476" s="17">
        <v>45766</v>
      </c>
      <c r="C476" s="42">
        <f t="shared" si="9"/>
        <v>14719.655517024352</v>
      </c>
      <c r="D476" s="42">
        <f t="shared" si="10"/>
        <v>-24280.15616416133</v>
      </c>
      <c r="E476" s="42">
        <f t="shared" si="11"/>
        <v>53719.467198210034</v>
      </c>
    </row>
    <row r="477" spans="1:5" x14ac:dyDescent="0.3">
      <c r="A477" s="17">
        <v>45767</v>
      </c>
      <c r="C477" s="42">
        <f t="shared" si="9"/>
        <v>14619.695759593948</v>
      </c>
      <c r="D477" s="42">
        <f t="shared" si="10"/>
        <v>-24573.344779531581</v>
      </c>
      <c r="E477" s="42">
        <f t="shared" si="11"/>
        <v>53812.736298719472</v>
      </c>
    </row>
    <row r="478" spans="1:5" x14ac:dyDescent="0.3">
      <c r="A478" s="17">
        <v>45768</v>
      </c>
      <c r="C478" s="42">
        <f t="shared" si="9"/>
        <v>12411.698641973147</v>
      </c>
      <c r="D478" s="42">
        <f t="shared" si="10"/>
        <v>-26974.003151555145</v>
      </c>
      <c r="E478" s="42">
        <f t="shared" si="11"/>
        <v>51797.40043550144</v>
      </c>
    </row>
    <row r="479" spans="1:5" x14ac:dyDescent="0.3">
      <c r="A479" s="17">
        <v>45769</v>
      </c>
      <c r="C479" s="42">
        <f t="shared" si="9"/>
        <v>12891.467542023214</v>
      </c>
      <c r="D479" s="42">
        <f t="shared" si="10"/>
        <v>-26686.336566480684</v>
      </c>
      <c r="E479" s="42">
        <f t="shared" si="11"/>
        <v>52469.271650527116</v>
      </c>
    </row>
    <row r="480" spans="1:5" x14ac:dyDescent="0.3">
      <c r="A480" s="17">
        <v>45770</v>
      </c>
      <c r="C480" s="42">
        <f t="shared" si="9"/>
        <v>13407.884289867687</v>
      </c>
      <c r="D480" s="42">
        <f t="shared" si="10"/>
        <v>-26400.668355542832</v>
      </c>
      <c r="E480" s="42">
        <f t="shared" si="11"/>
        <v>53216.436935278209</v>
      </c>
    </row>
    <row r="481" spans="1:5" x14ac:dyDescent="0.3">
      <c r="A481" s="17">
        <v>45771</v>
      </c>
      <c r="C481" s="42">
        <f t="shared" si="9"/>
        <v>13828.174215260298</v>
      </c>
      <c r="D481" s="42">
        <f t="shared" si="10"/>
        <v>-26171.200923356657</v>
      </c>
      <c r="E481" s="42">
        <f t="shared" si="11"/>
        <v>53827.54935387725</v>
      </c>
    </row>
    <row r="482" spans="1:5" x14ac:dyDescent="0.3">
      <c r="A482" s="17">
        <v>45772</v>
      </c>
      <c r="C482" s="42">
        <f t="shared" si="9"/>
        <v>14197.28884656525</v>
      </c>
      <c r="D482" s="42">
        <f t="shared" si="10"/>
        <v>-25992.377007943185</v>
      </c>
      <c r="E482" s="42">
        <f t="shared" si="11"/>
        <v>54386.954701073686</v>
      </c>
    </row>
    <row r="483" spans="1:5" x14ac:dyDescent="0.3">
      <c r="A483" s="17">
        <v>45773</v>
      </c>
      <c r="C483" s="42">
        <f t="shared" si="9"/>
        <v>14664.080954899939</v>
      </c>
      <c r="D483" s="42">
        <f t="shared" si="10"/>
        <v>-25715.351723824999</v>
      </c>
      <c r="E483" s="42">
        <f t="shared" si="11"/>
        <v>55043.513633624876</v>
      </c>
    </row>
    <row r="484" spans="1:5" x14ac:dyDescent="0.3">
      <c r="A484" s="17">
        <v>45774</v>
      </c>
      <c r="C484" s="42">
        <f t="shared" si="9"/>
        <v>14564.121197469534</v>
      </c>
      <c r="D484" s="42">
        <f t="shared" si="10"/>
        <v>-26004.562131389946</v>
      </c>
      <c r="E484" s="42">
        <f t="shared" si="11"/>
        <v>55132.804526329011</v>
      </c>
    </row>
    <row r="485" spans="1:5" x14ac:dyDescent="0.3">
      <c r="A485" s="17">
        <v>45775</v>
      </c>
      <c r="C485" s="42">
        <f t="shared" si="9"/>
        <v>12356.124079848734</v>
      </c>
      <c r="D485" s="42">
        <f t="shared" si="10"/>
        <v>-28401.301279506413</v>
      </c>
      <c r="E485" s="42">
        <f t="shared" si="11"/>
        <v>53113.549439203882</v>
      </c>
    </row>
    <row r="486" spans="1:5" x14ac:dyDescent="0.3">
      <c r="A486" s="17">
        <v>45776</v>
      </c>
      <c r="C486" s="42">
        <f t="shared" si="9"/>
        <v>12835.892979898801</v>
      </c>
      <c r="D486" s="42">
        <f t="shared" si="10"/>
        <v>-28109.773186322163</v>
      </c>
      <c r="E486" s="42">
        <f t="shared" si="11"/>
        <v>53781.559146119769</v>
      </c>
    </row>
    <row r="487" spans="1:5" x14ac:dyDescent="0.3">
      <c r="A487" s="17">
        <v>45777</v>
      </c>
      <c r="C487" s="42">
        <f t="shared" si="9"/>
        <v>13352.309727743272</v>
      </c>
      <c r="D487" s="42">
        <f t="shared" si="10"/>
        <v>-27819.251138319636</v>
      </c>
      <c r="E487" s="42">
        <f t="shared" si="11"/>
        <v>54523.870593806176</v>
      </c>
    </row>
    <row r="488" spans="1:5" x14ac:dyDescent="0.3">
      <c r="A488" s="17">
        <v>45778</v>
      </c>
      <c r="C488" s="42">
        <f t="shared" si="9"/>
        <v>13772.599653135883</v>
      </c>
      <c r="D488" s="42">
        <f t="shared" si="10"/>
        <v>-27586.048427247122</v>
      </c>
      <c r="E488" s="42">
        <f t="shared" si="11"/>
        <v>55131.247733518889</v>
      </c>
    </row>
    <row r="489" spans="1:5" x14ac:dyDescent="0.3">
      <c r="A489" s="17">
        <v>45779</v>
      </c>
      <c r="C489" s="42">
        <f t="shared" si="9"/>
        <v>14141.714284440835</v>
      </c>
      <c r="D489" s="42">
        <f t="shared" si="10"/>
        <v>-27403.543061696422</v>
      </c>
      <c r="E489" s="42">
        <f t="shared" si="11"/>
        <v>55686.971630578097</v>
      </c>
    </row>
    <row r="490" spans="1:5" x14ac:dyDescent="0.3">
      <c r="A490" s="17">
        <v>45780</v>
      </c>
      <c r="C490" s="42">
        <f t="shared" si="9"/>
        <v>14608.506392775524</v>
      </c>
      <c r="D490" s="42">
        <f t="shared" si="10"/>
        <v>-27122.889037869885</v>
      </c>
      <c r="E490" s="42">
        <f t="shared" si="11"/>
        <v>56339.901823420936</v>
      </c>
    </row>
    <row r="491" spans="1:5" x14ac:dyDescent="0.3">
      <c r="A491" s="17">
        <v>45781</v>
      </c>
      <c r="C491" s="42">
        <f t="shared" si="9"/>
        <v>14508.546635345119</v>
      </c>
      <c r="D491" s="42">
        <f t="shared" si="10"/>
        <v>-27408.52232963487</v>
      </c>
      <c r="E491" s="42">
        <f t="shared" si="11"/>
        <v>56425.615600325109</v>
      </c>
    </row>
    <row r="492" spans="1:5" x14ac:dyDescent="0.3">
      <c r="A492" s="17">
        <v>45782</v>
      </c>
      <c r="C492" s="42">
        <f t="shared" si="9"/>
        <v>12300.549517724321</v>
      </c>
      <c r="D492" s="42">
        <f t="shared" si="10"/>
        <v>-29801.734929990853</v>
      </c>
      <c r="E492" s="42">
        <f t="shared" si="11"/>
        <v>54402.833965439495</v>
      </c>
    </row>
    <row r="493" spans="1:5" x14ac:dyDescent="0.3">
      <c r="A493" s="17">
        <v>45783</v>
      </c>
      <c r="C493" s="42">
        <f t="shared" si="9"/>
        <v>12780.318417774386</v>
      </c>
      <c r="D493" s="42">
        <f t="shared" si="10"/>
        <v>-29506.729830770255</v>
      </c>
      <c r="E493" s="42">
        <f t="shared" si="11"/>
        <v>55067.366666319023</v>
      </c>
    </row>
    <row r="494" spans="1:5" x14ac:dyDescent="0.3">
      <c r="A494" s="17">
        <v>45784</v>
      </c>
      <c r="C494" s="42">
        <f t="shared" si="9"/>
        <v>13296.735165618857</v>
      </c>
      <c r="D494" s="42">
        <f t="shared" si="10"/>
        <v>-29211.820573248959</v>
      </c>
      <c r="E494" s="42">
        <f t="shared" si="11"/>
        <v>55805.290904486668</v>
      </c>
    </row>
    <row r="495" spans="1:5" x14ac:dyDescent="0.3">
      <c r="A495" s="17">
        <v>45785</v>
      </c>
      <c r="C495" s="42">
        <f t="shared" si="9"/>
        <v>13717.025091011468</v>
      </c>
      <c r="D495" s="42">
        <f t="shared" si="10"/>
        <v>-28975.249519525714</v>
      </c>
      <c r="E495" s="42">
        <f t="shared" si="11"/>
        <v>56409.299701548654</v>
      </c>
    </row>
    <row r="496" spans="1:5" x14ac:dyDescent="0.3">
      <c r="A496" s="17">
        <v>45786</v>
      </c>
      <c r="C496" s="42">
        <f t="shared" ref="C496:C527" si="12">_xlfn.FORECAST.ETS(A496,$B$2:$B$367,$A$2:$A$367,1,1)</f>
        <v>14086.13972231642</v>
      </c>
      <c r="D496" s="42">
        <f t="shared" ref="D496:D527" si="13">C496-_xlfn.FORECAST.ETS.CONFINT(A496,$B$2:$B$367,$A$2:$A$367,0.95,1,1)</f>
        <v>-28789.422194004557</v>
      </c>
      <c r="E496" s="42">
        <f t="shared" ref="E496:E527" si="14">C496+_xlfn.FORECAST.ETS.CONFINT(A496,$B$2:$B$367,$A$2:$A$367,0.95,1,1)</f>
        <v>56961.701638637402</v>
      </c>
    </row>
    <row r="497" spans="1:5" x14ac:dyDescent="0.3">
      <c r="A497" s="17">
        <v>45787</v>
      </c>
      <c r="C497" s="42">
        <f t="shared" si="12"/>
        <v>14552.931830651109</v>
      </c>
      <c r="D497" s="42">
        <f t="shared" si="13"/>
        <v>-28505.49168138958</v>
      </c>
      <c r="E497" s="42">
        <f t="shared" si="14"/>
        <v>57611.355342691793</v>
      </c>
    </row>
    <row r="498" spans="1:5" x14ac:dyDescent="0.3">
      <c r="A498" s="17">
        <v>45788</v>
      </c>
      <c r="C498" s="42">
        <f t="shared" si="12"/>
        <v>14452.972073220704</v>
      </c>
      <c r="D498" s="42">
        <f t="shared" si="13"/>
        <v>-28787.893068552636</v>
      </c>
      <c r="E498" s="42">
        <f t="shared" si="14"/>
        <v>57693.837214994048</v>
      </c>
    </row>
    <row r="499" spans="1:5" x14ac:dyDescent="0.3">
      <c r="A499" s="17">
        <v>45789</v>
      </c>
      <c r="C499" s="42">
        <f t="shared" si="12"/>
        <v>12244.974955599904</v>
      </c>
      <c r="D499" s="42">
        <f t="shared" si="13"/>
        <v>-31177.917485163944</v>
      </c>
      <c r="E499" s="42">
        <f t="shared" si="14"/>
        <v>55667.867396363756</v>
      </c>
    </row>
    <row r="500" spans="1:5" x14ac:dyDescent="0.3">
      <c r="A500" s="17">
        <v>45790</v>
      </c>
      <c r="C500" s="42">
        <f t="shared" si="12"/>
        <v>12724.743855649971</v>
      </c>
      <c r="D500" s="42">
        <f t="shared" si="13"/>
        <v>-30879.767082590901</v>
      </c>
      <c r="E500" s="42">
        <f t="shared" si="14"/>
        <v>56329.254793890839</v>
      </c>
    </row>
    <row r="501" spans="1:5" x14ac:dyDescent="0.3">
      <c r="A501" s="17">
        <v>45791</v>
      </c>
      <c r="C501" s="42">
        <f t="shared" si="12"/>
        <v>13241.160603494442</v>
      </c>
      <c r="D501" s="42">
        <f t="shared" si="13"/>
        <v>-30580.873866240268</v>
      </c>
      <c r="E501" s="42">
        <f t="shared" si="14"/>
        <v>57063.195073229152</v>
      </c>
    </row>
    <row r="502" spans="1:5" x14ac:dyDescent="0.3">
      <c r="A502" s="17">
        <v>45792</v>
      </c>
      <c r="C502" s="42">
        <f t="shared" si="12"/>
        <v>13661.450528887053</v>
      </c>
      <c r="D502" s="42">
        <f t="shared" si="13"/>
        <v>-30341.251813220584</v>
      </c>
      <c r="E502" s="42">
        <f t="shared" si="14"/>
        <v>57664.152870994687</v>
      </c>
    </row>
    <row r="503" spans="1:5" x14ac:dyDescent="0.3">
      <c r="A503" s="17">
        <v>45793</v>
      </c>
      <c r="C503" s="42">
        <f t="shared" si="12"/>
        <v>14030.565160192007</v>
      </c>
      <c r="D503" s="42">
        <f t="shared" si="13"/>
        <v>-30152.413771996497</v>
      </c>
      <c r="E503" s="42">
        <f t="shared" si="14"/>
        <v>58213.544092380514</v>
      </c>
    </row>
    <row r="504" spans="1:5" x14ac:dyDescent="0.3">
      <c r="A504" s="17">
        <v>45794</v>
      </c>
      <c r="C504" s="42">
        <f t="shared" si="12"/>
        <v>14497.357268526694</v>
      </c>
      <c r="D504" s="42">
        <f t="shared" si="13"/>
        <v>-29865.51207612281</v>
      </c>
      <c r="E504" s="42">
        <f t="shared" si="14"/>
        <v>58860.226613176193</v>
      </c>
    </row>
    <row r="505" spans="1:5" x14ac:dyDescent="0.3">
      <c r="A505" s="17">
        <v>45795</v>
      </c>
      <c r="C505" s="42">
        <f t="shared" si="12"/>
        <v>14397.397511096291</v>
      </c>
      <c r="D505" s="42">
        <f t="shared" si="13"/>
        <v>-30144.981080469399</v>
      </c>
      <c r="E505" s="42">
        <f t="shared" si="14"/>
        <v>58939.776102661985</v>
      </c>
    </row>
    <row r="506" spans="1:5" x14ac:dyDescent="0.3">
      <c r="A506" s="17">
        <v>45796</v>
      </c>
      <c r="C506" s="42">
        <f t="shared" si="12"/>
        <v>12189.400393475491</v>
      </c>
      <c r="D506" s="42">
        <f t="shared" si="13"/>
        <v>-32532.111201231983</v>
      </c>
      <c r="E506" s="42">
        <f t="shared" si="14"/>
        <v>56910.911988182968</v>
      </c>
    </row>
    <row r="507" spans="1:5" x14ac:dyDescent="0.3">
      <c r="A507" s="17">
        <v>45797</v>
      </c>
      <c r="C507" s="42">
        <f t="shared" si="12"/>
        <v>12669.169293525558</v>
      </c>
      <c r="D507" s="42">
        <f t="shared" si="13"/>
        <v>-32231.103894235304</v>
      </c>
      <c r="E507" s="42">
        <f t="shared" si="14"/>
        <v>57569.442481286416</v>
      </c>
    </row>
    <row r="508" spans="1:5" x14ac:dyDescent="0.3">
      <c r="A508" s="17">
        <v>45798</v>
      </c>
      <c r="C508" s="42">
        <f t="shared" si="12"/>
        <v>13185.586041370028</v>
      </c>
      <c r="D508" s="42">
        <f t="shared" si="13"/>
        <v>-31928.577888699074</v>
      </c>
      <c r="E508" s="42">
        <f t="shared" si="14"/>
        <v>58299.749971439131</v>
      </c>
    </row>
    <row r="509" spans="1:5" x14ac:dyDescent="0.3">
      <c r="A509" s="17">
        <v>45799</v>
      </c>
      <c r="C509" s="42">
        <f t="shared" si="12"/>
        <v>13605.87596676264</v>
      </c>
      <c r="D509" s="42">
        <f t="shared" si="13"/>
        <v>-31686.181369722512</v>
      </c>
      <c r="E509" s="42">
        <f t="shared" si="14"/>
        <v>58897.933303247788</v>
      </c>
    </row>
    <row r="510" spans="1:5" x14ac:dyDescent="0.3">
      <c r="A510" s="17">
        <v>45800</v>
      </c>
      <c r="C510" s="42">
        <f t="shared" si="12"/>
        <v>13974.990598067592</v>
      </c>
      <c r="D510" s="42">
        <f t="shared" si="13"/>
        <v>-31494.604097478812</v>
      </c>
      <c r="E510" s="42">
        <f t="shared" si="14"/>
        <v>59444.585293613993</v>
      </c>
    </row>
    <row r="511" spans="1:5" x14ac:dyDescent="0.3">
      <c r="A511" s="17">
        <v>45801</v>
      </c>
      <c r="C511" s="42">
        <f t="shared" si="12"/>
        <v>14441.78270640228</v>
      </c>
      <c r="D511" s="42">
        <f t="shared" si="13"/>
        <v>-31204.997780375939</v>
      </c>
      <c r="E511" s="42">
        <f t="shared" si="14"/>
        <v>60088.563193180496</v>
      </c>
    </row>
    <row r="512" spans="1:5" x14ac:dyDescent="0.3">
      <c r="A512" s="17">
        <v>45802</v>
      </c>
      <c r="C512" s="42">
        <f t="shared" si="12"/>
        <v>14341.822948971876</v>
      </c>
      <c r="D512" s="42">
        <f t="shared" si="13"/>
        <v>-31481.796163289244</v>
      </c>
      <c r="E512" s="42">
        <f t="shared" si="14"/>
        <v>60165.442061233</v>
      </c>
    </row>
    <row r="513" spans="1:5" x14ac:dyDescent="0.3">
      <c r="A513" s="17">
        <v>45803</v>
      </c>
      <c r="C513" s="42">
        <f t="shared" si="12"/>
        <v>12133.825831351078</v>
      </c>
      <c r="D513" s="42">
        <f t="shared" si="13"/>
        <v>-33866.289067105608</v>
      </c>
      <c r="E513" s="42">
        <f t="shared" si="14"/>
        <v>58133.940729807771</v>
      </c>
    </row>
    <row r="514" spans="1:5" x14ac:dyDescent="0.3">
      <c r="A514" s="17">
        <v>45804</v>
      </c>
      <c r="C514" s="42">
        <f t="shared" si="12"/>
        <v>12613.594731401143</v>
      </c>
      <c r="D514" s="42">
        <f t="shared" si="13"/>
        <v>-33562.6773665777</v>
      </c>
      <c r="E514" s="42">
        <f t="shared" si="14"/>
        <v>58789.866829379986</v>
      </c>
    </row>
    <row r="515" spans="1:5" x14ac:dyDescent="0.3">
      <c r="A515" s="17">
        <v>45805</v>
      </c>
      <c r="C515" s="42">
        <f t="shared" si="12"/>
        <v>13130.011479245613</v>
      </c>
      <c r="D515" s="42">
        <f t="shared" si="13"/>
        <v>-33256.826502090138</v>
      </c>
      <c r="E515" s="42">
        <f t="shared" si="14"/>
        <v>59516.849460581368</v>
      </c>
    </row>
    <row r="516" spans="1:5" x14ac:dyDescent="0.3">
      <c r="A516" s="17">
        <v>45806</v>
      </c>
      <c r="C516" s="42">
        <f t="shared" si="12"/>
        <v>13550.301404638225</v>
      </c>
      <c r="D516" s="42">
        <f t="shared" si="13"/>
        <v>-33011.89812766682</v>
      </c>
      <c r="E516" s="42">
        <f t="shared" si="14"/>
        <v>60112.500936943266</v>
      </c>
    </row>
    <row r="517" spans="1:5" x14ac:dyDescent="0.3">
      <c r="A517" s="17">
        <v>45807</v>
      </c>
      <c r="C517" s="42">
        <f t="shared" si="12"/>
        <v>13919.416035943177</v>
      </c>
      <c r="D517" s="42">
        <f t="shared" si="13"/>
        <v>-32817.820016053811</v>
      </c>
      <c r="E517" s="42">
        <f t="shared" si="14"/>
        <v>60656.652087940165</v>
      </c>
    </row>
    <row r="518" spans="1:5" x14ac:dyDescent="0.3">
      <c r="A518" s="17">
        <v>45808</v>
      </c>
      <c r="C518" s="42">
        <f t="shared" si="12"/>
        <v>14386.208144277865</v>
      </c>
      <c r="D518" s="42">
        <f t="shared" si="13"/>
        <v>-32525.743350729768</v>
      </c>
      <c r="E518" s="42">
        <f t="shared" si="14"/>
        <v>61298.159639285499</v>
      </c>
    </row>
    <row r="519" spans="1:5" x14ac:dyDescent="0.3">
      <c r="A519" s="17">
        <v>45809</v>
      </c>
      <c r="C519" s="42">
        <f t="shared" si="12"/>
        <v>14286.248386847461</v>
      </c>
      <c r="D519" s="42">
        <f t="shared" si="13"/>
        <v>-32800.101363768525</v>
      </c>
      <c r="E519" s="42">
        <f t="shared" si="14"/>
        <v>61372.598137463443</v>
      </c>
    </row>
    <row r="520" spans="1:5" x14ac:dyDescent="0.3">
      <c r="A520" s="17">
        <v>45810</v>
      </c>
      <c r="C520" s="42">
        <f t="shared" si="12"/>
        <v>12078.251269226661</v>
      </c>
      <c r="D520" s="42">
        <f t="shared" si="13"/>
        <v>-35182.1833750273</v>
      </c>
      <c r="E520" s="42">
        <f t="shared" si="14"/>
        <v>59338.685913480622</v>
      </c>
    </row>
    <row r="521" spans="1:5" x14ac:dyDescent="0.3">
      <c r="A521" s="17">
        <v>45811</v>
      </c>
      <c r="C521" s="42">
        <f t="shared" si="12"/>
        <v>12558.020169276728</v>
      </c>
      <c r="D521" s="42">
        <f t="shared" si="13"/>
        <v>-34876.189769657685</v>
      </c>
      <c r="E521" s="42">
        <f t="shared" si="14"/>
        <v>59992.230108211144</v>
      </c>
    </row>
    <row r="522" spans="1:5" x14ac:dyDescent="0.3">
      <c r="A522" s="17">
        <v>45812</v>
      </c>
      <c r="C522" s="42">
        <f t="shared" si="12"/>
        <v>13074.436917121198</v>
      </c>
      <c r="D522" s="42">
        <f t="shared" si="13"/>
        <v>-34567.285745204121</v>
      </c>
      <c r="E522" s="42">
        <f t="shared" si="14"/>
        <v>60716.15957944651</v>
      </c>
    </row>
    <row r="523" spans="1:5" x14ac:dyDescent="0.3">
      <c r="A523" s="17">
        <v>45813</v>
      </c>
      <c r="C523" s="42">
        <f t="shared" si="12"/>
        <v>13494.72684251381</v>
      </c>
      <c r="D523" s="42">
        <f t="shared" si="13"/>
        <v>-34320.039670844621</v>
      </c>
      <c r="E523" s="42">
        <f t="shared" si="14"/>
        <v>61309.49335587224</v>
      </c>
    </row>
    <row r="524" spans="1:5" x14ac:dyDescent="0.3">
      <c r="A524" s="17">
        <v>45814</v>
      </c>
      <c r="C524" s="42">
        <f t="shared" si="12"/>
        <v>13863.841473818762</v>
      </c>
      <c r="D524" s="42">
        <f t="shared" si="13"/>
        <v>-34123.671319671164</v>
      </c>
      <c r="E524" s="42">
        <f t="shared" si="14"/>
        <v>61851.354267308692</v>
      </c>
    </row>
    <row r="525" spans="1:5" x14ac:dyDescent="0.3">
      <c r="A525" s="17">
        <v>45815</v>
      </c>
      <c r="C525" s="42">
        <f t="shared" si="12"/>
        <v>14330.63358215345</v>
      </c>
      <c r="D525" s="42">
        <f t="shared" si="13"/>
        <v>-33829.331430817758</v>
      </c>
      <c r="E525" s="42">
        <f t="shared" si="14"/>
        <v>62490.598595124662</v>
      </c>
    </row>
    <row r="526" spans="1:5" x14ac:dyDescent="0.3">
      <c r="A526" s="17">
        <v>45816</v>
      </c>
      <c r="C526" s="42">
        <f t="shared" si="12"/>
        <v>14230.673824723046</v>
      </c>
      <c r="D526" s="42">
        <f t="shared" si="13"/>
        <v>-34101.452801821077</v>
      </c>
      <c r="E526" s="42">
        <f t="shared" si="14"/>
        <v>62562.800451267169</v>
      </c>
    </row>
    <row r="527" spans="1:5" x14ac:dyDescent="0.3">
      <c r="A527" s="17">
        <v>45817</v>
      </c>
      <c r="C527" s="42">
        <f t="shared" si="12"/>
        <v>12022.676707102248</v>
      </c>
      <c r="D527" s="42">
        <f t="shared" si="13"/>
        <v>-36481.324327533788</v>
      </c>
      <c r="E527" s="42">
        <f t="shared" si="14"/>
        <v>60526.677741738284</v>
      </c>
    </row>
    <row r="528" spans="1:5" x14ac:dyDescent="0.3">
      <c r="A528" s="17">
        <v>45818</v>
      </c>
      <c r="C528" s="42">
        <f t="shared" ref="C528:C548" si="15">_xlfn.FORECAST.ETS(A528,$B$2:$B$367,$A$2:$A$367,1,1)</f>
        <v>12502.445607152315</v>
      </c>
      <c r="D528" s="42">
        <f t="shared" ref="D528:D559" si="16">C528-_xlfn.FORECAST.ETS.CONFINT(A528,$B$2:$B$367,$A$2:$A$367,0.95,1,1)</f>
        <v>-36173.145977369815</v>
      </c>
      <c r="E528" s="42">
        <f t="shared" ref="E528:E548" si="17">C528+_xlfn.FORECAST.ETS.CONFINT(A528,$B$2:$B$367,$A$2:$A$367,0.95,1,1)</f>
        <v>61178.037191674448</v>
      </c>
    </row>
    <row r="529" spans="1:5" x14ac:dyDescent="0.3">
      <c r="A529" s="17">
        <v>45819</v>
      </c>
      <c r="C529" s="42">
        <f t="shared" si="15"/>
        <v>13018.862354996783</v>
      </c>
      <c r="D529" s="42">
        <f t="shared" si="16"/>
        <v>-35861.429878842253</v>
      </c>
      <c r="E529" s="42">
        <f t="shared" si="17"/>
        <v>61899.154588835816</v>
      </c>
    </row>
    <row r="530" spans="1:5" x14ac:dyDescent="0.3">
      <c r="A530" s="17">
        <v>45820</v>
      </c>
      <c r="C530" s="42">
        <f t="shared" si="15"/>
        <v>13439.152280389397</v>
      </c>
      <c r="D530" s="42">
        <f t="shared" si="16"/>
        <v>-35612.056194718658</v>
      </c>
      <c r="E530" s="42">
        <f t="shared" si="17"/>
        <v>62490.360755497451</v>
      </c>
    </row>
    <row r="531" spans="1:5" x14ac:dyDescent="0.3">
      <c r="A531" s="17">
        <v>45821</v>
      </c>
      <c r="C531" s="42">
        <f t="shared" si="15"/>
        <v>13808.266911694349</v>
      </c>
      <c r="D531" s="42">
        <f t="shared" si="16"/>
        <v>-35413.584674036836</v>
      </c>
      <c r="E531" s="42">
        <f t="shared" si="17"/>
        <v>63030.118497425537</v>
      </c>
    </row>
    <row r="532" spans="1:5" x14ac:dyDescent="0.3">
      <c r="A532" s="17">
        <v>45822</v>
      </c>
      <c r="C532" s="42">
        <f t="shared" si="15"/>
        <v>14275.059020029037</v>
      </c>
      <c r="D532" s="42">
        <f t="shared" si="16"/>
        <v>-35117.165677029996</v>
      </c>
      <c r="E532" s="42">
        <f t="shared" si="17"/>
        <v>63667.283717088074</v>
      </c>
    </row>
    <row r="533" spans="1:5" x14ac:dyDescent="0.3">
      <c r="A533" s="17">
        <v>45823</v>
      </c>
      <c r="C533" s="42">
        <f t="shared" si="15"/>
        <v>14175.099262598633</v>
      </c>
      <c r="D533" s="42">
        <f t="shared" si="16"/>
        <v>-35387.231630339957</v>
      </c>
      <c r="E533" s="42">
        <f t="shared" si="17"/>
        <v>63737.430155537222</v>
      </c>
    </row>
    <row r="534" spans="1:5" x14ac:dyDescent="0.3">
      <c r="A534" s="17">
        <v>45824</v>
      </c>
      <c r="C534" s="42">
        <f t="shared" si="15"/>
        <v>11967.102144977835</v>
      </c>
      <c r="D534" s="42">
        <f t="shared" si="16"/>
        <v>-37765.071065715529</v>
      </c>
      <c r="E534" s="42">
        <f t="shared" si="17"/>
        <v>61699.275355671198</v>
      </c>
    </row>
    <row r="535" spans="1:5" x14ac:dyDescent="0.3">
      <c r="A535" s="17">
        <v>45825</v>
      </c>
      <c r="C535" s="42">
        <f t="shared" si="15"/>
        <v>12446.8710450279</v>
      </c>
      <c r="D535" s="42">
        <f t="shared" si="16"/>
        <v>-37454.883597049964</v>
      </c>
      <c r="E535" s="42">
        <f t="shared" si="17"/>
        <v>62348.62568710577</v>
      </c>
    </row>
    <row r="536" spans="1:5" x14ac:dyDescent="0.3">
      <c r="A536" s="17">
        <v>45826</v>
      </c>
      <c r="C536" s="42">
        <f t="shared" si="15"/>
        <v>12963.28779287237</v>
      </c>
      <c r="D536" s="42">
        <f t="shared" si="16"/>
        <v>-37140.570447547696</v>
      </c>
      <c r="E536" s="42">
        <f t="shared" si="17"/>
        <v>63067.146033292433</v>
      </c>
    </row>
    <row r="537" spans="1:5" x14ac:dyDescent="0.3">
      <c r="A537" s="17">
        <v>45827</v>
      </c>
      <c r="C537" s="42">
        <f t="shared" si="15"/>
        <v>13383.577718264982</v>
      </c>
      <c r="D537" s="42">
        <f t="shared" si="16"/>
        <v>-36889.238738399195</v>
      </c>
      <c r="E537" s="42">
        <f t="shared" si="17"/>
        <v>63656.394174929163</v>
      </c>
    </row>
    <row r="538" spans="1:5" x14ac:dyDescent="0.3">
      <c r="A538" s="17">
        <v>45828</v>
      </c>
      <c r="C538" s="42">
        <f t="shared" si="15"/>
        <v>13752.692349569934</v>
      </c>
      <c r="D538" s="42">
        <f t="shared" si="16"/>
        <v>-36688.831049529748</v>
      </c>
      <c r="E538" s="42">
        <f t="shared" si="17"/>
        <v>64194.215748669609</v>
      </c>
    </row>
    <row r="539" spans="1:5" x14ac:dyDescent="0.3">
      <c r="A539" s="17">
        <v>45829</v>
      </c>
      <c r="C539" s="42">
        <f t="shared" si="15"/>
        <v>14219.484457904622</v>
      </c>
      <c r="D539" s="42">
        <f t="shared" si="16"/>
        <v>-36390.497415902573</v>
      </c>
      <c r="E539" s="42">
        <f t="shared" si="17"/>
        <v>64829.466331711825</v>
      </c>
    </row>
    <row r="540" spans="1:5" x14ac:dyDescent="0.3">
      <c r="A540" s="17">
        <v>45830</v>
      </c>
      <c r="C540" s="42">
        <f t="shared" si="15"/>
        <v>14119.524700474218</v>
      </c>
      <c r="D540" s="42">
        <f t="shared" si="16"/>
        <v>-36658.669945481066</v>
      </c>
      <c r="E540" s="42">
        <f t="shared" si="17"/>
        <v>64897.719346429505</v>
      </c>
    </row>
    <row r="541" spans="1:5" x14ac:dyDescent="0.3">
      <c r="A541" s="17">
        <v>45831</v>
      </c>
      <c r="C541" s="42">
        <f t="shared" si="15"/>
        <v>11911.527582853418</v>
      </c>
      <c r="D541" s="42">
        <f t="shared" si="16"/>
        <v>-39034.63685775749</v>
      </c>
      <c r="E541" s="42">
        <f t="shared" si="17"/>
        <v>62857.692023464333</v>
      </c>
    </row>
    <row r="542" spans="1:5" x14ac:dyDescent="0.3">
      <c r="A542" s="17">
        <v>45832</v>
      </c>
      <c r="C542" s="42">
        <f t="shared" si="15"/>
        <v>12391.296482903485</v>
      </c>
      <c r="D542" s="42">
        <f t="shared" si="16"/>
        <v>-38722.597460626079</v>
      </c>
      <c r="E542" s="42">
        <f t="shared" si="17"/>
        <v>63505.190426433044</v>
      </c>
    </row>
    <row r="543" spans="1:5" x14ac:dyDescent="0.3">
      <c r="A543" s="17">
        <v>45833</v>
      </c>
      <c r="C543" s="42">
        <f t="shared" si="15"/>
        <v>12907.713230747955</v>
      </c>
      <c r="D543" s="42">
        <f t="shared" si="16"/>
        <v>-38405.879940461622</v>
      </c>
      <c r="E543" s="42">
        <f t="shared" si="17"/>
        <v>64221.306401957532</v>
      </c>
    </row>
    <row r="544" spans="1:5" x14ac:dyDescent="0.3">
      <c r="A544" s="17">
        <v>45834</v>
      </c>
      <c r="C544" s="42">
        <f t="shared" si="15"/>
        <v>13328.003156140567</v>
      </c>
      <c r="D544" s="42">
        <f t="shared" si="16"/>
        <v>-38152.742199307148</v>
      </c>
      <c r="E544" s="42">
        <f t="shared" si="17"/>
        <v>64808.748511588288</v>
      </c>
    </row>
    <row r="545" spans="1:5" x14ac:dyDescent="0.3">
      <c r="A545" s="17">
        <v>45835</v>
      </c>
      <c r="C545" s="42">
        <f t="shared" si="15"/>
        <v>13697.117787445519</v>
      </c>
      <c r="D545" s="42">
        <f t="shared" si="16"/>
        <v>-37950.548111049335</v>
      </c>
      <c r="E545" s="42">
        <f t="shared" si="17"/>
        <v>65344.783685940369</v>
      </c>
    </row>
    <row r="546" spans="1:5" x14ac:dyDescent="0.3">
      <c r="A546" s="17">
        <v>45836</v>
      </c>
      <c r="C546" s="42">
        <f t="shared" si="15"/>
        <v>14163.909895780207</v>
      </c>
      <c r="D546" s="42">
        <f t="shared" si="16"/>
        <v>-37650.447429697197</v>
      </c>
      <c r="E546" s="42">
        <f t="shared" si="17"/>
        <v>65978.267221257614</v>
      </c>
    </row>
    <row r="547" spans="1:5" x14ac:dyDescent="0.3">
      <c r="A547" s="17">
        <v>45837</v>
      </c>
      <c r="C547" s="42">
        <f t="shared" si="15"/>
        <v>14063.950138349803</v>
      </c>
      <c r="D547" s="42">
        <f t="shared" si="16"/>
        <v>-37916.871987729799</v>
      </c>
      <c r="E547" s="42">
        <f t="shared" si="17"/>
        <v>66044.772264429412</v>
      </c>
    </row>
    <row r="548" spans="1:5" x14ac:dyDescent="0.3">
      <c r="A548" s="17">
        <v>45838</v>
      </c>
      <c r="C548" s="42">
        <f t="shared" si="15"/>
        <v>11855.953020729004</v>
      </c>
      <c r="D548" s="42">
        <f t="shared" si="16"/>
        <v>-40291.109734489815</v>
      </c>
      <c r="E548" s="42">
        <f t="shared" si="17"/>
        <v>64003.015775947817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9D8E-5349-4395-A3FC-1FA96230C355}">
  <sheetPr>
    <tabColor theme="5" tint="0.79998168889431442"/>
  </sheetPr>
  <dimension ref="A2:J20"/>
  <sheetViews>
    <sheetView topLeftCell="A25" workbookViewId="0">
      <selection activeCell="B18" sqref="B18"/>
    </sheetView>
  </sheetViews>
  <sheetFormatPr defaultRowHeight="14.4" x14ac:dyDescent="0.3"/>
  <cols>
    <col min="1" max="1" width="12.44140625" style="42" bestFit="1" customWidth="1"/>
    <col min="2" max="2" width="34.33203125" style="42" bestFit="1" customWidth="1"/>
    <col min="3" max="3" width="8.88671875" style="42"/>
    <col min="4" max="4" width="10.21875" style="42" bestFit="1" customWidth="1"/>
    <col min="5" max="5" width="34.33203125" style="42" bestFit="1" customWidth="1"/>
    <col min="6" max="7" width="15.109375" style="42" bestFit="1" customWidth="1"/>
    <col min="8" max="9" width="12.44140625" style="42" bestFit="1" customWidth="1"/>
    <col min="10" max="16384" width="8.88671875" style="42"/>
  </cols>
  <sheetData>
    <row r="2" spans="1:10" x14ac:dyDescent="0.3">
      <c r="A2" s="59" t="s">
        <v>81</v>
      </c>
      <c r="B2" s="59"/>
      <c r="C2" s="59"/>
      <c r="D2" s="59"/>
      <c r="E2" s="59"/>
      <c r="F2" s="59"/>
      <c r="G2" s="59"/>
      <c r="H2" s="59"/>
      <c r="I2" s="59"/>
      <c r="J2" s="59"/>
    </row>
    <row r="3" spans="1:10" s="54" customFormat="1" x14ac:dyDescent="0.3">
      <c r="A3" s="53"/>
      <c r="B3" s="53"/>
      <c r="C3" s="53"/>
      <c r="D3" s="53"/>
      <c r="E3" s="53"/>
      <c r="F3" s="53"/>
      <c r="G3" s="53"/>
      <c r="H3" s="53"/>
      <c r="I3" s="53"/>
      <c r="J3" s="53"/>
    </row>
    <row r="4" spans="1:10" x14ac:dyDescent="0.3">
      <c r="A4" s="55" t="s">
        <v>18</v>
      </c>
      <c r="B4" s="52" t="s">
        <v>75</v>
      </c>
      <c r="D4" s="35" t="s">
        <v>18</v>
      </c>
      <c r="E4" s="35" t="s">
        <v>75</v>
      </c>
      <c r="F4" s="36" t="s">
        <v>76</v>
      </c>
      <c r="G4" s="36" t="s">
        <v>77</v>
      </c>
      <c r="H4" s="36" t="s">
        <v>78</v>
      </c>
      <c r="I4" s="36" t="s">
        <v>79</v>
      </c>
      <c r="J4" s="36" t="s">
        <v>80</v>
      </c>
    </row>
    <row r="5" spans="1:10" x14ac:dyDescent="0.3">
      <c r="A5" s="50" t="s">
        <v>71</v>
      </c>
      <c r="B5" s="42">
        <v>449411.57006592548</v>
      </c>
      <c r="D5" s="52" t="s">
        <v>71</v>
      </c>
      <c r="E5" s="52">
        <v>449411.57006592548</v>
      </c>
      <c r="F5" s="52">
        <f xml:space="preserve"> E5 * 0.586</f>
        <v>263355.18005863234</v>
      </c>
      <c r="G5" s="52">
        <f xml:space="preserve"> E5 * 0.414</f>
        <v>186056.39000729314</v>
      </c>
      <c r="H5" s="52">
        <f xml:space="preserve"> F5* 1.8</f>
        <v>474039.32410553819</v>
      </c>
      <c r="I5" s="52">
        <f>G5 * 2.1</f>
        <v>390718.41901531559</v>
      </c>
      <c r="J5" s="52">
        <f>SUM(H5:I5)</f>
        <v>864757.74312085379</v>
      </c>
    </row>
    <row r="6" spans="1:10" x14ac:dyDescent="0.3">
      <c r="A6" s="50" t="s">
        <v>70</v>
      </c>
      <c r="B6" s="42">
        <v>399086.29277432582</v>
      </c>
      <c r="D6" s="52" t="s">
        <v>70</v>
      </c>
      <c r="E6" s="52">
        <v>399086.29277432582</v>
      </c>
      <c r="F6" s="52">
        <f t="shared" ref="F6:F10" si="0" xml:space="preserve"> E6 * 0.586</f>
        <v>233864.56756575493</v>
      </c>
      <c r="G6" s="52">
        <f t="shared" ref="G6:G10" si="1" xml:space="preserve"> E6 * 0.414</f>
        <v>165221.72520857089</v>
      </c>
      <c r="H6" s="52">
        <f t="shared" ref="H6:H10" si="2" xml:space="preserve"> F6* 1.8</f>
        <v>420956.22161835886</v>
      </c>
      <c r="I6" s="52">
        <f t="shared" ref="I6:I10" si="3">G6 * 2.1</f>
        <v>346965.62293799891</v>
      </c>
      <c r="J6" s="52">
        <f t="shared" ref="J6:J10" si="4">SUM(H6:I6)</f>
        <v>767921.84455635771</v>
      </c>
    </row>
    <row r="7" spans="1:10" x14ac:dyDescent="0.3">
      <c r="A7" s="50" t="s">
        <v>73</v>
      </c>
      <c r="B7" s="42">
        <v>435113.16279410268</v>
      </c>
      <c r="D7" s="52" t="s">
        <v>73</v>
      </c>
      <c r="E7" s="52">
        <v>435113.16279410268</v>
      </c>
      <c r="F7" s="52">
        <f t="shared" si="0"/>
        <v>254976.31339734414</v>
      </c>
      <c r="G7" s="52">
        <f t="shared" si="1"/>
        <v>180136.84939675851</v>
      </c>
      <c r="H7" s="52">
        <f t="shared" si="2"/>
        <v>458957.36411521945</v>
      </c>
      <c r="I7" s="52">
        <f t="shared" si="3"/>
        <v>378287.38373319287</v>
      </c>
      <c r="J7" s="52">
        <f t="shared" si="4"/>
        <v>837244.74784841225</v>
      </c>
    </row>
    <row r="8" spans="1:10" x14ac:dyDescent="0.3">
      <c r="A8" s="50" t="s">
        <v>69</v>
      </c>
      <c r="B8" s="42">
        <v>412158.89882060618</v>
      </c>
      <c r="D8" s="52" t="s">
        <v>69</v>
      </c>
      <c r="E8" s="52">
        <v>412158.89882060618</v>
      </c>
      <c r="F8" s="52">
        <f t="shared" si="0"/>
        <v>241525.11470887522</v>
      </c>
      <c r="G8" s="52">
        <f t="shared" si="1"/>
        <v>170633.78411173096</v>
      </c>
      <c r="H8" s="52">
        <f t="shared" si="2"/>
        <v>434745.2064759754</v>
      </c>
      <c r="I8" s="52">
        <f t="shared" si="3"/>
        <v>358330.94663463504</v>
      </c>
      <c r="J8" s="52">
        <f t="shared" si="4"/>
        <v>793076.15311061044</v>
      </c>
    </row>
    <row r="9" spans="1:10" x14ac:dyDescent="0.3">
      <c r="A9" s="50" t="s">
        <v>74</v>
      </c>
      <c r="B9" s="42">
        <v>421157.67424289358</v>
      </c>
      <c r="D9" s="52" t="s">
        <v>74</v>
      </c>
      <c r="E9" s="52">
        <v>421157.67424289358</v>
      </c>
      <c r="F9" s="52">
        <f t="shared" si="0"/>
        <v>246798.39710633561</v>
      </c>
      <c r="G9" s="52">
        <f t="shared" si="1"/>
        <v>174359.27713655794</v>
      </c>
      <c r="H9" s="52">
        <f t="shared" si="2"/>
        <v>444237.11479140411</v>
      </c>
      <c r="I9" s="52">
        <f t="shared" si="3"/>
        <v>366154.48198677169</v>
      </c>
      <c r="J9" s="52">
        <f t="shared" si="4"/>
        <v>810391.59677817579</v>
      </c>
    </row>
    <row r="10" spans="1:10" x14ac:dyDescent="0.3">
      <c r="A10" s="50" t="s">
        <v>72</v>
      </c>
      <c r="B10" s="42">
        <v>398330.40611368569</v>
      </c>
      <c r="D10" s="52" t="s">
        <v>72</v>
      </c>
      <c r="E10" s="52">
        <v>398330.40611368569</v>
      </c>
      <c r="F10" s="52">
        <f t="shared" si="0"/>
        <v>233421.61798261979</v>
      </c>
      <c r="G10" s="52">
        <f t="shared" si="1"/>
        <v>164908.78813106587</v>
      </c>
      <c r="H10" s="52">
        <f t="shared" si="2"/>
        <v>420158.91236871562</v>
      </c>
      <c r="I10" s="52">
        <f t="shared" si="3"/>
        <v>346308.45507523837</v>
      </c>
      <c r="J10" s="52">
        <f t="shared" si="4"/>
        <v>766467.36744395399</v>
      </c>
    </row>
    <row r="11" spans="1:10" x14ac:dyDescent="0.3">
      <c r="A11" s="50" t="s">
        <v>19</v>
      </c>
      <c r="B11" s="42">
        <v>2515258.0048115393</v>
      </c>
    </row>
    <row r="14" spans="1:10" x14ac:dyDescent="0.3">
      <c r="D14" s="35" t="s">
        <v>65</v>
      </c>
      <c r="E14" s="35" t="s">
        <v>30</v>
      </c>
      <c r="F14" s="36" t="s">
        <v>76</v>
      </c>
      <c r="G14" s="36" t="s">
        <v>77</v>
      </c>
      <c r="H14" s="36" t="s">
        <v>80</v>
      </c>
      <c r="I14" s="36" t="s">
        <v>79</v>
      </c>
    </row>
    <row r="15" spans="1:10" x14ac:dyDescent="0.3">
      <c r="D15" s="52" t="s">
        <v>71</v>
      </c>
      <c r="E15" s="52">
        <v>449411.57006592548</v>
      </c>
      <c r="F15" s="52">
        <v>263355.18005863234</v>
      </c>
      <c r="G15" s="52">
        <v>186056.39000729314</v>
      </c>
      <c r="H15" s="52">
        <v>864757.74312085379</v>
      </c>
      <c r="I15" s="52">
        <v>390718.41901531559</v>
      </c>
    </row>
    <row r="16" spans="1:10" x14ac:dyDescent="0.3">
      <c r="D16" s="52" t="s">
        <v>70</v>
      </c>
      <c r="E16" s="52">
        <v>399086.29277432582</v>
      </c>
      <c r="F16" s="52">
        <v>233864.56756575493</v>
      </c>
      <c r="G16" s="52">
        <v>165221.72520857089</v>
      </c>
      <c r="H16" s="52">
        <v>767921.84455635771</v>
      </c>
      <c r="I16" s="52">
        <v>346965.62293799891</v>
      </c>
    </row>
    <row r="17" spans="4:9" x14ac:dyDescent="0.3">
      <c r="D17" s="52" t="s">
        <v>73</v>
      </c>
      <c r="E17" s="52">
        <v>435113.16279410268</v>
      </c>
      <c r="F17" s="52">
        <v>254976.31339734414</v>
      </c>
      <c r="G17" s="52">
        <v>180136.84939675851</v>
      </c>
      <c r="H17" s="52">
        <v>837244.74784841225</v>
      </c>
      <c r="I17" s="52">
        <v>378287.38373319287</v>
      </c>
    </row>
    <row r="18" spans="4:9" x14ac:dyDescent="0.3">
      <c r="D18" s="52" t="s">
        <v>69</v>
      </c>
      <c r="E18" s="52">
        <v>412158.89882060618</v>
      </c>
      <c r="F18" s="52">
        <v>241525.11470887522</v>
      </c>
      <c r="G18" s="52">
        <v>170633.78411173096</v>
      </c>
      <c r="H18" s="52">
        <v>793076.15311061044</v>
      </c>
      <c r="I18" s="52">
        <v>358330.94663463504</v>
      </c>
    </row>
    <row r="19" spans="4:9" x14ac:dyDescent="0.3">
      <c r="D19" s="52" t="s">
        <v>74</v>
      </c>
      <c r="E19" s="52">
        <v>421157.67424289358</v>
      </c>
      <c r="F19" s="52">
        <v>246798.39710633561</v>
      </c>
      <c r="G19" s="52">
        <v>174359.27713655794</v>
      </c>
      <c r="H19" s="52">
        <v>810391.59677817579</v>
      </c>
      <c r="I19" s="52">
        <v>366154.48198677169</v>
      </c>
    </row>
    <row r="20" spans="4:9" x14ac:dyDescent="0.3">
      <c r="D20" s="52" t="s">
        <v>72</v>
      </c>
      <c r="E20" s="52">
        <v>398330.40611368569</v>
      </c>
      <c r="F20" s="52">
        <v>233421.61798261979</v>
      </c>
      <c r="G20" s="52">
        <v>164908.78813106587</v>
      </c>
      <c r="H20" s="52">
        <v>766467.36744395399</v>
      </c>
      <c r="I20" s="52">
        <v>346308.45507523837</v>
      </c>
    </row>
  </sheetData>
  <mergeCells count="1">
    <mergeCell ref="A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3653-9521-4D4B-8EBA-6D09A7F70ED1}">
  <sheetPr>
    <tabColor theme="5" tint="0.79998168889431442"/>
  </sheetPr>
  <dimension ref="A1:F182"/>
  <sheetViews>
    <sheetView workbookViewId="0">
      <selection activeCell="I13" sqref="I13"/>
    </sheetView>
  </sheetViews>
  <sheetFormatPr defaultRowHeight="14.4" x14ac:dyDescent="0.3"/>
  <cols>
    <col min="1" max="1" width="12.109375" customWidth="1"/>
    <col min="2" max="2" width="21" customWidth="1"/>
    <col min="3" max="3" width="29.5546875" customWidth="1"/>
    <col min="4" max="4" width="42.5546875" customWidth="1"/>
    <col min="5" max="5" width="42.77734375" customWidth="1"/>
  </cols>
  <sheetData>
    <row r="1" spans="1:6" x14ac:dyDescent="0.3">
      <c r="A1" s="18" t="s">
        <v>18</v>
      </c>
      <c r="B1" s="18" t="s">
        <v>41</v>
      </c>
      <c r="C1" s="18" t="s">
        <v>66</v>
      </c>
      <c r="D1" s="18" t="s">
        <v>67</v>
      </c>
      <c r="E1" s="19" t="s">
        <v>68</v>
      </c>
      <c r="F1" s="26" t="s">
        <v>65</v>
      </c>
    </row>
    <row r="2" spans="1:6" x14ac:dyDescent="0.3">
      <c r="A2" s="48">
        <v>45658</v>
      </c>
      <c r="B2" s="20"/>
      <c r="C2" s="44">
        <v>14297.077283858318</v>
      </c>
      <c r="D2" s="44">
        <v>10444.704067094932</v>
      </c>
      <c r="E2" s="45">
        <v>18149.450500621704</v>
      </c>
      <c r="F2" t="str">
        <f>TEXT(A2, "mmm-yyyy")</f>
        <v>Jan-2025</v>
      </c>
    </row>
    <row r="3" spans="1:6" x14ac:dyDescent="0.3">
      <c r="A3" s="49">
        <v>45659</v>
      </c>
      <c r="B3" s="21"/>
      <c r="C3" s="46">
        <v>14717.36720925093</v>
      </c>
      <c r="D3" s="46">
        <v>9531.9512220866836</v>
      </c>
      <c r="E3" s="47">
        <v>19902.783196415177</v>
      </c>
      <c r="F3" t="str">
        <f t="shared" ref="F3:F66" si="0">TEXT(A3, "mmm-yyyy")</f>
        <v>Jan-2025</v>
      </c>
    </row>
    <row r="4" spans="1:6" x14ac:dyDescent="0.3">
      <c r="A4" s="48">
        <v>45660</v>
      </c>
      <c r="B4" s="20"/>
      <c r="C4" s="44">
        <v>15086.481840555882</v>
      </c>
      <c r="D4" s="44">
        <v>8844.4423946775023</v>
      </c>
      <c r="E4" s="45">
        <v>21328.521286434261</v>
      </c>
      <c r="F4" t="str">
        <f t="shared" si="0"/>
        <v>Jan-2025</v>
      </c>
    </row>
    <row r="5" spans="1:6" x14ac:dyDescent="0.3">
      <c r="A5" s="49">
        <v>45661</v>
      </c>
      <c r="B5" s="21"/>
      <c r="C5" s="46">
        <v>15553.27394889057</v>
      </c>
      <c r="D5" s="46">
        <v>8407.340732390152</v>
      </c>
      <c r="E5" s="47">
        <v>22699.207165390988</v>
      </c>
      <c r="F5" t="str">
        <f t="shared" si="0"/>
        <v>Jan-2025</v>
      </c>
    </row>
    <row r="6" spans="1:6" x14ac:dyDescent="0.3">
      <c r="A6" s="48">
        <v>45662</v>
      </c>
      <c r="B6" s="20"/>
      <c r="C6" s="44">
        <v>15453.314191460166</v>
      </c>
      <c r="D6" s="44">
        <v>7503.9441589453645</v>
      </c>
      <c r="E6" s="45">
        <v>23402.684223974968</v>
      </c>
      <c r="F6" t="str">
        <f t="shared" si="0"/>
        <v>Jan-2025</v>
      </c>
    </row>
    <row r="7" spans="1:6" x14ac:dyDescent="0.3">
      <c r="A7" s="49">
        <v>45663</v>
      </c>
      <c r="B7" s="21"/>
      <c r="C7" s="46">
        <v>13245.317073839367</v>
      </c>
      <c r="D7" s="46">
        <v>4565.025992145067</v>
      </c>
      <c r="E7" s="47">
        <v>21925.608155533668</v>
      </c>
      <c r="F7" t="str">
        <f t="shared" si="0"/>
        <v>Jan-2025</v>
      </c>
    </row>
    <row r="8" spans="1:6" x14ac:dyDescent="0.3">
      <c r="A8" s="48">
        <v>45664</v>
      </c>
      <c r="B8" s="20"/>
      <c r="C8" s="44">
        <v>13725.085973889432</v>
      </c>
      <c r="D8" s="44">
        <v>4369.3765265233778</v>
      </c>
      <c r="E8" s="45">
        <v>23080.795421255487</v>
      </c>
      <c r="F8" t="str">
        <f t="shared" si="0"/>
        <v>Jan-2025</v>
      </c>
    </row>
    <row r="9" spans="1:6" x14ac:dyDescent="0.3">
      <c r="A9" s="49">
        <v>45665</v>
      </c>
      <c r="B9" s="21"/>
      <c r="C9" s="46">
        <v>14241.502721733903</v>
      </c>
      <c r="D9" s="46">
        <v>4114.8694072683502</v>
      </c>
      <c r="E9" s="47">
        <v>24368.136036199456</v>
      </c>
      <c r="F9" t="str">
        <f t="shared" si="0"/>
        <v>Jan-2025</v>
      </c>
    </row>
    <row r="10" spans="1:6" x14ac:dyDescent="0.3">
      <c r="A10" s="48">
        <v>45666</v>
      </c>
      <c r="B10" s="20"/>
      <c r="C10" s="44">
        <v>14661.792647126515</v>
      </c>
      <c r="D10" s="44">
        <v>3948.044907240901</v>
      </c>
      <c r="E10" s="45">
        <v>25375.54038701213</v>
      </c>
      <c r="F10" t="str">
        <f t="shared" si="0"/>
        <v>Jan-2025</v>
      </c>
    </row>
    <row r="11" spans="1:6" x14ac:dyDescent="0.3">
      <c r="A11" s="49">
        <v>45667</v>
      </c>
      <c r="B11" s="21"/>
      <c r="C11" s="46">
        <v>15030.907278431467</v>
      </c>
      <c r="D11" s="46">
        <v>3759.3925320304006</v>
      </c>
      <c r="E11" s="47">
        <v>26302.422024832533</v>
      </c>
      <c r="F11" t="str">
        <f t="shared" si="0"/>
        <v>Jan-2025</v>
      </c>
    </row>
    <row r="12" spans="1:6" x14ac:dyDescent="0.3">
      <c r="A12" s="48">
        <v>45668</v>
      </c>
      <c r="B12" s="20"/>
      <c r="C12" s="44">
        <v>15497.699386766155</v>
      </c>
      <c r="D12" s="44">
        <v>3693.6028901892096</v>
      </c>
      <c r="E12" s="45">
        <v>27301.7958833431</v>
      </c>
      <c r="F12" t="str">
        <f t="shared" si="0"/>
        <v>Jan-2025</v>
      </c>
    </row>
    <row r="13" spans="1:6" x14ac:dyDescent="0.3">
      <c r="A13" s="49">
        <v>45669</v>
      </c>
      <c r="B13" s="21"/>
      <c r="C13" s="46">
        <v>15397.739629335751</v>
      </c>
      <c r="D13" s="46">
        <v>3082.9774074350298</v>
      </c>
      <c r="E13" s="47">
        <v>27712.50185123647</v>
      </c>
      <c r="F13" t="str">
        <f t="shared" si="0"/>
        <v>Jan-2025</v>
      </c>
    </row>
    <row r="14" spans="1:6" x14ac:dyDescent="0.3">
      <c r="A14" s="48">
        <v>45670</v>
      </c>
      <c r="B14" s="20"/>
      <c r="C14" s="44">
        <v>13189.742511714954</v>
      </c>
      <c r="D14" s="44">
        <v>383.60734905737991</v>
      </c>
      <c r="E14" s="45">
        <v>25995.877674372528</v>
      </c>
      <c r="F14" t="str">
        <f t="shared" si="0"/>
        <v>Jan-2025</v>
      </c>
    </row>
    <row r="15" spans="1:6" x14ac:dyDescent="0.3">
      <c r="A15" s="49">
        <v>45671</v>
      </c>
      <c r="B15" s="21"/>
      <c r="C15" s="46">
        <v>13669.511411765019</v>
      </c>
      <c r="D15" s="46">
        <v>389.15330481009005</v>
      </c>
      <c r="E15" s="47">
        <v>26949.869518719948</v>
      </c>
      <c r="F15" t="str">
        <f t="shared" si="0"/>
        <v>Jan-2025</v>
      </c>
    </row>
    <row r="16" spans="1:6" x14ac:dyDescent="0.3">
      <c r="A16" s="48">
        <v>45672</v>
      </c>
      <c r="B16" s="20"/>
      <c r="C16" s="44">
        <v>14185.92815960949</v>
      </c>
      <c r="D16" s="44">
        <v>344.06920908010943</v>
      </c>
      <c r="E16" s="45">
        <v>28027.78711013887</v>
      </c>
      <c r="F16" t="str">
        <f t="shared" si="0"/>
        <v>Jan-2025</v>
      </c>
    </row>
    <row r="17" spans="1:6" x14ac:dyDescent="0.3">
      <c r="A17" s="49">
        <v>45673</v>
      </c>
      <c r="B17" s="21"/>
      <c r="C17" s="46">
        <v>14606.218085002101</v>
      </c>
      <c r="D17" s="46">
        <v>322.58651804581677</v>
      </c>
      <c r="E17" s="47">
        <v>28889.849651958386</v>
      </c>
      <c r="F17" t="str">
        <f t="shared" si="0"/>
        <v>Jan-2025</v>
      </c>
    </row>
    <row r="18" spans="1:6" x14ac:dyDescent="0.3">
      <c r="A18" s="48">
        <v>45674</v>
      </c>
      <c r="B18" s="20"/>
      <c r="C18" s="44">
        <v>14975.332716307053</v>
      </c>
      <c r="D18" s="44">
        <v>262.26452024973332</v>
      </c>
      <c r="E18" s="45">
        <v>29688.400912364374</v>
      </c>
      <c r="F18" t="str">
        <f t="shared" si="0"/>
        <v>Jan-2025</v>
      </c>
    </row>
    <row r="19" spans="1:6" x14ac:dyDescent="0.3">
      <c r="A19" s="49">
        <v>45675</v>
      </c>
      <c r="B19" s="21"/>
      <c r="C19" s="46">
        <v>15442.124824641742</v>
      </c>
      <c r="D19" s="46">
        <v>310.90465270057575</v>
      </c>
      <c r="E19" s="47">
        <v>30573.344996582906</v>
      </c>
      <c r="F19" t="str">
        <f t="shared" si="0"/>
        <v>Jan-2025</v>
      </c>
    </row>
    <row r="20" spans="1:6" x14ac:dyDescent="0.3">
      <c r="A20" s="48">
        <v>45676</v>
      </c>
      <c r="B20" s="20"/>
      <c r="C20" s="44">
        <v>15342.165067211337</v>
      </c>
      <c r="D20" s="44">
        <v>-196.83441383268109</v>
      </c>
      <c r="E20" s="45">
        <v>30881.164548255358</v>
      </c>
      <c r="F20" t="str">
        <f t="shared" si="0"/>
        <v>Jan-2025</v>
      </c>
    </row>
    <row r="21" spans="1:6" x14ac:dyDescent="0.3">
      <c r="A21" s="49">
        <v>45677</v>
      </c>
      <c r="B21" s="21"/>
      <c r="C21" s="46">
        <v>13134.167949590537</v>
      </c>
      <c r="D21" s="46">
        <v>-2803.0353296480589</v>
      </c>
      <c r="E21" s="47">
        <v>29071.371228829135</v>
      </c>
      <c r="F21" t="str">
        <f t="shared" si="0"/>
        <v>Jan-2025</v>
      </c>
    </row>
    <row r="22" spans="1:6" x14ac:dyDescent="0.3">
      <c r="A22" s="48">
        <v>45678</v>
      </c>
      <c r="B22" s="20"/>
      <c r="C22" s="44">
        <v>13613.936849640604</v>
      </c>
      <c r="D22" s="44">
        <v>-2712.5962804816481</v>
      </c>
      <c r="E22" s="45">
        <v>29940.469979762856</v>
      </c>
      <c r="F22" t="str">
        <f t="shared" si="0"/>
        <v>Jan-2025</v>
      </c>
    </row>
    <row r="23" spans="1:6" x14ac:dyDescent="0.3">
      <c r="A23" s="49">
        <v>45679</v>
      </c>
      <c r="B23" s="21"/>
      <c r="C23" s="46">
        <v>14130.353597485075</v>
      </c>
      <c r="D23" s="46">
        <v>-2662.3838487452267</v>
      </c>
      <c r="E23" s="47">
        <v>30923.091043715376</v>
      </c>
      <c r="F23" t="str">
        <f t="shared" si="0"/>
        <v>Jan-2025</v>
      </c>
    </row>
    <row r="24" spans="1:6" x14ac:dyDescent="0.3">
      <c r="A24" s="48">
        <v>45680</v>
      </c>
      <c r="B24" s="20"/>
      <c r="C24" s="44">
        <v>14550.643522877686</v>
      </c>
      <c r="D24" s="44">
        <v>-2613.6199350906027</v>
      </c>
      <c r="E24" s="45">
        <v>31714.906980845975</v>
      </c>
      <c r="F24" t="str">
        <f t="shared" si="0"/>
        <v>Jan-2025</v>
      </c>
    </row>
    <row r="25" spans="1:6" x14ac:dyDescent="0.3">
      <c r="A25" s="49">
        <v>45681</v>
      </c>
      <c r="B25" s="21"/>
      <c r="C25" s="46">
        <v>14919.758154182638</v>
      </c>
      <c r="D25" s="46">
        <v>-2608.9391850111951</v>
      </c>
      <c r="E25" s="47">
        <v>32448.455493376474</v>
      </c>
      <c r="F25" t="str">
        <f t="shared" si="0"/>
        <v>Jan-2025</v>
      </c>
    </row>
    <row r="26" spans="1:6" x14ac:dyDescent="0.3">
      <c r="A26" s="48">
        <v>45682</v>
      </c>
      <c r="B26" s="20"/>
      <c r="C26" s="44">
        <v>15386.550262517327</v>
      </c>
      <c r="D26" s="44">
        <v>-2499.923165275266</v>
      </c>
      <c r="E26" s="45">
        <v>33273.023690309921</v>
      </c>
      <c r="F26" t="str">
        <f t="shared" si="0"/>
        <v>Jan-2025</v>
      </c>
    </row>
    <row r="27" spans="1:6" x14ac:dyDescent="0.3">
      <c r="A27" s="49">
        <v>45683</v>
      </c>
      <c r="B27" s="21"/>
      <c r="C27" s="46">
        <v>15286.590505086922</v>
      </c>
      <c r="D27" s="46">
        <v>-2951.3938560839415</v>
      </c>
      <c r="E27" s="47">
        <v>33524.574866257783</v>
      </c>
      <c r="F27" t="str">
        <f t="shared" si="0"/>
        <v>Jan-2025</v>
      </c>
    </row>
    <row r="28" spans="1:6" x14ac:dyDescent="0.3">
      <c r="A28" s="48">
        <v>45684</v>
      </c>
      <c r="B28" s="20"/>
      <c r="C28" s="44">
        <v>13078.593387466124</v>
      </c>
      <c r="D28" s="44">
        <v>-5504.9930725304293</v>
      </c>
      <c r="E28" s="45">
        <v>31662.179847462678</v>
      </c>
      <c r="F28" t="str">
        <f t="shared" si="0"/>
        <v>Jan-2025</v>
      </c>
    </row>
    <row r="29" spans="1:6" x14ac:dyDescent="0.3">
      <c r="A29" s="49">
        <v>45685</v>
      </c>
      <c r="B29" s="21"/>
      <c r="C29" s="46">
        <v>13558.362287516189</v>
      </c>
      <c r="D29" s="46">
        <v>-5365.2419632139499</v>
      </c>
      <c r="E29" s="47">
        <v>32481.966538246328</v>
      </c>
      <c r="F29" t="str">
        <f t="shared" si="0"/>
        <v>Jan-2025</v>
      </c>
    </row>
    <row r="30" spans="1:6" x14ac:dyDescent="0.3">
      <c r="A30" s="48">
        <v>45686</v>
      </c>
      <c r="B30" s="20"/>
      <c r="C30" s="44">
        <v>14074.77903536066</v>
      </c>
      <c r="D30" s="44">
        <v>-5257.9858536907213</v>
      </c>
      <c r="E30" s="45">
        <v>33407.543924412043</v>
      </c>
      <c r="F30" t="str">
        <f t="shared" si="0"/>
        <v>Jan-2025</v>
      </c>
    </row>
    <row r="31" spans="1:6" x14ac:dyDescent="0.3">
      <c r="A31" s="49">
        <v>45687</v>
      </c>
      <c r="B31" s="21"/>
      <c r="C31" s="46">
        <v>14495.068960753271</v>
      </c>
      <c r="D31" s="46">
        <v>-5166.1619099363834</v>
      </c>
      <c r="E31" s="47">
        <v>34156.299831442928</v>
      </c>
      <c r="F31" t="str">
        <f t="shared" si="0"/>
        <v>Jan-2025</v>
      </c>
    </row>
    <row r="32" spans="1:6" x14ac:dyDescent="0.3">
      <c r="A32" s="48">
        <v>45688</v>
      </c>
      <c r="B32" s="20"/>
      <c r="C32" s="44">
        <v>14864.183592058223</v>
      </c>
      <c r="D32" s="44">
        <v>-5120.8055111334215</v>
      </c>
      <c r="E32" s="45">
        <v>34849.172695249872</v>
      </c>
      <c r="F32" t="str">
        <f t="shared" si="0"/>
        <v>Jan-2025</v>
      </c>
    </row>
    <row r="33" spans="1:6" x14ac:dyDescent="0.3">
      <c r="A33" s="49">
        <v>45689</v>
      </c>
      <c r="B33" s="21"/>
      <c r="C33" s="46">
        <v>15330.975700392912</v>
      </c>
      <c r="D33" s="46">
        <v>-4973.2898181941455</v>
      </c>
      <c r="E33" s="47">
        <v>35635.241218979965</v>
      </c>
      <c r="F33" t="str">
        <f t="shared" si="0"/>
        <v>Feb-2025</v>
      </c>
    </row>
    <row r="34" spans="1:6" x14ac:dyDescent="0.3">
      <c r="A34" s="48">
        <v>45690</v>
      </c>
      <c r="B34" s="20"/>
      <c r="C34" s="44">
        <v>15231.015942962507</v>
      </c>
      <c r="D34" s="44">
        <v>-5388.2530890837643</v>
      </c>
      <c r="E34" s="45">
        <v>35850.284975008777</v>
      </c>
      <c r="F34" t="str">
        <f t="shared" si="0"/>
        <v>Feb-2025</v>
      </c>
    </row>
    <row r="35" spans="1:6" x14ac:dyDescent="0.3">
      <c r="A35" s="49">
        <v>45691</v>
      </c>
      <c r="B35" s="21"/>
      <c r="C35" s="46">
        <v>13023.018825341707</v>
      </c>
      <c r="D35" s="46">
        <v>-7907.1744522203735</v>
      </c>
      <c r="E35" s="47">
        <v>33953.212102903788</v>
      </c>
      <c r="F35" t="str">
        <f t="shared" si="0"/>
        <v>Feb-2025</v>
      </c>
    </row>
    <row r="36" spans="1:6" x14ac:dyDescent="0.3">
      <c r="A36" s="48">
        <v>45692</v>
      </c>
      <c r="B36" s="20"/>
      <c r="C36" s="44">
        <v>13502.787725391774</v>
      </c>
      <c r="D36" s="44">
        <v>-7734.4303973155711</v>
      </c>
      <c r="E36" s="45">
        <v>34740.005848099121</v>
      </c>
      <c r="F36" t="str">
        <f t="shared" si="0"/>
        <v>Feb-2025</v>
      </c>
    </row>
    <row r="37" spans="1:6" x14ac:dyDescent="0.3">
      <c r="A37" s="49">
        <v>45693</v>
      </c>
      <c r="B37" s="21"/>
      <c r="C37" s="46">
        <v>14019.204473236245</v>
      </c>
      <c r="D37" s="46">
        <v>-7588.3530456726694</v>
      </c>
      <c r="E37" s="47">
        <v>35626.761992145155</v>
      </c>
      <c r="F37" t="str">
        <f t="shared" si="0"/>
        <v>Feb-2025</v>
      </c>
    </row>
    <row r="38" spans="1:6" x14ac:dyDescent="0.3">
      <c r="A38" s="48">
        <v>45694</v>
      </c>
      <c r="B38" s="20"/>
      <c r="C38" s="44">
        <v>14439.494398628856</v>
      </c>
      <c r="D38" s="44">
        <v>-7466.8628842071521</v>
      </c>
      <c r="E38" s="45">
        <v>36345.851681464861</v>
      </c>
      <c r="F38" t="str">
        <f t="shared" si="0"/>
        <v>Feb-2025</v>
      </c>
    </row>
    <row r="39" spans="1:6" x14ac:dyDescent="0.3">
      <c r="A39" s="49">
        <v>45695</v>
      </c>
      <c r="B39" s="21"/>
      <c r="C39" s="46">
        <v>14808.60902993381</v>
      </c>
      <c r="D39" s="46">
        <v>-7393.1529193662063</v>
      </c>
      <c r="E39" s="47">
        <v>37010.370979233827</v>
      </c>
      <c r="F39" t="str">
        <f t="shared" si="0"/>
        <v>Feb-2025</v>
      </c>
    </row>
    <row r="40" spans="1:6" x14ac:dyDescent="0.3">
      <c r="A40" s="48">
        <v>45696</v>
      </c>
      <c r="B40" s="20"/>
      <c r="C40" s="44">
        <v>15275.401138268498</v>
      </c>
      <c r="D40" s="44">
        <v>-7218.5048001159448</v>
      </c>
      <c r="E40" s="45">
        <v>37769.307076652942</v>
      </c>
      <c r="F40" t="str">
        <f t="shared" si="0"/>
        <v>Feb-2025</v>
      </c>
    </row>
    <row r="41" spans="1:6" x14ac:dyDescent="0.3">
      <c r="A41" s="49">
        <v>45697</v>
      </c>
      <c r="B41" s="21"/>
      <c r="C41" s="46">
        <v>15175.441380838094</v>
      </c>
      <c r="D41" s="46">
        <v>-7607.4739554248245</v>
      </c>
      <c r="E41" s="47">
        <v>37958.356717101015</v>
      </c>
      <c r="F41" t="str">
        <f t="shared" si="0"/>
        <v>Feb-2025</v>
      </c>
    </row>
    <row r="42" spans="1:6" x14ac:dyDescent="0.3">
      <c r="A42" s="48">
        <v>45698</v>
      </c>
      <c r="B42" s="20"/>
      <c r="C42" s="44">
        <v>12967.444263217294</v>
      </c>
      <c r="D42" s="44">
        <v>-10101.464334682521</v>
      </c>
      <c r="E42" s="45">
        <v>36036.352861117106</v>
      </c>
      <c r="F42" t="str">
        <f t="shared" si="0"/>
        <v>Feb-2025</v>
      </c>
    </row>
    <row r="43" spans="1:6" x14ac:dyDescent="0.3">
      <c r="A43" s="49">
        <v>45699</v>
      </c>
      <c r="B43" s="21"/>
      <c r="C43" s="46">
        <v>13447.213163267361</v>
      </c>
      <c r="D43" s="46">
        <v>-9904.7840122044126</v>
      </c>
      <c r="E43" s="47">
        <v>36799.210338739133</v>
      </c>
      <c r="F43" t="str">
        <f t="shared" si="0"/>
        <v>Feb-2025</v>
      </c>
    </row>
    <row r="44" spans="1:6" x14ac:dyDescent="0.3">
      <c r="A44" s="48">
        <v>45700</v>
      </c>
      <c r="B44" s="20"/>
      <c r="C44" s="44">
        <v>13963.629911111831</v>
      </c>
      <c r="D44" s="44">
        <v>-9730.2182935499077</v>
      </c>
      <c r="E44" s="45">
        <v>37657.478115773571</v>
      </c>
      <c r="F44" t="str">
        <f t="shared" si="0"/>
        <v>Feb-2025</v>
      </c>
    </row>
    <row r="45" spans="1:6" x14ac:dyDescent="0.3">
      <c r="A45" s="49">
        <v>45701</v>
      </c>
      <c r="B45" s="21"/>
      <c r="C45" s="46">
        <v>14383.919836504443</v>
      </c>
      <c r="D45" s="46">
        <v>-9586.8037860173026</v>
      </c>
      <c r="E45" s="47">
        <v>38354.643459026192</v>
      </c>
      <c r="F45" t="str">
        <f t="shared" si="0"/>
        <v>Feb-2025</v>
      </c>
    </row>
    <row r="46" spans="1:6" x14ac:dyDescent="0.3">
      <c r="A46" s="48">
        <v>45702</v>
      </c>
      <c r="B46" s="20"/>
      <c r="C46" s="44">
        <v>14753.034467809395</v>
      </c>
      <c r="D46" s="44">
        <v>-9491.98035544493</v>
      </c>
      <c r="E46" s="45">
        <v>38998.049291063719</v>
      </c>
      <c r="F46" t="str">
        <f t="shared" si="0"/>
        <v>Feb-2025</v>
      </c>
    </row>
    <row r="47" spans="1:6" x14ac:dyDescent="0.3">
      <c r="A47" s="49">
        <v>45703</v>
      </c>
      <c r="B47" s="21"/>
      <c r="C47" s="46">
        <v>15219.826576144083</v>
      </c>
      <c r="D47" s="46">
        <v>-9296.982571961029</v>
      </c>
      <c r="E47" s="47">
        <v>39736.635724249194</v>
      </c>
      <c r="F47" t="str">
        <f t="shared" si="0"/>
        <v>Feb-2025</v>
      </c>
    </row>
    <row r="48" spans="1:6" x14ac:dyDescent="0.3">
      <c r="A48" s="48">
        <v>45704</v>
      </c>
      <c r="B48" s="20"/>
      <c r="C48" s="44">
        <v>15119.866818713679</v>
      </c>
      <c r="D48" s="44">
        <v>-9666.322516140659</v>
      </c>
      <c r="E48" s="45">
        <v>39906.056153568017</v>
      </c>
      <c r="F48" t="str">
        <f t="shared" si="0"/>
        <v>Feb-2025</v>
      </c>
    </row>
    <row r="49" spans="1:6" x14ac:dyDescent="0.3">
      <c r="A49" s="49">
        <v>45705</v>
      </c>
      <c r="B49" s="21"/>
      <c r="C49" s="46">
        <v>12911.869701092881</v>
      </c>
      <c r="D49" s="46">
        <v>-12141.364147599983</v>
      </c>
      <c r="E49" s="47">
        <v>37965.103549785745</v>
      </c>
      <c r="F49" t="str">
        <f t="shared" si="0"/>
        <v>Feb-2025</v>
      </c>
    </row>
    <row r="50" spans="1:6" x14ac:dyDescent="0.3">
      <c r="A50" s="48">
        <v>45706</v>
      </c>
      <c r="B50" s="20"/>
      <c r="C50" s="44">
        <v>13391.638601142946</v>
      </c>
      <c r="D50" s="44">
        <v>-11926.378582046935</v>
      </c>
      <c r="E50" s="45">
        <v>38709.655784332826</v>
      </c>
      <c r="F50" t="str">
        <f t="shared" si="0"/>
        <v>Feb-2025</v>
      </c>
    </row>
    <row r="51" spans="1:6" x14ac:dyDescent="0.3">
      <c r="A51" s="49">
        <v>45707</v>
      </c>
      <c r="B51" s="21"/>
      <c r="C51" s="46">
        <v>13908.055348987416</v>
      </c>
      <c r="D51" s="46">
        <v>-11729.840069080603</v>
      </c>
      <c r="E51" s="47">
        <v>39545.950767055438</v>
      </c>
      <c r="F51" t="str">
        <f t="shared" si="0"/>
        <v>Feb-2025</v>
      </c>
    </row>
    <row r="52" spans="1:6" x14ac:dyDescent="0.3">
      <c r="A52" s="48">
        <v>45708</v>
      </c>
      <c r="B52" s="20"/>
      <c r="C52" s="44">
        <v>14328.345274380028</v>
      </c>
      <c r="D52" s="44">
        <v>-11569.443914610763</v>
      </c>
      <c r="E52" s="45">
        <v>40226.134463370821</v>
      </c>
      <c r="F52" t="str">
        <f t="shared" si="0"/>
        <v>Feb-2025</v>
      </c>
    </row>
    <row r="53" spans="1:6" x14ac:dyDescent="0.3">
      <c r="A53" s="49">
        <v>45709</v>
      </c>
      <c r="B53" s="21"/>
      <c r="C53" s="46">
        <v>14697.45990568498</v>
      </c>
      <c r="D53" s="46">
        <v>-11458.180033124885</v>
      </c>
      <c r="E53" s="47">
        <v>40853.099844494849</v>
      </c>
      <c r="F53" t="str">
        <f t="shared" si="0"/>
        <v>Feb-2025</v>
      </c>
    </row>
    <row r="54" spans="1:6" x14ac:dyDescent="0.3">
      <c r="A54" s="48">
        <v>45710</v>
      </c>
      <c r="B54" s="20"/>
      <c r="C54" s="44">
        <v>15164.252014019668</v>
      </c>
      <c r="D54" s="44">
        <v>-11247.25605241083</v>
      </c>
      <c r="E54" s="45">
        <v>41575.760080450171</v>
      </c>
      <c r="F54" t="str">
        <f t="shared" si="0"/>
        <v>Feb-2025</v>
      </c>
    </row>
    <row r="55" spans="1:6" x14ac:dyDescent="0.3">
      <c r="A55" s="49">
        <v>45711</v>
      </c>
      <c r="B55" s="21"/>
      <c r="C55" s="46">
        <v>15064.292256589264</v>
      </c>
      <c r="D55" s="46">
        <v>-11601.158944587516</v>
      </c>
      <c r="E55" s="47">
        <v>41729.743457766046</v>
      </c>
      <c r="F55" t="str">
        <f t="shared" si="0"/>
        <v>Feb-2025</v>
      </c>
    </row>
    <row r="56" spans="1:6" x14ac:dyDescent="0.3">
      <c r="A56" s="48">
        <v>45712</v>
      </c>
      <c r="B56" s="20"/>
      <c r="C56" s="44">
        <v>12856.295138968464</v>
      </c>
      <c r="D56" s="44">
        <v>-14061.229237316129</v>
      </c>
      <c r="E56" s="45">
        <v>39773.819515253053</v>
      </c>
      <c r="F56" t="str">
        <f t="shared" si="0"/>
        <v>Feb-2025</v>
      </c>
    </row>
    <row r="57" spans="1:6" x14ac:dyDescent="0.3">
      <c r="A57" s="49">
        <v>45713</v>
      </c>
      <c r="B57" s="21"/>
      <c r="C57" s="46">
        <v>13336.064039018531</v>
      </c>
      <c r="D57" s="46">
        <v>-13831.71614967719</v>
      </c>
      <c r="E57" s="47">
        <v>40503.844227714253</v>
      </c>
      <c r="F57" t="str">
        <f t="shared" si="0"/>
        <v>Feb-2025</v>
      </c>
    </row>
    <row r="58" spans="1:6" x14ac:dyDescent="0.3">
      <c r="A58" s="48">
        <v>45714</v>
      </c>
      <c r="B58" s="20"/>
      <c r="C58" s="44">
        <v>13852.480786863001</v>
      </c>
      <c r="D58" s="44">
        <v>-13617.620029740279</v>
      </c>
      <c r="E58" s="45">
        <v>41322.581603466286</v>
      </c>
      <c r="F58" t="str">
        <f t="shared" si="0"/>
        <v>Feb-2025</v>
      </c>
    </row>
    <row r="59" spans="1:6" x14ac:dyDescent="0.3">
      <c r="A59" s="49">
        <v>45715</v>
      </c>
      <c r="B59" s="21"/>
      <c r="C59" s="46">
        <v>14272.770712255613</v>
      </c>
      <c r="D59" s="46">
        <v>-13443.620680712385</v>
      </c>
      <c r="E59" s="47">
        <v>41989.162105223615</v>
      </c>
      <c r="F59" t="str">
        <f t="shared" si="0"/>
        <v>Feb-2025</v>
      </c>
    </row>
    <row r="60" spans="1:6" x14ac:dyDescent="0.3">
      <c r="A60" s="48">
        <v>45716</v>
      </c>
      <c r="B60" s="20"/>
      <c r="C60" s="44">
        <v>14641.885343560565</v>
      </c>
      <c r="D60" s="44">
        <v>-13319.135469610521</v>
      </c>
      <c r="E60" s="45">
        <v>42602.906156731653</v>
      </c>
      <c r="F60" t="str">
        <f t="shared" si="0"/>
        <v>Feb-2025</v>
      </c>
    </row>
    <row r="61" spans="1:6" x14ac:dyDescent="0.3">
      <c r="A61" s="49">
        <v>45717</v>
      </c>
      <c r="B61" s="21"/>
      <c r="C61" s="46">
        <v>15108.677451895253</v>
      </c>
      <c r="D61" s="46">
        <v>-13095.355375966343</v>
      </c>
      <c r="E61" s="47">
        <v>43312.710279756851</v>
      </c>
      <c r="F61" t="str">
        <f t="shared" si="0"/>
        <v>Mar-2025</v>
      </c>
    </row>
    <row r="62" spans="1:6" x14ac:dyDescent="0.3">
      <c r="A62" s="48">
        <v>45718</v>
      </c>
      <c r="B62" s="20"/>
      <c r="C62" s="44">
        <v>15008.717694464849</v>
      </c>
      <c r="D62" s="44">
        <v>-13436.75171722308</v>
      </c>
      <c r="E62" s="45">
        <v>43454.187106152778</v>
      </c>
      <c r="F62" t="str">
        <f t="shared" si="0"/>
        <v>Mar-2025</v>
      </c>
    </row>
    <row r="63" spans="1:6" x14ac:dyDescent="0.3">
      <c r="A63" s="49">
        <v>45719</v>
      </c>
      <c r="B63" s="21"/>
      <c r="C63" s="46">
        <v>12800.720576844051</v>
      </c>
      <c r="D63" s="46">
        <v>-15884.650285054915</v>
      </c>
      <c r="E63" s="47">
        <v>41486.091438743017</v>
      </c>
      <c r="F63" t="str">
        <f t="shared" si="0"/>
        <v>Mar-2025</v>
      </c>
    </row>
    <row r="64" spans="1:6" x14ac:dyDescent="0.3">
      <c r="A64" s="48">
        <v>45720</v>
      </c>
      <c r="B64" s="20"/>
      <c r="C64" s="44">
        <v>13280.489476894118</v>
      </c>
      <c r="D64" s="44">
        <v>-15643.28641313932</v>
      </c>
      <c r="E64" s="45">
        <v>42204.265366927553</v>
      </c>
      <c r="F64" t="str">
        <f t="shared" si="0"/>
        <v>Mar-2025</v>
      </c>
    </row>
    <row r="65" spans="1:6" x14ac:dyDescent="0.3">
      <c r="A65" s="49">
        <v>45721</v>
      </c>
      <c r="B65" s="21"/>
      <c r="C65" s="46">
        <v>13796.906224738588</v>
      </c>
      <c r="D65" s="46">
        <v>-15414.784855030946</v>
      </c>
      <c r="E65" s="47">
        <v>43008.597304508119</v>
      </c>
      <c r="F65" t="str">
        <f t="shared" si="0"/>
        <v>Mar-2025</v>
      </c>
    </row>
    <row r="66" spans="1:6" x14ac:dyDescent="0.3">
      <c r="A66" s="48">
        <v>45722</v>
      </c>
      <c r="B66" s="20"/>
      <c r="C66" s="44">
        <v>14217.1961501312</v>
      </c>
      <c r="D66" s="44">
        <v>-15229.609664325788</v>
      </c>
      <c r="E66" s="45">
        <v>43664.001964588184</v>
      </c>
      <c r="F66" t="str">
        <f t="shared" si="0"/>
        <v>Mar-2025</v>
      </c>
    </row>
    <row r="67" spans="1:6" x14ac:dyDescent="0.3">
      <c r="A67" s="49">
        <v>45723</v>
      </c>
      <c r="B67" s="21"/>
      <c r="C67" s="46">
        <v>14586.310781436152</v>
      </c>
      <c r="D67" s="46">
        <v>-15094.229602327983</v>
      </c>
      <c r="E67" s="47">
        <v>44266.851165200285</v>
      </c>
      <c r="F67" t="str">
        <f t="shared" ref="F67:F130" si="1">TEXT(A67, "mmm-yyyy")</f>
        <v>Mar-2025</v>
      </c>
    </row>
    <row r="68" spans="1:6" x14ac:dyDescent="0.3">
      <c r="A68" s="48">
        <v>45724</v>
      </c>
      <c r="B68" s="20"/>
      <c r="C68" s="44">
        <v>15053.10288977084</v>
      </c>
      <c r="D68" s="44">
        <v>-14859.824747209017</v>
      </c>
      <c r="E68" s="45">
        <v>44966.030526750699</v>
      </c>
      <c r="F68" t="str">
        <f t="shared" si="1"/>
        <v>Mar-2025</v>
      </c>
    </row>
    <row r="69" spans="1:6" x14ac:dyDescent="0.3">
      <c r="A69" s="49">
        <v>45725</v>
      </c>
      <c r="B69" s="21"/>
      <c r="C69" s="46">
        <v>14953.143132340436</v>
      </c>
      <c r="D69" s="46">
        <v>-15190.856094449558</v>
      </c>
      <c r="E69" s="47">
        <v>45097.142359130434</v>
      </c>
      <c r="F69" t="str">
        <f t="shared" si="1"/>
        <v>Mar-2025</v>
      </c>
    </row>
    <row r="70" spans="1:6" x14ac:dyDescent="0.3">
      <c r="A70" s="48">
        <v>45726</v>
      </c>
      <c r="B70" s="20"/>
      <c r="C70" s="44">
        <v>12745.146014719638</v>
      </c>
      <c r="D70" s="44">
        <v>-17628.639654215003</v>
      </c>
      <c r="E70" s="45">
        <v>43118.931683654278</v>
      </c>
      <c r="F70" t="str">
        <f t="shared" si="1"/>
        <v>Mar-2025</v>
      </c>
    </row>
    <row r="71" spans="1:6" x14ac:dyDescent="0.3">
      <c r="A71" s="49">
        <v>45727</v>
      </c>
      <c r="B71" s="21"/>
      <c r="C71" s="46">
        <v>13224.914914769703</v>
      </c>
      <c r="D71" s="46">
        <v>-17377.401483335576</v>
      </c>
      <c r="E71" s="47">
        <v>43827.231312874981</v>
      </c>
      <c r="F71" t="str">
        <f t="shared" si="1"/>
        <v>Mar-2025</v>
      </c>
    </row>
    <row r="72" spans="1:6" x14ac:dyDescent="0.3">
      <c r="A72" s="48">
        <v>45728</v>
      </c>
      <c r="B72" s="20"/>
      <c r="C72" s="44">
        <v>13741.331662614173</v>
      </c>
      <c r="D72" s="44">
        <v>-17136.835913184084</v>
      </c>
      <c r="E72" s="45">
        <v>44619.499238412434</v>
      </c>
      <c r="F72" t="str">
        <f t="shared" si="1"/>
        <v>Mar-2025</v>
      </c>
    </row>
    <row r="73" spans="1:6" x14ac:dyDescent="0.3">
      <c r="A73" s="49">
        <v>45729</v>
      </c>
      <c r="B73" s="21"/>
      <c r="C73" s="46">
        <v>14161.621588006785</v>
      </c>
      <c r="D73" s="46">
        <v>-16942.29662386034</v>
      </c>
      <c r="E73" s="47">
        <v>45265.539799873914</v>
      </c>
      <c r="F73" t="str">
        <f t="shared" si="1"/>
        <v>Mar-2025</v>
      </c>
    </row>
    <row r="74" spans="1:6" x14ac:dyDescent="0.3">
      <c r="A74" s="48">
        <v>45730</v>
      </c>
      <c r="B74" s="20"/>
      <c r="C74" s="44">
        <v>14530.736219311737</v>
      </c>
      <c r="D74" s="44">
        <v>-16797.76612370391</v>
      </c>
      <c r="E74" s="45">
        <v>45859.238562327388</v>
      </c>
      <c r="F74" t="str">
        <f t="shared" si="1"/>
        <v>Mar-2025</v>
      </c>
    </row>
    <row r="75" spans="1:6" x14ac:dyDescent="0.3">
      <c r="A75" s="49">
        <v>45731</v>
      </c>
      <c r="B75" s="21"/>
      <c r="C75" s="46">
        <v>14997.528327646425</v>
      </c>
      <c r="D75" s="46">
        <v>-16554.417021223733</v>
      </c>
      <c r="E75" s="47">
        <v>46549.473676516587</v>
      </c>
      <c r="F75" t="str">
        <f t="shared" si="1"/>
        <v>Mar-2025</v>
      </c>
    </row>
    <row r="76" spans="1:6" x14ac:dyDescent="0.3">
      <c r="A76" s="48">
        <v>45732</v>
      </c>
      <c r="B76" s="20"/>
      <c r="C76" s="44">
        <v>14897.568570216021</v>
      </c>
      <c r="D76" s="44">
        <v>-16876.70320015405</v>
      </c>
      <c r="E76" s="45">
        <v>46671.840340586088</v>
      </c>
      <c r="F76" t="str">
        <f t="shared" si="1"/>
        <v>Mar-2025</v>
      </c>
    </row>
    <row r="77" spans="1:6" x14ac:dyDescent="0.3">
      <c r="A77" s="49">
        <v>45733</v>
      </c>
      <c r="B77" s="21"/>
      <c r="C77" s="46">
        <v>12689.571452595221</v>
      </c>
      <c r="D77" s="46">
        <v>-19305.933895119419</v>
      </c>
      <c r="E77" s="47">
        <v>44685.076800309864</v>
      </c>
      <c r="F77" t="str">
        <f t="shared" si="1"/>
        <v>Mar-2025</v>
      </c>
    </row>
    <row r="78" spans="1:6" x14ac:dyDescent="0.3">
      <c r="A78" s="48">
        <v>45734</v>
      </c>
      <c r="B78" s="20"/>
      <c r="C78" s="44">
        <v>13169.340352645288</v>
      </c>
      <c r="D78" s="44">
        <v>-19046.328703491781</v>
      </c>
      <c r="E78" s="45">
        <v>45385.00940878236</v>
      </c>
      <c r="F78" t="str">
        <f t="shared" si="1"/>
        <v>Mar-2025</v>
      </c>
    </row>
    <row r="79" spans="1:6" x14ac:dyDescent="0.3">
      <c r="A79" s="49">
        <v>45735</v>
      </c>
      <c r="B79" s="21"/>
      <c r="C79" s="46">
        <v>13685.757100489758</v>
      </c>
      <c r="D79" s="46">
        <v>-18795.493351834164</v>
      </c>
      <c r="E79" s="47">
        <v>46167.00755281368</v>
      </c>
      <c r="F79" t="str">
        <f t="shared" si="1"/>
        <v>Mar-2025</v>
      </c>
    </row>
    <row r="80" spans="1:6" x14ac:dyDescent="0.3">
      <c r="A80" s="48">
        <v>45736</v>
      </c>
      <c r="B80" s="20"/>
      <c r="C80" s="44">
        <v>14106.04702588237</v>
      </c>
      <c r="D80" s="44">
        <v>-18592.983525364929</v>
      </c>
      <c r="E80" s="45">
        <v>46805.077577129668</v>
      </c>
      <c r="F80" t="str">
        <f t="shared" si="1"/>
        <v>Mar-2025</v>
      </c>
    </row>
    <row r="81" spans="1:6" x14ac:dyDescent="0.3">
      <c r="A81" s="49">
        <v>45737</v>
      </c>
      <c r="B81" s="21"/>
      <c r="C81" s="46">
        <v>14475.161657187322</v>
      </c>
      <c r="D81" s="46">
        <v>-18440.649291982751</v>
      </c>
      <c r="E81" s="47">
        <v>47390.972606357398</v>
      </c>
      <c r="F81" t="str">
        <f t="shared" si="1"/>
        <v>Mar-2025</v>
      </c>
    </row>
    <row r="82" spans="1:6" x14ac:dyDescent="0.3">
      <c r="A82" s="48">
        <v>45738</v>
      </c>
      <c r="B82" s="20"/>
      <c r="C82" s="44">
        <v>14941.95376552201</v>
      </c>
      <c r="D82" s="44">
        <v>-18189.657951665118</v>
      </c>
      <c r="E82" s="45">
        <v>48073.565482709142</v>
      </c>
      <c r="F82" t="str">
        <f t="shared" si="1"/>
        <v>Mar-2025</v>
      </c>
    </row>
    <row r="83" spans="1:6" x14ac:dyDescent="0.3">
      <c r="A83" s="49">
        <v>45739</v>
      </c>
      <c r="B83" s="21"/>
      <c r="C83" s="46">
        <v>14841.994008091606</v>
      </c>
      <c r="D83" s="46">
        <v>-18504.458311215232</v>
      </c>
      <c r="E83" s="47">
        <v>48188.446327398444</v>
      </c>
      <c r="F83" t="str">
        <f t="shared" si="1"/>
        <v>Mar-2025</v>
      </c>
    </row>
    <row r="84" spans="1:6" x14ac:dyDescent="0.3">
      <c r="A84" s="48">
        <v>45740</v>
      </c>
      <c r="B84" s="20"/>
      <c r="C84" s="44">
        <v>12633.996890470808</v>
      </c>
      <c r="D84" s="44">
        <v>-20926.354747125624</v>
      </c>
      <c r="E84" s="45">
        <v>46194.348528067239</v>
      </c>
      <c r="F84" t="str">
        <f t="shared" si="1"/>
        <v>Mar-2025</v>
      </c>
    </row>
    <row r="85" spans="1:6" x14ac:dyDescent="0.3">
      <c r="A85" s="49">
        <v>45741</v>
      </c>
      <c r="B85" s="21"/>
      <c r="C85" s="46">
        <v>13113.765790520873</v>
      </c>
      <c r="D85" s="46">
        <v>-20659.562205487495</v>
      </c>
      <c r="E85" s="47">
        <v>46887.093786529236</v>
      </c>
      <c r="F85" t="str">
        <f t="shared" si="1"/>
        <v>Mar-2025</v>
      </c>
    </row>
    <row r="86" spans="1:6" x14ac:dyDescent="0.3">
      <c r="A86" s="48">
        <v>45742</v>
      </c>
      <c r="B86" s="20"/>
      <c r="C86" s="44">
        <v>13630.182538365343</v>
      </c>
      <c r="D86" s="44">
        <v>-20399.86698903174</v>
      </c>
      <c r="E86" s="45">
        <v>47660.232065762422</v>
      </c>
      <c r="F86" t="str">
        <f t="shared" si="1"/>
        <v>Mar-2025</v>
      </c>
    </row>
    <row r="87" spans="1:6" x14ac:dyDescent="0.3">
      <c r="A87" s="49">
        <v>45743</v>
      </c>
      <c r="B87" s="21"/>
      <c r="C87" s="46">
        <v>14050.472463757955</v>
      </c>
      <c r="D87" s="46">
        <v>-20190.484970748206</v>
      </c>
      <c r="E87" s="47">
        <v>48291.429898264119</v>
      </c>
      <c r="F87" t="str">
        <f t="shared" si="1"/>
        <v>Mar-2025</v>
      </c>
    </row>
    <row r="88" spans="1:6" x14ac:dyDescent="0.3">
      <c r="A88" s="48">
        <v>45744</v>
      </c>
      <c r="B88" s="20"/>
      <c r="C88" s="44">
        <v>14419.587095062907</v>
      </c>
      <c r="D88" s="44">
        <v>-20031.41161908799</v>
      </c>
      <c r="E88" s="45">
        <v>48870.585809213808</v>
      </c>
      <c r="F88" t="str">
        <f t="shared" si="1"/>
        <v>Mar-2025</v>
      </c>
    </row>
    <row r="89" spans="1:6" x14ac:dyDescent="0.3">
      <c r="A89" s="49">
        <v>45745</v>
      </c>
      <c r="B89" s="21"/>
      <c r="C89" s="46">
        <v>14886.379203397597</v>
      </c>
      <c r="D89" s="46">
        <v>-19773.810346443999</v>
      </c>
      <c r="E89" s="47">
        <v>49546.568753239197</v>
      </c>
      <c r="F89" t="str">
        <f t="shared" si="1"/>
        <v>Mar-2025</v>
      </c>
    </row>
    <row r="90" spans="1:6" x14ac:dyDescent="0.3">
      <c r="A90" s="48">
        <v>45746</v>
      </c>
      <c r="B90" s="20"/>
      <c r="C90" s="44">
        <v>14786.419445967193</v>
      </c>
      <c r="D90" s="44">
        <v>-20082.126227731169</v>
      </c>
      <c r="E90" s="45">
        <v>49654.965119665554</v>
      </c>
      <c r="F90" t="str">
        <f t="shared" si="1"/>
        <v>Mar-2025</v>
      </c>
    </row>
    <row r="91" spans="1:6" x14ac:dyDescent="0.3">
      <c r="A91" s="49">
        <v>45747</v>
      </c>
      <c r="B91" s="21"/>
      <c r="C91" s="46">
        <v>12578.422328346394</v>
      </c>
      <c r="D91" s="46">
        <v>-22497.660055344997</v>
      </c>
      <c r="E91" s="47">
        <v>47654.504712037786</v>
      </c>
      <c r="F91" t="str">
        <f t="shared" si="1"/>
        <v>Mar-2025</v>
      </c>
    </row>
    <row r="92" spans="1:6" x14ac:dyDescent="0.3">
      <c r="A92" s="48">
        <v>45748</v>
      </c>
      <c r="B92" s="20"/>
      <c r="C92" s="44">
        <v>13058.191228396459</v>
      </c>
      <c r="D92" s="44">
        <v>-22224.623331650426</v>
      </c>
      <c r="E92" s="45">
        <v>48341.005788443348</v>
      </c>
      <c r="F92" t="str">
        <f t="shared" si="1"/>
        <v>Apr-2025</v>
      </c>
    </row>
    <row r="93" spans="1:6" x14ac:dyDescent="0.3">
      <c r="A93" s="49">
        <v>45749</v>
      </c>
      <c r="B93" s="21"/>
      <c r="C93" s="46">
        <v>13574.60797624093</v>
      </c>
      <c r="D93" s="46">
        <v>-21957.199369928014</v>
      </c>
      <c r="E93" s="47">
        <v>49106.41532240987</v>
      </c>
      <c r="F93" t="str">
        <f t="shared" si="1"/>
        <v>Apr-2025</v>
      </c>
    </row>
    <row r="94" spans="1:6" x14ac:dyDescent="0.3">
      <c r="A94" s="48">
        <v>45750</v>
      </c>
      <c r="B94" s="20"/>
      <c r="C94" s="44">
        <v>13994.897901633542</v>
      </c>
      <c r="D94" s="44">
        <v>-21741.828445724619</v>
      </c>
      <c r="E94" s="45">
        <v>49731.624248991706</v>
      </c>
      <c r="F94" t="str">
        <f t="shared" si="1"/>
        <v>Apr-2025</v>
      </c>
    </row>
    <row r="95" spans="1:6" x14ac:dyDescent="0.3">
      <c r="A95" s="49">
        <v>45751</v>
      </c>
      <c r="B95" s="21"/>
      <c r="C95" s="46">
        <v>14364.012532938494</v>
      </c>
      <c r="D95" s="46">
        <v>-21576.874291314631</v>
      </c>
      <c r="E95" s="47">
        <v>50304.899357191622</v>
      </c>
      <c r="F95" t="str">
        <f t="shared" si="1"/>
        <v>Apr-2025</v>
      </c>
    </row>
    <row r="96" spans="1:6" x14ac:dyDescent="0.3">
      <c r="A96" s="48">
        <v>45752</v>
      </c>
      <c r="B96" s="20"/>
      <c r="C96" s="44">
        <v>14830.804641273182</v>
      </c>
      <c r="D96" s="44">
        <v>-21313.497399715958</v>
      </c>
      <c r="E96" s="45">
        <v>50975.106682262325</v>
      </c>
      <c r="F96" t="str">
        <f t="shared" si="1"/>
        <v>Apr-2025</v>
      </c>
    </row>
    <row r="97" spans="1:6" x14ac:dyDescent="0.3">
      <c r="A97" s="49">
        <v>45753</v>
      </c>
      <c r="B97" s="21"/>
      <c r="C97" s="46">
        <v>14730.844883842778</v>
      </c>
      <c r="D97" s="46">
        <v>-21616.140034537457</v>
      </c>
      <c r="E97" s="47">
        <v>51077.829802223016</v>
      </c>
      <c r="F97" t="str">
        <f t="shared" si="1"/>
        <v>Apr-2025</v>
      </c>
    </row>
    <row r="98" spans="1:6" x14ac:dyDescent="0.3">
      <c r="A98" s="48">
        <v>45754</v>
      </c>
      <c r="B98" s="20"/>
      <c r="C98" s="44">
        <v>12522.847766221978</v>
      </c>
      <c r="D98" s="44">
        <v>-24026.100279863513</v>
      </c>
      <c r="E98" s="45">
        <v>49071.795812307464</v>
      </c>
      <c r="F98" t="str">
        <f t="shared" si="1"/>
        <v>Apr-2025</v>
      </c>
    </row>
    <row r="99" spans="1:6" x14ac:dyDescent="0.3">
      <c r="A99" s="49">
        <v>45755</v>
      </c>
      <c r="B99" s="21"/>
      <c r="C99" s="46">
        <v>13002.616666272044</v>
      </c>
      <c r="D99" s="46">
        <v>-23747.587027956644</v>
      </c>
      <c r="E99" s="47">
        <v>49752.820360500729</v>
      </c>
      <c r="F99" t="str">
        <f t="shared" si="1"/>
        <v>Apr-2025</v>
      </c>
    </row>
    <row r="100" spans="1:6" x14ac:dyDescent="0.3">
      <c r="A100" s="48">
        <v>45756</v>
      </c>
      <c r="B100" s="20"/>
      <c r="C100" s="44">
        <v>13519.033414116515</v>
      </c>
      <c r="D100" s="44">
        <v>-23473.357682780173</v>
      </c>
      <c r="E100" s="45">
        <v>50511.424511013203</v>
      </c>
      <c r="F100" t="str">
        <f t="shared" si="1"/>
        <v>Apr-2025</v>
      </c>
    </row>
    <row r="101" spans="1:6" x14ac:dyDescent="0.3">
      <c r="A101" s="49">
        <v>45757</v>
      </c>
      <c r="B101" s="21"/>
      <c r="C101" s="46">
        <v>13939.323339509127</v>
      </c>
      <c r="D101" s="46">
        <v>-23252.720322394885</v>
      </c>
      <c r="E101" s="47">
        <v>51131.367001413135</v>
      </c>
      <c r="F101" t="str">
        <f t="shared" si="1"/>
        <v>Apr-2025</v>
      </c>
    </row>
    <row r="102" spans="1:6" x14ac:dyDescent="0.3">
      <c r="A102" s="48">
        <v>45758</v>
      </c>
      <c r="B102" s="20"/>
      <c r="C102" s="44">
        <v>14308.437970814079</v>
      </c>
      <c r="D102" s="44">
        <v>-23082.588909310653</v>
      </c>
      <c r="E102" s="45">
        <v>51699.464850938806</v>
      </c>
      <c r="F102" t="str">
        <f t="shared" si="1"/>
        <v>Apr-2025</v>
      </c>
    </row>
    <row r="103" spans="1:6" x14ac:dyDescent="0.3">
      <c r="A103" s="49">
        <v>45759</v>
      </c>
      <c r="B103" s="21"/>
      <c r="C103" s="46">
        <v>14775.230079148767</v>
      </c>
      <c r="D103" s="46">
        <v>-22814.121696999595</v>
      </c>
      <c r="E103" s="47">
        <v>52364.581855297125</v>
      </c>
      <c r="F103" t="str">
        <f t="shared" si="1"/>
        <v>Apr-2025</v>
      </c>
    </row>
    <row r="104" spans="1:6" x14ac:dyDescent="0.3">
      <c r="A104" s="48">
        <v>45760</v>
      </c>
      <c r="B104" s="20"/>
      <c r="C104" s="44">
        <v>14675.270321718363</v>
      </c>
      <c r="D104" s="44">
        <v>-23111.758786601149</v>
      </c>
      <c r="E104" s="45">
        <v>52462.299430037878</v>
      </c>
      <c r="F104" t="str">
        <f t="shared" si="1"/>
        <v>Apr-2025</v>
      </c>
    </row>
    <row r="105" spans="1:6" x14ac:dyDescent="0.3">
      <c r="A105" s="49">
        <v>45761</v>
      </c>
      <c r="B105" s="21"/>
      <c r="C105" s="46">
        <v>12467.273204097564</v>
      </c>
      <c r="D105" s="46">
        <v>-25516.796173440755</v>
      </c>
      <c r="E105" s="47">
        <v>50451.342581635879</v>
      </c>
      <c r="F105" t="str">
        <f t="shared" si="1"/>
        <v>Apr-2025</v>
      </c>
    </row>
    <row r="106" spans="1:6" x14ac:dyDescent="0.3">
      <c r="A106" s="48">
        <v>45762</v>
      </c>
      <c r="B106" s="20"/>
      <c r="C106" s="44">
        <v>12947.042104147629</v>
      </c>
      <c r="D106" s="44">
        <v>-25233.440731544222</v>
      </c>
      <c r="E106" s="45">
        <v>51127.524939839481</v>
      </c>
      <c r="F106" t="str">
        <f t="shared" si="1"/>
        <v>Apr-2025</v>
      </c>
    </row>
    <row r="107" spans="1:6" x14ac:dyDescent="0.3">
      <c r="A107" s="49">
        <v>45763</v>
      </c>
      <c r="B107" s="21"/>
      <c r="C107" s="46">
        <v>13463.4588519921</v>
      </c>
      <c r="D107" s="46">
        <v>-24953.170996984198</v>
      </c>
      <c r="E107" s="47">
        <v>51880.088700968401</v>
      </c>
      <c r="F107" t="str">
        <f t="shared" si="1"/>
        <v>Apr-2025</v>
      </c>
    </row>
    <row r="108" spans="1:6" x14ac:dyDescent="0.3">
      <c r="A108" s="48">
        <v>45764</v>
      </c>
      <c r="B108" s="20"/>
      <c r="C108" s="44">
        <v>13883.748777384712</v>
      </c>
      <c r="D108" s="44">
        <v>-24727.866728514113</v>
      </c>
      <c r="E108" s="45">
        <v>52495.364283283532</v>
      </c>
      <c r="F108" t="str">
        <f t="shared" si="1"/>
        <v>Apr-2025</v>
      </c>
    </row>
    <row r="109" spans="1:6" x14ac:dyDescent="0.3">
      <c r="A109" s="49">
        <v>45765</v>
      </c>
      <c r="B109" s="21"/>
      <c r="C109" s="46">
        <v>14252.863408689664</v>
      </c>
      <c r="D109" s="46">
        <v>-24553.142949687513</v>
      </c>
      <c r="E109" s="47">
        <v>53058.869767066841</v>
      </c>
      <c r="F109" t="str">
        <f t="shared" si="1"/>
        <v>Apr-2025</v>
      </c>
    </row>
    <row r="110" spans="1:6" x14ac:dyDescent="0.3">
      <c r="A110" s="48">
        <v>45766</v>
      </c>
      <c r="B110" s="20"/>
      <c r="C110" s="44">
        <v>14719.655517024352</v>
      </c>
      <c r="D110" s="44">
        <v>-24280.15616416133</v>
      </c>
      <c r="E110" s="45">
        <v>53719.467198210034</v>
      </c>
      <c r="F110" t="str">
        <f t="shared" si="1"/>
        <v>Apr-2025</v>
      </c>
    </row>
    <row r="111" spans="1:6" x14ac:dyDescent="0.3">
      <c r="A111" s="49">
        <v>45767</v>
      </c>
      <c r="B111" s="21"/>
      <c r="C111" s="46">
        <v>14619.695759593948</v>
      </c>
      <c r="D111" s="46">
        <v>-24573.344779531581</v>
      </c>
      <c r="E111" s="47">
        <v>53812.736298719472</v>
      </c>
      <c r="F111" t="str">
        <f t="shared" si="1"/>
        <v>Apr-2025</v>
      </c>
    </row>
    <row r="112" spans="1:6" x14ac:dyDescent="0.3">
      <c r="A112" s="48">
        <v>45768</v>
      </c>
      <c r="B112" s="20"/>
      <c r="C112" s="44">
        <v>12411.698641973147</v>
      </c>
      <c r="D112" s="44">
        <v>-26974.003151555145</v>
      </c>
      <c r="E112" s="45">
        <v>51797.40043550144</v>
      </c>
      <c r="F112" t="str">
        <f t="shared" si="1"/>
        <v>Apr-2025</v>
      </c>
    </row>
    <row r="113" spans="1:6" x14ac:dyDescent="0.3">
      <c r="A113" s="49">
        <v>45769</v>
      </c>
      <c r="B113" s="21"/>
      <c r="C113" s="46">
        <v>12891.467542023214</v>
      </c>
      <c r="D113" s="46">
        <v>-26686.336566480684</v>
      </c>
      <c r="E113" s="47">
        <v>52469.271650527116</v>
      </c>
      <c r="F113" t="str">
        <f t="shared" si="1"/>
        <v>Apr-2025</v>
      </c>
    </row>
    <row r="114" spans="1:6" x14ac:dyDescent="0.3">
      <c r="A114" s="48">
        <v>45770</v>
      </c>
      <c r="B114" s="20"/>
      <c r="C114" s="44">
        <v>13407.884289867687</v>
      </c>
      <c r="D114" s="44">
        <v>-26400.668355542832</v>
      </c>
      <c r="E114" s="45">
        <v>53216.436935278209</v>
      </c>
      <c r="F114" t="str">
        <f t="shared" si="1"/>
        <v>Apr-2025</v>
      </c>
    </row>
    <row r="115" spans="1:6" x14ac:dyDescent="0.3">
      <c r="A115" s="49">
        <v>45771</v>
      </c>
      <c r="B115" s="21"/>
      <c r="C115" s="46">
        <v>13828.174215260298</v>
      </c>
      <c r="D115" s="46">
        <v>-26171.200923356657</v>
      </c>
      <c r="E115" s="47">
        <v>53827.54935387725</v>
      </c>
      <c r="F115" t="str">
        <f t="shared" si="1"/>
        <v>Apr-2025</v>
      </c>
    </row>
    <row r="116" spans="1:6" x14ac:dyDescent="0.3">
      <c r="A116" s="48">
        <v>45772</v>
      </c>
      <c r="B116" s="20"/>
      <c r="C116" s="44">
        <v>14197.28884656525</v>
      </c>
      <c r="D116" s="44">
        <v>-25992.377007943185</v>
      </c>
      <c r="E116" s="45">
        <v>54386.954701073686</v>
      </c>
      <c r="F116" t="str">
        <f t="shared" si="1"/>
        <v>Apr-2025</v>
      </c>
    </row>
    <row r="117" spans="1:6" x14ac:dyDescent="0.3">
      <c r="A117" s="49">
        <v>45773</v>
      </c>
      <c r="B117" s="21"/>
      <c r="C117" s="46">
        <v>14664.080954899939</v>
      </c>
      <c r="D117" s="46">
        <v>-25715.351723824999</v>
      </c>
      <c r="E117" s="47">
        <v>55043.513633624876</v>
      </c>
      <c r="F117" t="str">
        <f t="shared" si="1"/>
        <v>Apr-2025</v>
      </c>
    </row>
    <row r="118" spans="1:6" x14ac:dyDescent="0.3">
      <c r="A118" s="48">
        <v>45774</v>
      </c>
      <c r="B118" s="20"/>
      <c r="C118" s="44">
        <v>14564.121197469534</v>
      </c>
      <c r="D118" s="44">
        <v>-26004.562131389946</v>
      </c>
      <c r="E118" s="45">
        <v>55132.804526329011</v>
      </c>
      <c r="F118" t="str">
        <f t="shared" si="1"/>
        <v>Apr-2025</v>
      </c>
    </row>
    <row r="119" spans="1:6" x14ac:dyDescent="0.3">
      <c r="A119" s="49">
        <v>45775</v>
      </c>
      <c r="B119" s="21"/>
      <c r="C119" s="46">
        <v>12356.124079848734</v>
      </c>
      <c r="D119" s="46">
        <v>-28401.301279506413</v>
      </c>
      <c r="E119" s="47">
        <v>53113.549439203882</v>
      </c>
      <c r="F119" t="str">
        <f t="shared" si="1"/>
        <v>Apr-2025</v>
      </c>
    </row>
    <row r="120" spans="1:6" x14ac:dyDescent="0.3">
      <c r="A120" s="48">
        <v>45776</v>
      </c>
      <c r="B120" s="20"/>
      <c r="C120" s="44">
        <v>12835.892979898801</v>
      </c>
      <c r="D120" s="44">
        <v>-28109.773186322163</v>
      </c>
      <c r="E120" s="45">
        <v>53781.559146119769</v>
      </c>
      <c r="F120" t="str">
        <f t="shared" si="1"/>
        <v>Apr-2025</v>
      </c>
    </row>
    <row r="121" spans="1:6" x14ac:dyDescent="0.3">
      <c r="A121" s="49">
        <v>45777</v>
      </c>
      <c r="B121" s="21"/>
      <c r="C121" s="46">
        <v>13352.309727743272</v>
      </c>
      <c r="D121" s="46">
        <v>-27819.251138319636</v>
      </c>
      <c r="E121" s="47">
        <v>54523.870593806176</v>
      </c>
      <c r="F121" t="str">
        <f t="shared" si="1"/>
        <v>Apr-2025</v>
      </c>
    </row>
    <row r="122" spans="1:6" x14ac:dyDescent="0.3">
      <c r="A122" s="48">
        <v>45778</v>
      </c>
      <c r="B122" s="20"/>
      <c r="C122" s="44">
        <v>13772.599653135883</v>
      </c>
      <c r="D122" s="44">
        <v>-27586.048427247122</v>
      </c>
      <c r="E122" s="45">
        <v>55131.247733518889</v>
      </c>
      <c r="F122" t="str">
        <f t="shared" si="1"/>
        <v>May-2025</v>
      </c>
    </row>
    <row r="123" spans="1:6" x14ac:dyDescent="0.3">
      <c r="A123" s="49">
        <v>45779</v>
      </c>
      <c r="B123" s="21"/>
      <c r="C123" s="46">
        <v>14141.714284440835</v>
      </c>
      <c r="D123" s="46">
        <v>-27403.543061696422</v>
      </c>
      <c r="E123" s="47">
        <v>55686.971630578097</v>
      </c>
      <c r="F123" t="str">
        <f t="shared" si="1"/>
        <v>May-2025</v>
      </c>
    </row>
    <row r="124" spans="1:6" x14ac:dyDescent="0.3">
      <c r="A124" s="48">
        <v>45780</v>
      </c>
      <c r="B124" s="20"/>
      <c r="C124" s="44">
        <v>14608.506392775524</v>
      </c>
      <c r="D124" s="44">
        <v>-27122.889037869885</v>
      </c>
      <c r="E124" s="45">
        <v>56339.901823420936</v>
      </c>
      <c r="F124" t="str">
        <f t="shared" si="1"/>
        <v>May-2025</v>
      </c>
    </row>
    <row r="125" spans="1:6" x14ac:dyDescent="0.3">
      <c r="A125" s="49">
        <v>45781</v>
      </c>
      <c r="B125" s="21"/>
      <c r="C125" s="46">
        <v>14508.546635345119</v>
      </c>
      <c r="D125" s="46">
        <v>-27408.52232963487</v>
      </c>
      <c r="E125" s="47">
        <v>56425.615600325109</v>
      </c>
      <c r="F125" t="str">
        <f t="shared" si="1"/>
        <v>May-2025</v>
      </c>
    </row>
    <row r="126" spans="1:6" x14ac:dyDescent="0.3">
      <c r="A126" s="48">
        <v>45782</v>
      </c>
      <c r="B126" s="20"/>
      <c r="C126" s="44">
        <v>12300.549517724321</v>
      </c>
      <c r="D126" s="44">
        <v>-29801.734929990853</v>
      </c>
      <c r="E126" s="45">
        <v>54402.833965439495</v>
      </c>
      <c r="F126" t="str">
        <f t="shared" si="1"/>
        <v>May-2025</v>
      </c>
    </row>
    <row r="127" spans="1:6" x14ac:dyDescent="0.3">
      <c r="A127" s="49">
        <v>45783</v>
      </c>
      <c r="B127" s="21"/>
      <c r="C127" s="46">
        <v>12780.318417774386</v>
      </c>
      <c r="D127" s="46">
        <v>-29506.729830770255</v>
      </c>
      <c r="E127" s="47">
        <v>55067.366666319023</v>
      </c>
      <c r="F127" t="str">
        <f t="shared" si="1"/>
        <v>May-2025</v>
      </c>
    </row>
    <row r="128" spans="1:6" x14ac:dyDescent="0.3">
      <c r="A128" s="48">
        <v>45784</v>
      </c>
      <c r="B128" s="20"/>
      <c r="C128" s="44">
        <v>13296.735165618857</v>
      </c>
      <c r="D128" s="44">
        <v>-29211.820573248959</v>
      </c>
      <c r="E128" s="45">
        <v>55805.290904486668</v>
      </c>
      <c r="F128" t="str">
        <f t="shared" si="1"/>
        <v>May-2025</v>
      </c>
    </row>
    <row r="129" spans="1:6" x14ac:dyDescent="0.3">
      <c r="A129" s="49">
        <v>45785</v>
      </c>
      <c r="B129" s="21"/>
      <c r="C129" s="46">
        <v>13717.025091011468</v>
      </c>
      <c r="D129" s="46">
        <v>-28975.249519525714</v>
      </c>
      <c r="E129" s="47">
        <v>56409.299701548654</v>
      </c>
      <c r="F129" t="str">
        <f t="shared" si="1"/>
        <v>May-2025</v>
      </c>
    </row>
    <row r="130" spans="1:6" x14ac:dyDescent="0.3">
      <c r="A130" s="48">
        <v>45786</v>
      </c>
      <c r="B130" s="20"/>
      <c r="C130" s="44">
        <v>14086.13972231642</v>
      </c>
      <c r="D130" s="44">
        <v>-28789.422194004557</v>
      </c>
      <c r="E130" s="45">
        <v>56961.701638637402</v>
      </c>
      <c r="F130" t="str">
        <f t="shared" si="1"/>
        <v>May-2025</v>
      </c>
    </row>
    <row r="131" spans="1:6" x14ac:dyDescent="0.3">
      <c r="A131" s="49">
        <v>45787</v>
      </c>
      <c r="B131" s="21"/>
      <c r="C131" s="46">
        <v>14552.931830651109</v>
      </c>
      <c r="D131" s="46">
        <v>-28505.49168138958</v>
      </c>
      <c r="E131" s="47">
        <v>57611.355342691793</v>
      </c>
      <c r="F131" t="str">
        <f t="shared" ref="F131:F182" si="2">TEXT(A131, "mmm-yyyy")</f>
        <v>May-2025</v>
      </c>
    </row>
    <row r="132" spans="1:6" x14ac:dyDescent="0.3">
      <c r="A132" s="48">
        <v>45788</v>
      </c>
      <c r="B132" s="20"/>
      <c r="C132" s="44">
        <v>14452.972073220704</v>
      </c>
      <c r="D132" s="44">
        <v>-28787.893068552636</v>
      </c>
      <c r="E132" s="45">
        <v>57693.837214994048</v>
      </c>
      <c r="F132" t="str">
        <f t="shared" si="2"/>
        <v>May-2025</v>
      </c>
    </row>
    <row r="133" spans="1:6" x14ac:dyDescent="0.3">
      <c r="A133" s="49">
        <v>45789</v>
      </c>
      <c r="B133" s="21"/>
      <c r="C133" s="46">
        <v>12244.974955599904</v>
      </c>
      <c r="D133" s="46">
        <v>-31177.917485163944</v>
      </c>
      <c r="E133" s="47">
        <v>55667.867396363756</v>
      </c>
      <c r="F133" t="str">
        <f t="shared" si="2"/>
        <v>May-2025</v>
      </c>
    </row>
    <row r="134" spans="1:6" x14ac:dyDescent="0.3">
      <c r="A134" s="48">
        <v>45790</v>
      </c>
      <c r="B134" s="20"/>
      <c r="C134" s="44">
        <v>12724.743855649971</v>
      </c>
      <c r="D134" s="44">
        <v>-30879.767082590901</v>
      </c>
      <c r="E134" s="45">
        <v>56329.254793890839</v>
      </c>
      <c r="F134" t="str">
        <f t="shared" si="2"/>
        <v>May-2025</v>
      </c>
    </row>
    <row r="135" spans="1:6" x14ac:dyDescent="0.3">
      <c r="A135" s="49">
        <v>45791</v>
      </c>
      <c r="B135" s="21"/>
      <c r="C135" s="46">
        <v>13241.160603494442</v>
      </c>
      <c r="D135" s="46">
        <v>-30580.873866240268</v>
      </c>
      <c r="E135" s="47">
        <v>57063.195073229152</v>
      </c>
      <c r="F135" t="str">
        <f t="shared" si="2"/>
        <v>May-2025</v>
      </c>
    </row>
    <row r="136" spans="1:6" x14ac:dyDescent="0.3">
      <c r="A136" s="48">
        <v>45792</v>
      </c>
      <c r="B136" s="20"/>
      <c r="C136" s="44">
        <v>13661.450528887053</v>
      </c>
      <c r="D136" s="44">
        <v>-30341.251813220584</v>
      </c>
      <c r="E136" s="45">
        <v>57664.152870994687</v>
      </c>
      <c r="F136" t="str">
        <f t="shared" si="2"/>
        <v>May-2025</v>
      </c>
    </row>
    <row r="137" spans="1:6" x14ac:dyDescent="0.3">
      <c r="A137" s="49">
        <v>45793</v>
      </c>
      <c r="B137" s="21"/>
      <c r="C137" s="46">
        <v>14030.565160192007</v>
      </c>
      <c r="D137" s="46">
        <v>-30152.413771996497</v>
      </c>
      <c r="E137" s="47">
        <v>58213.544092380514</v>
      </c>
      <c r="F137" t="str">
        <f t="shared" si="2"/>
        <v>May-2025</v>
      </c>
    </row>
    <row r="138" spans="1:6" x14ac:dyDescent="0.3">
      <c r="A138" s="48">
        <v>45794</v>
      </c>
      <c r="B138" s="20"/>
      <c r="C138" s="44">
        <v>14497.357268526694</v>
      </c>
      <c r="D138" s="44">
        <v>-29865.51207612281</v>
      </c>
      <c r="E138" s="45">
        <v>58860.226613176193</v>
      </c>
      <c r="F138" t="str">
        <f t="shared" si="2"/>
        <v>May-2025</v>
      </c>
    </row>
    <row r="139" spans="1:6" x14ac:dyDescent="0.3">
      <c r="A139" s="49">
        <v>45795</v>
      </c>
      <c r="B139" s="21"/>
      <c r="C139" s="46">
        <v>14397.397511096291</v>
      </c>
      <c r="D139" s="46">
        <v>-30144.981080469399</v>
      </c>
      <c r="E139" s="47">
        <v>58939.776102661985</v>
      </c>
      <c r="F139" t="str">
        <f t="shared" si="2"/>
        <v>May-2025</v>
      </c>
    </row>
    <row r="140" spans="1:6" x14ac:dyDescent="0.3">
      <c r="A140" s="48">
        <v>45796</v>
      </c>
      <c r="B140" s="20"/>
      <c r="C140" s="44">
        <v>12189.400393475491</v>
      </c>
      <c r="D140" s="44">
        <v>-32532.111201231983</v>
      </c>
      <c r="E140" s="45">
        <v>56910.911988182968</v>
      </c>
      <c r="F140" t="str">
        <f t="shared" si="2"/>
        <v>May-2025</v>
      </c>
    </row>
    <row r="141" spans="1:6" x14ac:dyDescent="0.3">
      <c r="A141" s="49">
        <v>45797</v>
      </c>
      <c r="B141" s="21"/>
      <c r="C141" s="46">
        <v>12669.169293525558</v>
      </c>
      <c r="D141" s="46">
        <v>-32231.103894235304</v>
      </c>
      <c r="E141" s="47">
        <v>57569.442481286416</v>
      </c>
      <c r="F141" t="str">
        <f t="shared" si="2"/>
        <v>May-2025</v>
      </c>
    </row>
    <row r="142" spans="1:6" x14ac:dyDescent="0.3">
      <c r="A142" s="48">
        <v>45798</v>
      </c>
      <c r="B142" s="20"/>
      <c r="C142" s="44">
        <v>13185.586041370028</v>
      </c>
      <c r="D142" s="44">
        <v>-31928.577888699074</v>
      </c>
      <c r="E142" s="45">
        <v>58299.749971439131</v>
      </c>
      <c r="F142" t="str">
        <f t="shared" si="2"/>
        <v>May-2025</v>
      </c>
    </row>
    <row r="143" spans="1:6" x14ac:dyDescent="0.3">
      <c r="A143" s="49">
        <v>45799</v>
      </c>
      <c r="B143" s="21"/>
      <c r="C143" s="46">
        <v>13605.87596676264</v>
      </c>
      <c r="D143" s="46">
        <v>-31686.181369722512</v>
      </c>
      <c r="E143" s="47">
        <v>58897.933303247788</v>
      </c>
      <c r="F143" t="str">
        <f t="shared" si="2"/>
        <v>May-2025</v>
      </c>
    </row>
    <row r="144" spans="1:6" x14ac:dyDescent="0.3">
      <c r="A144" s="48">
        <v>45800</v>
      </c>
      <c r="B144" s="20"/>
      <c r="C144" s="44">
        <v>13974.990598067592</v>
      </c>
      <c r="D144" s="44">
        <v>-31494.604097478812</v>
      </c>
      <c r="E144" s="45">
        <v>59444.585293613993</v>
      </c>
      <c r="F144" t="str">
        <f t="shared" si="2"/>
        <v>May-2025</v>
      </c>
    </row>
    <row r="145" spans="1:6" x14ac:dyDescent="0.3">
      <c r="A145" s="49">
        <v>45801</v>
      </c>
      <c r="B145" s="21"/>
      <c r="C145" s="46">
        <v>14441.78270640228</v>
      </c>
      <c r="D145" s="46">
        <v>-31204.997780375939</v>
      </c>
      <c r="E145" s="47">
        <v>60088.563193180496</v>
      </c>
      <c r="F145" t="str">
        <f t="shared" si="2"/>
        <v>May-2025</v>
      </c>
    </row>
    <row r="146" spans="1:6" x14ac:dyDescent="0.3">
      <c r="A146" s="48">
        <v>45802</v>
      </c>
      <c r="B146" s="20"/>
      <c r="C146" s="44">
        <v>14341.822948971876</v>
      </c>
      <c r="D146" s="44">
        <v>-31481.796163289244</v>
      </c>
      <c r="E146" s="45">
        <v>60165.442061233</v>
      </c>
      <c r="F146" t="str">
        <f t="shared" si="2"/>
        <v>May-2025</v>
      </c>
    </row>
    <row r="147" spans="1:6" x14ac:dyDescent="0.3">
      <c r="A147" s="49">
        <v>45803</v>
      </c>
      <c r="B147" s="21"/>
      <c r="C147" s="46">
        <v>12133.825831351078</v>
      </c>
      <c r="D147" s="46">
        <v>-33866.289067105608</v>
      </c>
      <c r="E147" s="47">
        <v>58133.940729807771</v>
      </c>
      <c r="F147" t="str">
        <f t="shared" si="2"/>
        <v>May-2025</v>
      </c>
    </row>
    <row r="148" spans="1:6" x14ac:dyDescent="0.3">
      <c r="A148" s="48">
        <v>45804</v>
      </c>
      <c r="B148" s="20"/>
      <c r="C148" s="44">
        <v>12613.594731401143</v>
      </c>
      <c r="D148" s="44">
        <v>-33562.6773665777</v>
      </c>
      <c r="E148" s="45">
        <v>58789.866829379986</v>
      </c>
      <c r="F148" t="str">
        <f t="shared" si="2"/>
        <v>May-2025</v>
      </c>
    </row>
    <row r="149" spans="1:6" x14ac:dyDescent="0.3">
      <c r="A149" s="49">
        <v>45805</v>
      </c>
      <c r="B149" s="21"/>
      <c r="C149" s="46">
        <v>13130.011479245613</v>
      </c>
      <c r="D149" s="46">
        <v>-33256.826502090138</v>
      </c>
      <c r="E149" s="47">
        <v>59516.849460581368</v>
      </c>
      <c r="F149" t="str">
        <f t="shared" si="2"/>
        <v>May-2025</v>
      </c>
    </row>
    <row r="150" spans="1:6" x14ac:dyDescent="0.3">
      <c r="A150" s="48">
        <v>45806</v>
      </c>
      <c r="B150" s="20"/>
      <c r="C150" s="44">
        <v>13550.301404638225</v>
      </c>
      <c r="D150" s="44">
        <v>-33011.89812766682</v>
      </c>
      <c r="E150" s="45">
        <v>60112.500936943266</v>
      </c>
      <c r="F150" t="str">
        <f t="shared" si="2"/>
        <v>May-2025</v>
      </c>
    </row>
    <row r="151" spans="1:6" x14ac:dyDescent="0.3">
      <c r="A151" s="49">
        <v>45807</v>
      </c>
      <c r="B151" s="21"/>
      <c r="C151" s="46">
        <v>13919.416035943177</v>
      </c>
      <c r="D151" s="46">
        <v>-32817.820016053811</v>
      </c>
      <c r="E151" s="47">
        <v>60656.652087940165</v>
      </c>
      <c r="F151" t="str">
        <f t="shared" si="2"/>
        <v>May-2025</v>
      </c>
    </row>
    <row r="152" spans="1:6" x14ac:dyDescent="0.3">
      <c r="A152" s="48">
        <v>45808</v>
      </c>
      <c r="B152" s="20"/>
      <c r="C152" s="44">
        <v>14386.208144277865</v>
      </c>
      <c r="D152" s="44">
        <v>-32525.743350729768</v>
      </c>
      <c r="E152" s="45">
        <v>61298.159639285499</v>
      </c>
      <c r="F152" t="str">
        <f t="shared" si="2"/>
        <v>May-2025</v>
      </c>
    </row>
    <row r="153" spans="1:6" x14ac:dyDescent="0.3">
      <c r="A153" s="49">
        <v>45809</v>
      </c>
      <c r="B153" s="21"/>
      <c r="C153" s="46">
        <v>14286.248386847461</v>
      </c>
      <c r="D153" s="46">
        <v>-32800.101363768525</v>
      </c>
      <c r="E153" s="47">
        <v>61372.598137463443</v>
      </c>
      <c r="F153" t="str">
        <f t="shared" si="2"/>
        <v>Jun-2025</v>
      </c>
    </row>
    <row r="154" spans="1:6" x14ac:dyDescent="0.3">
      <c r="A154" s="48">
        <v>45810</v>
      </c>
      <c r="B154" s="20"/>
      <c r="C154" s="44">
        <v>12078.251269226661</v>
      </c>
      <c r="D154" s="44">
        <v>-35182.1833750273</v>
      </c>
      <c r="E154" s="45">
        <v>59338.685913480622</v>
      </c>
      <c r="F154" t="str">
        <f t="shared" si="2"/>
        <v>Jun-2025</v>
      </c>
    </row>
    <row r="155" spans="1:6" x14ac:dyDescent="0.3">
      <c r="A155" s="49">
        <v>45811</v>
      </c>
      <c r="B155" s="21"/>
      <c r="C155" s="46">
        <v>12558.020169276728</v>
      </c>
      <c r="D155" s="46">
        <v>-34876.189769657685</v>
      </c>
      <c r="E155" s="47">
        <v>59992.230108211144</v>
      </c>
      <c r="F155" t="str">
        <f t="shared" si="2"/>
        <v>Jun-2025</v>
      </c>
    </row>
    <row r="156" spans="1:6" x14ac:dyDescent="0.3">
      <c r="A156" s="48">
        <v>45812</v>
      </c>
      <c r="B156" s="20"/>
      <c r="C156" s="44">
        <v>13074.436917121198</v>
      </c>
      <c r="D156" s="44">
        <v>-34567.285745204121</v>
      </c>
      <c r="E156" s="45">
        <v>60716.15957944651</v>
      </c>
      <c r="F156" t="str">
        <f t="shared" si="2"/>
        <v>Jun-2025</v>
      </c>
    </row>
    <row r="157" spans="1:6" x14ac:dyDescent="0.3">
      <c r="A157" s="49">
        <v>45813</v>
      </c>
      <c r="B157" s="21"/>
      <c r="C157" s="46">
        <v>13494.72684251381</v>
      </c>
      <c r="D157" s="46">
        <v>-34320.039670844621</v>
      </c>
      <c r="E157" s="47">
        <v>61309.49335587224</v>
      </c>
      <c r="F157" t="str">
        <f t="shared" si="2"/>
        <v>Jun-2025</v>
      </c>
    </row>
    <row r="158" spans="1:6" x14ac:dyDescent="0.3">
      <c r="A158" s="48">
        <v>45814</v>
      </c>
      <c r="B158" s="20"/>
      <c r="C158" s="44">
        <v>13863.841473818762</v>
      </c>
      <c r="D158" s="44">
        <v>-34123.671319671164</v>
      </c>
      <c r="E158" s="45">
        <v>61851.354267308692</v>
      </c>
      <c r="F158" t="str">
        <f t="shared" si="2"/>
        <v>Jun-2025</v>
      </c>
    </row>
    <row r="159" spans="1:6" x14ac:dyDescent="0.3">
      <c r="A159" s="49">
        <v>45815</v>
      </c>
      <c r="B159" s="21"/>
      <c r="C159" s="46">
        <v>14330.63358215345</v>
      </c>
      <c r="D159" s="46">
        <v>-33829.331430817758</v>
      </c>
      <c r="E159" s="47">
        <v>62490.598595124662</v>
      </c>
      <c r="F159" t="str">
        <f t="shared" si="2"/>
        <v>Jun-2025</v>
      </c>
    </row>
    <row r="160" spans="1:6" x14ac:dyDescent="0.3">
      <c r="A160" s="48">
        <v>45816</v>
      </c>
      <c r="B160" s="20"/>
      <c r="C160" s="44">
        <v>14230.673824723046</v>
      </c>
      <c r="D160" s="44">
        <v>-34101.452801821077</v>
      </c>
      <c r="E160" s="45">
        <v>62562.800451267169</v>
      </c>
      <c r="F160" t="str">
        <f t="shared" si="2"/>
        <v>Jun-2025</v>
      </c>
    </row>
    <row r="161" spans="1:6" x14ac:dyDescent="0.3">
      <c r="A161" s="49">
        <v>45817</v>
      </c>
      <c r="B161" s="21"/>
      <c r="C161" s="46">
        <v>12022.676707102248</v>
      </c>
      <c r="D161" s="46">
        <v>-36481.324327533788</v>
      </c>
      <c r="E161" s="47">
        <v>60526.677741738284</v>
      </c>
      <c r="F161" t="str">
        <f t="shared" si="2"/>
        <v>Jun-2025</v>
      </c>
    </row>
    <row r="162" spans="1:6" x14ac:dyDescent="0.3">
      <c r="A162" s="48">
        <v>45818</v>
      </c>
      <c r="B162" s="20"/>
      <c r="C162" s="44">
        <v>12502.445607152315</v>
      </c>
      <c r="D162" s="44">
        <v>-36173.145977369815</v>
      </c>
      <c r="E162" s="45">
        <v>61178.037191674448</v>
      </c>
      <c r="F162" t="str">
        <f t="shared" si="2"/>
        <v>Jun-2025</v>
      </c>
    </row>
    <row r="163" spans="1:6" x14ac:dyDescent="0.3">
      <c r="A163" s="49">
        <v>45819</v>
      </c>
      <c r="B163" s="21"/>
      <c r="C163" s="46">
        <v>13018.862354996783</v>
      </c>
      <c r="D163" s="46">
        <v>-35861.429878842253</v>
      </c>
      <c r="E163" s="47">
        <v>61899.154588835816</v>
      </c>
      <c r="F163" t="str">
        <f t="shared" si="2"/>
        <v>Jun-2025</v>
      </c>
    </row>
    <row r="164" spans="1:6" x14ac:dyDescent="0.3">
      <c r="A164" s="48">
        <v>45820</v>
      </c>
      <c r="B164" s="20"/>
      <c r="C164" s="44">
        <v>13439.152280389397</v>
      </c>
      <c r="D164" s="44">
        <v>-35612.056194718658</v>
      </c>
      <c r="E164" s="45">
        <v>62490.360755497451</v>
      </c>
      <c r="F164" t="str">
        <f t="shared" si="2"/>
        <v>Jun-2025</v>
      </c>
    </row>
    <row r="165" spans="1:6" x14ac:dyDescent="0.3">
      <c r="A165" s="49">
        <v>45821</v>
      </c>
      <c r="B165" s="21"/>
      <c r="C165" s="46">
        <v>13808.266911694349</v>
      </c>
      <c r="D165" s="46">
        <v>-35413.584674036836</v>
      </c>
      <c r="E165" s="47">
        <v>63030.118497425537</v>
      </c>
      <c r="F165" t="str">
        <f t="shared" si="2"/>
        <v>Jun-2025</v>
      </c>
    </row>
    <row r="166" spans="1:6" x14ac:dyDescent="0.3">
      <c r="A166" s="48">
        <v>45822</v>
      </c>
      <c r="B166" s="20"/>
      <c r="C166" s="44">
        <v>14275.059020029037</v>
      </c>
      <c r="D166" s="44">
        <v>-35117.165677029996</v>
      </c>
      <c r="E166" s="45">
        <v>63667.283717088074</v>
      </c>
      <c r="F166" t="str">
        <f t="shared" si="2"/>
        <v>Jun-2025</v>
      </c>
    </row>
    <row r="167" spans="1:6" x14ac:dyDescent="0.3">
      <c r="A167" s="49">
        <v>45823</v>
      </c>
      <c r="B167" s="21"/>
      <c r="C167" s="46">
        <v>14175.099262598633</v>
      </c>
      <c r="D167" s="46">
        <v>-35387.231630339957</v>
      </c>
      <c r="E167" s="47">
        <v>63737.430155537222</v>
      </c>
      <c r="F167" t="str">
        <f t="shared" si="2"/>
        <v>Jun-2025</v>
      </c>
    </row>
    <row r="168" spans="1:6" x14ac:dyDescent="0.3">
      <c r="A168" s="48">
        <v>45824</v>
      </c>
      <c r="B168" s="20"/>
      <c r="C168" s="44">
        <v>11967.102144977835</v>
      </c>
      <c r="D168" s="44">
        <v>-37765.071065715529</v>
      </c>
      <c r="E168" s="45">
        <v>61699.275355671198</v>
      </c>
      <c r="F168" t="str">
        <f t="shared" si="2"/>
        <v>Jun-2025</v>
      </c>
    </row>
    <row r="169" spans="1:6" x14ac:dyDescent="0.3">
      <c r="A169" s="49">
        <v>45825</v>
      </c>
      <c r="B169" s="21"/>
      <c r="C169" s="46">
        <v>12446.8710450279</v>
      </c>
      <c r="D169" s="46">
        <v>-37454.883597049964</v>
      </c>
      <c r="E169" s="47">
        <v>62348.62568710577</v>
      </c>
      <c r="F169" t="str">
        <f t="shared" si="2"/>
        <v>Jun-2025</v>
      </c>
    </row>
    <row r="170" spans="1:6" x14ac:dyDescent="0.3">
      <c r="A170" s="48">
        <v>45826</v>
      </c>
      <c r="B170" s="20"/>
      <c r="C170" s="44">
        <v>12963.28779287237</v>
      </c>
      <c r="D170" s="44">
        <v>-37140.570447547696</v>
      </c>
      <c r="E170" s="45">
        <v>63067.146033292433</v>
      </c>
      <c r="F170" t="str">
        <f t="shared" si="2"/>
        <v>Jun-2025</v>
      </c>
    </row>
    <row r="171" spans="1:6" x14ac:dyDescent="0.3">
      <c r="A171" s="49">
        <v>45827</v>
      </c>
      <c r="B171" s="21"/>
      <c r="C171" s="46">
        <v>13383.577718264982</v>
      </c>
      <c r="D171" s="46">
        <v>-36889.238738399195</v>
      </c>
      <c r="E171" s="47">
        <v>63656.394174929163</v>
      </c>
      <c r="F171" t="str">
        <f t="shared" si="2"/>
        <v>Jun-2025</v>
      </c>
    </row>
    <row r="172" spans="1:6" x14ac:dyDescent="0.3">
      <c r="A172" s="48">
        <v>45828</v>
      </c>
      <c r="B172" s="20"/>
      <c r="C172" s="44">
        <v>13752.692349569934</v>
      </c>
      <c r="D172" s="44">
        <v>-36688.831049529748</v>
      </c>
      <c r="E172" s="45">
        <v>64194.215748669609</v>
      </c>
      <c r="F172" t="str">
        <f t="shared" si="2"/>
        <v>Jun-2025</v>
      </c>
    </row>
    <row r="173" spans="1:6" x14ac:dyDescent="0.3">
      <c r="A173" s="49">
        <v>45829</v>
      </c>
      <c r="B173" s="21"/>
      <c r="C173" s="46">
        <v>14219.484457904622</v>
      </c>
      <c r="D173" s="46">
        <v>-36390.497415902573</v>
      </c>
      <c r="E173" s="47">
        <v>64829.466331711825</v>
      </c>
      <c r="F173" t="str">
        <f t="shared" si="2"/>
        <v>Jun-2025</v>
      </c>
    </row>
    <row r="174" spans="1:6" x14ac:dyDescent="0.3">
      <c r="A174" s="48">
        <v>45830</v>
      </c>
      <c r="B174" s="20"/>
      <c r="C174" s="44">
        <v>14119.524700474218</v>
      </c>
      <c r="D174" s="44">
        <v>-36658.669945481066</v>
      </c>
      <c r="E174" s="45">
        <v>64897.719346429505</v>
      </c>
      <c r="F174" t="str">
        <f t="shared" si="2"/>
        <v>Jun-2025</v>
      </c>
    </row>
    <row r="175" spans="1:6" x14ac:dyDescent="0.3">
      <c r="A175" s="49">
        <v>45831</v>
      </c>
      <c r="B175" s="21"/>
      <c r="C175" s="46">
        <v>11911.527582853418</v>
      </c>
      <c r="D175" s="46">
        <v>-39034.63685775749</v>
      </c>
      <c r="E175" s="47">
        <v>62857.692023464333</v>
      </c>
      <c r="F175" t="str">
        <f t="shared" si="2"/>
        <v>Jun-2025</v>
      </c>
    </row>
    <row r="176" spans="1:6" x14ac:dyDescent="0.3">
      <c r="A176" s="48">
        <v>45832</v>
      </c>
      <c r="B176" s="20"/>
      <c r="C176" s="44">
        <v>12391.296482903485</v>
      </c>
      <c r="D176" s="44">
        <v>-38722.597460626079</v>
      </c>
      <c r="E176" s="45">
        <v>63505.190426433044</v>
      </c>
      <c r="F176" t="str">
        <f t="shared" si="2"/>
        <v>Jun-2025</v>
      </c>
    </row>
    <row r="177" spans="1:6" x14ac:dyDescent="0.3">
      <c r="A177" s="49">
        <v>45833</v>
      </c>
      <c r="B177" s="21"/>
      <c r="C177" s="46">
        <v>12907.713230747955</v>
      </c>
      <c r="D177" s="46">
        <v>-38405.879940461622</v>
      </c>
      <c r="E177" s="47">
        <v>64221.306401957532</v>
      </c>
      <c r="F177" t="str">
        <f t="shared" si="2"/>
        <v>Jun-2025</v>
      </c>
    </row>
    <row r="178" spans="1:6" x14ac:dyDescent="0.3">
      <c r="A178" s="48">
        <v>45834</v>
      </c>
      <c r="B178" s="20"/>
      <c r="C178" s="44">
        <v>13328.003156140567</v>
      </c>
      <c r="D178" s="44">
        <v>-38152.742199307148</v>
      </c>
      <c r="E178" s="45">
        <v>64808.748511588288</v>
      </c>
      <c r="F178" t="str">
        <f t="shared" si="2"/>
        <v>Jun-2025</v>
      </c>
    </row>
    <row r="179" spans="1:6" x14ac:dyDescent="0.3">
      <c r="A179" s="49">
        <v>45835</v>
      </c>
      <c r="B179" s="21"/>
      <c r="C179" s="46">
        <v>13697.117787445519</v>
      </c>
      <c r="D179" s="46">
        <v>-37950.548111049335</v>
      </c>
      <c r="E179" s="47">
        <v>65344.783685940369</v>
      </c>
      <c r="F179" t="str">
        <f t="shared" si="2"/>
        <v>Jun-2025</v>
      </c>
    </row>
    <row r="180" spans="1:6" x14ac:dyDescent="0.3">
      <c r="A180" s="48">
        <v>45836</v>
      </c>
      <c r="B180" s="20"/>
      <c r="C180" s="44">
        <v>14163.909895780207</v>
      </c>
      <c r="D180" s="44">
        <v>-37650.447429697197</v>
      </c>
      <c r="E180" s="45">
        <v>65978.267221257614</v>
      </c>
      <c r="F180" t="str">
        <f t="shared" si="2"/>
        <v>Jun-2025</v>
      </c>
    </row>
    <row r="181" spans="1:6" x14ac:dyDescent="0.3">
      <c r="A181" s="49">
        <v>45837</v>
      </c>
      <c r="B181" s="21"/>
      <c r="C181" s="46">
        <v>14063.950138349803</v>
      </c>
      <c r="D181" s="46">
        <v>-37916.871987729799</v>
      </c>
      <c r="E181" s="47">
        <v>66044.772264429412</v>
      </c>
      <c r="F181" t="str">
        <f t="shared" si="2"/>
        <v>Jun-2025</v>
      </c>
    </row>
    <row r="182" spans="1:6" x14ac:dyDescent="0.3">
      <c r="A182" s="48">
        <v>45838</v>
      </c>
      <c r="B182" s="20"/>
      <c r="C182" s="44">
        <v>11855.953020729004</v>
      </c>
      <c r="D182" s="44">
        <v>-40291.109734489815</v>
      </c>
      <c r="E182" s="45">
        <v>64003.015775947817</v>
      </c>
      <c r="F182" t="str">
        <f t="shared" si="2"/>
        <v>Jun-2025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17C51-57E0-462E-8E05-7230E7EF1F06}">
  <sheetPr>
    <tabColor theme="5" tint="0.79998168889431442"/>
  </sheetPr>
  <dimension ref="A3:B370"/>
  <sheetViews>
    <sheetView workbookViewId="0">
      <selection activeCell="A4" sqref="A3:B369"/>
    </sheetView>
  </sheetViews>
  <sheetFormatPr defaultRowHeight="14.4" x14ac:dyDescent="0.3"/>
  <cols>
    <col min="1" max="1" width="12.44140625" bestFit="1" customWidth="1"/>
    <col min="2" max="2" width="19.33203125" bestFit="1" customWidth="1"/>
  </cols>
  <sheetData>
    <row r="3" spans="1:2" x14ac:dyDescent="0.3">
      <c r="A3" s="10" t="s">
        <v>18</v>
      </c>
      <c r="B3" t="s">
        <v>41</v>
      </c>
    </row>
    <row r="4" spans="1:2" x14ac:dyDescent="0.3">
      <c r="A4" s="43">
        <v>45292</v>
      </c>
      <c r="B4" s="42">
        <v>20136</v>
      </c>
    </row>
    <row r="5" spans="1:2" x14ac:dyDescent="0.3">
      <c r="A5" s="43">
        <v>45293</v>
      </c>
      <c r="B5" s="42">
        <v>15329</v>
      </c>
    </row>
    <row r="6" spans="1:2" x14ac:dyDescent="0.3">
      <c r="A6" s="43">
        <v>45294</v>
      </c>
      <c r="B6" s="42">
        <v>15820</v>
      </c>
    </row>
    <row r="7" spans="1:2" x14ac:dyDescent="0.3">
      <c r="A7" s="43">
        <v>45295</v>
      </c>
      <c r="B7" s="42">
        <v>16531</v>
      </c>
    </row>
    <row r="8" spans="1:2" x14ac:dyDescent="0.3">
      <c r="A8" s="43">
        <v>45296</v>
      </c>
      <c r="B8" s="42">
        <v>16624</v>
      </c>
    </row>
    <row r="9" spans="1:2" x14ac:dyDescent="0.3">
      <c r="A9" s="43">
        <v>45297</v>
      </c>
      <c r="B9" s="42">
        <v>18738</v>
      </c>
    </row>
    <row r="10" spans="1:2" x14ac:dyDescent="0.3">
      <c r="A10" s="43">
        <v>45298</v>
      </c>
      <c r="B10" s="42">
        <v>17245</v>
      </c>
    </row>
    <row r="11" spans="1:2" x14ac:dyDescent="0.3">
      <c r="A11" s="43">
        <v>45299</v>
      </c>
      <c r="B11" s="42">
        <v>14780</v>
      </c>
    </row>
    <row r="12" spans="1:2" x14ac:dyDescent="0.3">
      <c r="A12" s="43">
        <v>45300</v>
      </c>
      <c r="B12" s="42">
        <v>12844</v>
      </c>
    </row>
    <row r="13" spans="1:2" x14ac:dyDescent="0.3">
      <c r="A13" s="43">
        <v>45301</v>
      </c>
      <c r="B13" s="42">
        <v>13278</v>
      </c>
    </row>
    <row r="14" spans="1:2" x14ac:dyDescent="0.3">
      <c r="A14" s="43">
        <v>45302</v>
      </c>
      <c r="B14" s="42">
        <v>15659</v>
      </c>
    </row>
    <row r="15" spans="1:2" x14ac:dyDescent="0.3">
      <c r="A15" s="43">
        <v>45303</v>
      </c>
      <c r="B15" s="42">
        <v>16362</v>
      </c>
    </row>
    <row r="16" spans="1:2" x14ac:dyDescent="0.3">
      <c r="A16" s="43">
        <v>45304</v>
      </c>
      <c r="B16" s="42">
        <v>18430</v>
      </c>
    </row>
    <row r="17" spans="1:2" x14ac:dyDescent="0.3">
      <c r="A17" s="43">
        <v>45305</v>
      </c>
      <c r="B17" s="42">
        <v>17657</v>
      </c>
    </row>
    <row r="18" spans="1:2" x14ac:dyDescent="0.3">
      <c r="A18" s="43">
        <v>45306</v>
      </c>
      <c r="B18" s="42">
        <v>16325</v>
      </c>
    </row>
    <row r="19" spans="1:2" x14ac:dyDescent="0.3">
      <c r="A19" s="43">
        <v>45307</v>
      </c>
      <c r="B19" s="42">
        <v>15025</v>
      </c>
    </row>
    <row r="20" spans="1:2" x14ac:dyDescent="0.3">
      <c r="A20" s="43">
        <v>45308</v>
      </c>
      <c r="B20" s="42">
        <v>15982</v>
      </c>
    </row>
    <row r="21" spans="1:2" x14ac:dyDescent="0.3">
      <c r="A21" s="43">
        <v>45309</v>
      </c>
      <c r="B21" s="42">
        <v>16312</v>
      </c>
    </row>
    <row r="22" spans="1:2" x14ac:dyDescent="0.3">
      <c r="A22" s="43">
        <v>45310</v>
      </c>
      <c r="B22" s="42">
        <v>16713</v>
      </c>
    </row>
    <row r="23" spans="1:2" x14ac:dyDescent="0.3">
      <c r="A23" s="43">
        <v>45311</v>
      </c>
      <c r="B23" s="42">
        <v>18457</v>
      </c>
    </row>
    <row r="24" spans="1:2" x14ac:dyDescent="0.3">
      <c r="A24" s="43">
        <v>45312</v>
      </c>
      <c r="B24" s="42">
        <v>15916</v>
      </c>
    </row>
    <row r="25" spans="1:2" x14ac:dyDescent="0.3">
      <c r="A25" s="43">
        <v>45313</v>
      </c>
      <c r="B25" s="42">
        <v>13783</v>
      </c>
    </row>
    <row r="26" spans="1:2" x14ac:dyDescent="0.3">
      <c r="A26" s="43">
        <v>45314</v>
      </c>
      <c r="B26" s="42">
        <v>14095</v>
      </c>
    </row>
    <row r="27" spans="1:2" x14ac:dyDescent="0.3">
      <c r="A27" s="43">
        <v>45315</v>
      </c>
      <c r="B27" s="42">
        <v>15582</v>
      </c>
    </row>
    <row r="28" spans="1:2" x14ac:dyDescent="0.3">
      <c r="A28" s="43">
        <v>45316</v>
      </c>
      <c r="B28" s="42">
        <v>16417</v>
      </c>
    </row>
    <row r="29" spans="1:2" x14ac:dyDescent="0.3">
      <c r="A29" s="43">
        <v>45317</v>
      </c>
      <c r="B29" s="42">
        <v>18812</v>
      </c>
    </row>
    <row r="30" spans="1:2" x14ac:dyDescent="0.3">
      <c r="A30" s="43">
        <v>45318</v>
      </c>
      <c r="B30" s="42">
        <v>18622</v>
      </c>
    </row>
    <row r="31" spans="1:2" x14ac:dyDescent="0.3">
      <c r="A31" s="43">
        <v>45319</v>
      </c>
      <c r="B31" s="42">
        <v>17893</v>
      </c>
    </row>
    <row r="32" spans="1:2" x14ac:dyDescent="0.3">
      <c r="A32" s="43">
        <v>45320</v>
      </c>
      <c r="B32" s="42">
        <v>15986</v>
      </c>
    </row>
    <row r="33" spans="1:2" x14ac:dyDescent="0.3">
      <c r="A33" s="43">
        <v>45321</v>
      </c>
      <c r="B33" s="42">
        <v>16386</v>
      </c>
    </row>
    <row r="34" spans="1:2" x14ac:dyDescent="0.3">
      <c r="A34" s="43">
        <v>45322</v>
      </c>
      <c r="B34" s="42">
        <v>18030</v>
      </c>
    </row>
    <row r="35" spans="1:2" x14ac:dyDescent="0.3">
      <c r="A35" s="43">
        <v>45323</v>
      </c>
      <c r="B35" s="42">
        <v>20282</v>
      </c>
    </row>
    <row r="36" spans="1:2" x14ac:dyDescent="0.3">
      <c r="A36" s="43">
        <v>45324</v>
      </c>
      <c r="B36" s="42">
        <v>21414</v>
      </c>
    </row>
    <row r="37" spans="1:2" x14ac:dyDescent="0.3">
      <c r="A37" s="43">
        <v>45325</v>
      </c>
      <c r="B37" s="42">
        <v>10068</v>
      </c>
    </row>
    <row r="38" spans="1:2" x14ac:dyDescent="0.3">
      <c r="A38" s="43">
        <v>45326</v>
      </c>
      <c r="B38" s="42">
        <v>9513</v>
      </c>
    </row>
    <row r="39" spans="1:2" x14ac:dyDescent="0.3">
      <c r="A39" s="43">
        <v>45327</v>
      </c>
      <c r="B39" s="42">
        <v>12399</v>
      </c>
    </row>
    <row r="40" spans="1:2" x14ac:dyDescent="0.3">
      <c r="A40" s="43">
        <v>45328</v>
      </c>
      <c r="B40" s="42">
        <v>12024</v>
      </c>
    </row>
    <row r="41" spans="1:2" x14ac:dyDescent="0.3">
      <c r="A41" s="43">
        <v>45329</v>
      </c>
      <c r="B41" s="42">
        <v>12433</v>
      </c>
    </row>
    <row r="42" spans="1:2" x14ac:dyDescent="0.3">
      <c r="A42" s="43">
        <v>45330</v>
      </c>
      <c r="B42" s="42">
        <v>12810</v>
      </c>
    </row>
    <row r="43" spans="1:2" x14ac:dyDescent="0.3">
      <c r="A43" s="43">
        <v>45331</v>
      </c>
      <c r="B43" s="42">
        <v>13027</v>
      </c>
    </row>
    <row r="44" spans="1:2" x14ac:dyDescent="0.3">
      <c r="A44" s="43">
        <v>45332</v>
      </c>
      <c r="B44" s="42">
        <v>15956</v>
      </c>
    </row>
    <row r="45" spans="1:2" x14ac:dyDescent="0.3">
      <c r="A45" s="43">
        <v>45333</v>
      </c>
      <c r="B45" s="42">
        <v>18376</v>
      </c>
    </row>
    <row r="46" spans="1:2" x14ac:dyDescent="0.3">
      <c r="A46" s="43">
        <v>45334</v>
      </c>
      <c r="B46" s="42">
        <v>15690</v>
      </c>
    </row>
    <row r="47" spans="1:2" x14ac:dyDescent="0.3">
      <c r="A47" s="43">
        <v>45335</v>
      </c>
      <c r="B47" s="42">
        <v>16133</v>
      </c>
    </row>
    <row r="48" spans="1:2" x14ac:dyDescent="0.3">
      <c r="A48" s="43">
        <v>45336</v>
      </c>
      <c r="B48" s="42">
        <v>24899</v>
      </c>
    </row>
    <row r="49" spans="1:2" x14ac:dyDescent="0.3">
      <c r="A49" s="43">
        <v>45337</v>
      </c>
      <c r="B49" s="42">
        <v>20621</v>
      </c>
    </row>
    <row r="50" spans="1:2" x14ac:dyDescent="0.3">
      <c r="A50" s="43">
        <v>45338</v>
      </c>
      <c r="B50" s="42">
        <v>22597</v>
      </c>
    </row>
    <row r="51" spans="1:2" x14ac:dyDescent="0.3">
      <c r="A51" s="43">
        <v>45339</v>
      </c>
      <c r="B51" s="42">
        <v>21590</v>
      </c>
    </row>
    <row r="52" spans="1:2" x14ac:dyDescent="0.3">
      <c r="A52" s="43">
        <v>45340</v>
      </c>
      <c r="B52" s="42">
        <v>18501</v>
      </c>
    </row>
    <row r="53" spans="1:2" x14ac:dyDescent="0.3">
      <c r="A53" s="43">
        <v>45341</v>
      </c>
      <c r="B53" s="42">
        <v>18335</v>
      </c>
    </row>
    <row r="54" spans="1:2" x14ac:dyDescent="0.3">
      <c r="A54" s="43">
        <v>45342</v>
      </c>
      <c r="B54" s="42">
        <v>14867</v>
      </c>
    </row>
    <row r="55" spans="1:2" x14ac:dyDescent="0.3">
      <c r="A55" s="43">
        <v>45343</v>
      </c>
      <c r="B55" s="42">
        <v>18593</v>
      </c>
    </row>
    <row r="56" spans="1:2" x14ac:dyDescent="0.3">
      <c r="A56" s="43">
        <v>45344</v>
      </c>
      <c r="B56" s="42">
        <v>19295</v>
      </c>
    </row>
    <row r="57" spans="1:2" x14ac:dyDescent="0.3">
      <c r="A57" s="43">
        <v>45345</v>
      </c>
      <c r="B57" s="42">
        <v>22591</v>
      </c>
    </row>
    <row r="58" spans="1:2" x14ac:dyDescent="0.3">
      <c r="A58" s="43">
        <v>45346</v>
      </c>
      <c r="B58" s="42">
        <v>17542</v>
      </c>
    </row>
    <row r="59" spans="1:2" x14ac:dyDescent="0.3">
      <c r="A59" s="43">
        <v>45347</v>
      </c>
      <c r="B59" s="42">
        <v>16499</v>
      </c>
    </row>
    <row r="60" spans="1:2" x14ac:dyDescent="0.3">
      <c r="A60" s="43">
        <v>45348</v>
      </c>
      <c r="B60" s="42">
        <v>18844</v>
      </c>
    </row>
    <row r="61" spans="1:2" x14ac:dyDescent="0.3">
      <c r="A61" s="43">
        <v>45349</v>
      </c>
      <c r="B61" s="42">
        <v>14771</v>
      </c>
    </row>
    <row r="62" spans="1:2" x14ac:dyDescent="0.3">
      <c r="A62" s="43">
        <v>45350</v>
      </c>
      <c r="B62" s="42">
        <v>15712</v>
      </c>
    </row>
    <row r="63" spans="1:2" x14ac:dyDescent="0.3">
      <c r="A63" s="43">
        <v>45351</v>
      </c>
      <c r="B63" s="42">
        <v>18229</v>
      </c>
    </row>
    <row r="64" spans="1:2" x14ac:dyDescent="0.3">
      <c r="A64" s="43">
        <v>45352</v>
      </c>
      <c r="B64" s="42">
        <v>18637</v>
      </c>
    </row>
    <row r="65" spans="1:2" x14ac:dyDescent="0.3">
      <c r="A65" s="43">
        <v>45353</v>
      </c>
      <c r="B65" s="42">
        <v>18471</v>
      </c>
    </row>
    <row r="66" spans="1:2" x14ac:dyDescent="0.3">
      <c r="A66" s="43">
        <v>45354</v>
      </c>
      <c r="B66" s="42">
        <v>17875</v>
      </c>
    </row>
    <row r="67" spans="1:2" x14ac:dyDescent="0.3">
      <c r="A67" s="43">
        <v>45355</v>
      </c>
      <c r="B67" s="42">
        <v>17819</v>
      </c>
    </row>
    <row r="68" spans="1:2" x14ac:dyDescent="0.3">
      <c r="A68" s="43">
        <v>45356</v>
      </c>
      <c r="B68" s="42">
        <v>16940</v>
      </c>
    </row>
    <row r="69" spans="1:2" x14ac:dyDescent="0.3">
      <c r="A69" s="43">
        <v>45357</v>
      </c>
      <c r="B69" s="42">
        <v>15235</v>
      </c>
    </row>
    <row r="70" spans="1:2" x14ac:dyDescent="0.3">
      <c r="A70" s="43">
        <v>45358</v>
      </c>
      <c r="B70" s="42">
        <v>17196</v>
      </c>
    </row>
    <row r="71" spans="1:2" x14ac:dyDescent="0.3">
      <c r="A71" s="43">
        <v>45359</v>
      </c>
      <c r="B71" s="42">
        <v>16030</v>
      </c>
    </row>
    <row r="72" spans="1:2" x14ac:dyDescent="0.3">
      <c r="A72" s="43">
        <v>45360</v>
      </c>
      <c r="B72" s="42">
        <v>18078</v>
      </c>
    </row>
    <row r="73" spans="1:2" x14ac:dyDescent="0.3">
      <c r="A73" s="43">
        <v>45361</v>
      </c>
      <c r="B73" s="42">
        <v>18033</v>
      </c>
    </row>
    <row r="74" spans="1:2" x14ac:dyDescent="0.3">
      <c r="A74" s="43">
        <v>45362</v>
      </c>
      <c r="B74" s="42">
        <v>19387</v>
      </c>
    </row>
    <row r="75" spans="1:2" x14ac:dyDescent="0.3">
      <c r="A75" s="43">
        <v>45363</v>
      </c>
      <c r="B75" s="42">
        <v>13060</v>
      </c>
    </row>
    <row r="76" spans="1:2" x14ac:dyDescent="0.3">
      <c r="A76" s="43">
        <v>45364</v>
      </c>
      <c r="B76" s="42">
        <v>12636</v>
      </c>
    </row>
    <row r="77" spans="1:2" x14ac:dyDescent="0.3">
      <c r="A77" s="43">
        <v>45365</v>
      </c>
      <c r="B77" s="42">
        <v>13948</v>
      </c>
    </row>
    <row r="78" spans="1:2" x14ac:dyDescent="0.3">
      <c r="A78" s="43">
        <v>45366</v>
      </c>
      <c r="B78" s="42">
        <v>13004</v>
      </c>
    </row>
    <row r="79" spans="1:2" x14ac:dyDescent="0.3">
      <c r="A79" s="43">
        <v>45367</v>
      </c>
      <c r="B79" s="42">
        <v>13412</v>
      </c>
    </row>
    <row r="80" spans="1:2" x14ac:dyDescent="0.3">
      <c r="A80" s="43">
        <v>45368</v>
      </c>
      <c r="B80" s="42">
        <v>14826</v>
      </c>
    </row>
    <row r="81" spans="1:2" x14ac:dyDescent="0.3">
      <c r="A81" s="43">
        <v>45369</v>
      </c>
      <c r="B81" s="42">
        <v>15718</v>
      </c>
    </row>
    <row r="82" spans="1:2" x14ac:dyDescent="0.3">
      <c r="A82" s="43">
        <v>45370</v>
      </c>
      <c r="B82" s="42">
        <v>9688</v>
      </c>
    </row>
    <row r="83" spans="1:2" x14ac:dyDescent="0.3">
      <c r="A83" s="43">
        <v>45371</v>
      </c>
      <c r="B83" s="42">
        <v>8824</v>
      </c>
    </row>
    <row r="84" spans="1:2" x14ac:dyDescent="0.3">
      <c r="A84" s="43">
        <v>45372</v>
      </c>
      <c r="B84" s="42">
        <v>8941</v>
      </c>
    </row>
    <row r="85" spans="1:2" x14ac:dyDescent="0.3">
      <c r="A85" s="43">
        <v>45373</v>
      </c>
      <c r="B85" s="42">
        <v>11563</v>
      </c>
    </row>
    <row r="86" spans="1:2" x14ac:dyDescent="0.3">
      <c r="A86" s="43">
        <v>45374</v>
      </c>
      <c r="B86" s="42">
        <v>10395</v>
      </c>
    </row>
    <row r="87" spans="1:2" x14ac:dyDescent="0.3">
      <c r="A87" s="43">
        <v>45375</v>
      </c>
      <c r="B87" s="42">
        <v>9693</v>
      </c>
    </row>
    <row r="88" spans="1:2" x14ac:dyDescent="0.3">
      <c r="A88" s="43">
        <v>45376</v>
      </c>
      <c r="B88" s="42">
        <v>8101</v>
      </c>
    </row>
    <row r="89" spans="1:2" x14ac:dyDescent="0.3">
      <c r="A89" s="43">
        <v>45377</v>
      </c>
      <c r="B89" s="42">
        <v>7219</v>
      </c>
    </row>
    <row r="90" spans="1:2" x14ac:dyDescent="0.3">
      <c r="A90" s="43">
        <v>45378</v>
      </c>
      <c r="B90" s="42">
        <v>7609</v>
      </c>
    </row>
    <row r="91" spans="1:2" x14ac:dyDescent="0.3">
      <c r="A91" s="43">
        <v>45379</v>
      </c>
      <c r="B91" s="42">
        <v>8084</v>
      </c>
    </row>
    <row r="92" spans="1:2" x14ac:dyDescent="0.3">
      <c r="A92" s="43">
        <v>45380</v>
      </c>
      <c r="B92" s="42">
        <v>9683</v>
      </c>
    </row>
    <row r="93" spans="1:2" x14ac:dyDescent="0.3">
      <c r="A93" s="43">
        <v>45381</v>
      </c>
      <c r="B93" s="42">
        <v>10608</v>
      </c>
    </row>
    <row r="94" spans="1:2" x14ac:dyDescent="0.3">
      <c r="A94" s="43">
        <v>45382</v>
      </c>
      <c r="B94" s="42">
        <v>10573</v>
      </c>
    </row>
    <row r="95" spans="1:2" x14ac:dyDescent="0.3">
      <c r="A95" s="43">
        <v>45383</v>
      </c>
      <c r="B95" s="42">
        <v>8898</v>
      </c>
    </row>
    <row r="96" spans="1:2" x14ac:dyDescent="0.3">
      <c r="A96" s="43">
        <v>45384</v>
      </c>
      <c r="B96" s="42">
        <v>9010</v>
      </c>
    </row>
    <row r="97" spans="1:2" x14ac:dyDescent="0.3">
      <c r="A97" s="43">
        <v>45385</v>
      </c>
      <c r="B97" s="42">
        <v>9113</v>
      </c>
    </row>
    <row r="98" spans="1:2" x14ac:dyDescent="0.3">
      <c r="A98" s="43">
        <v>45386</v>
      </c>
      <c r="B98" s="42">
        <v>9474</v>
      </c>
    </row>
    <row r="99" spans="1:2" x14ac:dyDescent="0.3">
      <c r="A99" s="43">
        <v>45387</v>
      </c>
      <c r="B99" s="42">
        <v>10165</v>
      </c>
    </row>
    <row r="100" spans="1:2" x14ac:dyDescent="0.3">
      <c r="A100" s="43">
        <v>45388</v>
      </c>
      <c r="B100" s="42">
        <v>8818</v>
      </c>
    </row>
    <row r="101" spans="1:2" x14ac:dyDescent="0.3">
      <c r="A101" s="43">
        <v>45389</v>
      </c>
      <c r="B101" s="42">
        <v>9486</v>
      </c>
    </row>
    <row r="102" spans="1:2" x14ac:dyDescent="0.3">
      <c r="A102" s="43">
        <v>45390</v>
      </c>
      <c r="B102" s="42">
        <v>8276</v>
      </c>
    </row>
    <row r="103" spans="1:2" x14ac:dyDescent="0.3">
      <c r="A103" s="43">
        <v>45391</v>
      </c>
      <c r="B103" s="42">
        <v>7244</v>
      </c>
    </row>
    <row r="104" spans="1:2" x14ac:dyDescent="0.3">
      <c r="A104" s="43">
        <v>45392</v>
      </c>
      <c r="B104" s="42">
        <v>8289</v>
      </c>
    </row>
    <row r="105" spans="1:2" x14ac:dyDescent="0.3">
      <c r="A105" s="43">
        <v>45393</v>
      </c>
      <c r="B105" s="42">
        <v>8018</v>
      </c>
    </row>
    <row r="106" spans="1:2" x14ac:dyDescent="0.3">
      <c r="A106" s="43">
        <v>45394</v>
      </c>
      <c r="B106" s="42">
        <v>7837</v>
      </c>
    </row>
    <row r="107" spans="1:2" x14ac:dyDescent="0.3">
      <c r="A107" s="43">
        <v>45395</v>
      </c>
      <c r="B107" s="42">
        <v>8133</v>
      </c>
    </row>
    <row r="108" spans="1:2" x14ac:dyDescent="0.3">
      <c r="A108" s="43">
        <v>45396</v>
      </c>
      <c r="B108" s="42">
        <v>7765</v>
      </c>
    </row>
    <row r="109" spans="1:2" x14ac:dyDescent="0.3">
      <c r="A109" s="43">
        <v>45397</v>
      </c>
      <c r="B109" s="42">
        <v>8648</v>
      </c>
    </row>
    <row r="110" spans="1:2" x14ac:dyDescent="0.3">
      <c r="A110" s="43">
        <v>45398</v>
      </c>
      <c r="B110" s="42">
        <v>8783</v>
      </c>
    </row>
    <row r="111" spans="1:2" x14ac:dyDescent="0.3">
      <c r="A111" s="43">
        <v>45399</v>
      </c>
      <c r="B111" s="42">
        <v>8957</v>
      </c>
    </row>
    <row r="112" spans="1:2" x14ac:dyDescent="0.3">
      <c r="A112" s="43">
        <v>45400</v>
      </c>
      <c r="B112" s="42">
        <v>7662</v>
      </c>
    </row>
    <row r="113" spans="1:2" x14ac:dyDescent="0.3">
      <c r="A113" s="43">
        <v>45401</v>
      </c>
      <c r="B113" s="42">
        <v>7932</v>
      </c>
    </row>
    <row r="114" spans="1:2" x14ac:dyDescent="0.3">
      <c r="A114" s="43">
        <v>45402</v>
      </c>
      <c r="B114" s="42">
        <v>9613</v>
      </c>
    </row>
    <row r="115" spans="1:2" x14ac:dyDescent="0.3">
      <c r="A115" s="43">
        <v>45403</v>
      </c>
      <c r="B115" s="42">
        <v>9114</v>
      </c>
    </row>
    <row r="116" spans="1:2" x14ac:dyDescent="0.3">
      <c r="A116" s="43">
        <v>45404</v>
      </c>
      <c r="B116" s="42">
        <v>8920</v>
      </c>
    </row>
    <row r="117" spans="1:2" x14ac:dyDescent="0.3">
      <c r="A117" s="43">
        <v>45405</v>
      </c>
      <c r="B117" s="42">
        <v>7953</v>
      </c>
    </row>
    <row r="118" spans="1:2" x14ac:dyDescent="0.3">
      <c r="A118" s="43">
        <v>45406</v>
      </c>
      <c r="B118" s="42">
        <v>8356</v>
      </c>
    </row>
    <row r="119" spans="1:2" x14ac:dyDescent="0.3">
      <c r="A119" s="43">
        <v>45407</v>
      </c>
      <c r="B119" s="42">
        <v>9290</v>
      </c>
    </row>
    <row r="120" spans="1:2" x14ac:dyDescent="0.3">
      <c r="A120" s="43">
        <v>45408</v>
      </c>
      <c r="B120" s="42">
        <v>14154</v>
      </c>
    </row>
    <row r="121" spans="1:2" x14ac:dyDescent="0.3">
      <c r="A121" s="43">
        <v>45409</v>
      </c>
      <c r="B121" s="42">
        <v>15155</v>
      </c>
    </row>
    <row r="122" spans="1:2" x14ac:dyDescent="0.3">
      <c r="A122" s="43">
        <v>45410</v>
      </c>
      <c r="B122" s="42">
        <v>12348</v>
      </c>
    </row>
    <row r="123" spans="1:2" x14ac:dyDescent="0.3">
      <c r="A123" s="43">
        <v>45411</v>
      </c>
      <c r="B123" s="42">
        <v>9595</v>
      </c>
    </row>
    <row r="124" spans="1:2" x14ac:dyDescent="0.3">
      <c r="A124" s="43">
        <v>45412</v>
      </c>
      <c r="B124" s="42">
        <v>8285</v>
      </c>
    </row>
    <row r="125" spans="1:2" x14ac:dyDescent="0.3">
      <c r="A125" s="43">
        <v>45413</v>
      </c>
      <c r="B125" s="42">
        <v>8827</v>
      </c>
    </row>
    <row r="126" spans="1:2" x14ac:dyDescent="0.3">
      <c r="A126" s="43">
        <v>45414</v>
      </c>
      <c r="B126" s="42">
        <v>11536</v>
      </c>
    </row>
    <row r="127" spans="1:2" x14ac:dyDescent="0.3">
      <c r="A127" s="43">
        <v>45415</v>
      </c>
      <c r="B127" s="42">
        <v>12438</v>
      </c>
    </row>
    <row r="128" spans="1:2" x14ac:dyDescent="0.3">
      <c r="A128" s="43">
        <v>45416</v>
      </c>
      <c r="B128" s="42">
        <v>12580</v>
      </c>
    </row>
    <row r="129" spans="1:2" x14ac:dyDescent="0.3">
      <c r="A129" s="43">
        <v>45417</v>
      </c>
      <c r="B129" s="42">
        <v>16607</v>
      </c>
    </row>
    <row r="130" spans="1:2" x14ac:dyDescent="0.3">
      <c r="A130" s="43">
        <v>45418</v>
      </c>
      <c r="B130" s="42">
        <v>14116</v>
      </c>
    </row>
    <row r="131" spans="1:2" x14ac:dyDescent="0.3">
      <c r="A131" s="43">
        <v>45419</v>
      </c>
      <c r="B131" s="42">
        <v>9695</v>
      </c>
    </row>
    <row r="132" spans="1:2" x14ac:dyDescent="0.3">
      <c r="A132" s="43">
        <v>45420</v>
      </c>
      <c r="B132" s="42">
        <v>8865</v>
      </c>
    </row>
    <row r="133" spans="1:2" x14ac:dyDescent="0.3">
      <c r="A133" s="43">
        <v>45421</v>
      </c>
      <c r="B133" s="42">
        <v>11377</v>
      </c>
    </row>
    <row r="134" spans="1:2" x14ac:dyDescent="0.3">
      <c r="A134" s="43">
        <v>45422</v>
      </c>
      <c r="B134" s="42">
        <v>12672</v>
      </c>
    </row>
    <row r="135" spans="1:2" x14ac:dyDescent="0.3">
      <c r="A135" s="43">
        <v>45423</v>
      </c>
      <c r="B135" s="42">
        <v>10873</v>
      </c>
    </row>
    <row r="136" spans="1:2" x14ac:dyDescent="0.3">
      <c r="A136" s="43">
        <v>45424</v>
      </c>
      <c r="B136" s="42">
        <v>13601</v>
      </c>
    </row>
    <row r="137" spans="1:2" x14ac:dyDescent="0.3">
      <c r="A137" s="43">
        <v>45425</v>
      </c>
      <c r="B137" s="42">
        <v>10545</v>
      </c>
    </row>
    <row r="138" spans="1:2" x14ac:dyDescent="0.3">
      <c r="A138" s="43">
        <v>45426</v>
      </c>
      <c r="B138" s="42">
        <v>8967</v>
      </c>
    </row>
    <row r="139" spans="1:2" x14ac:dyDescent="0.3">
      <c r="A139" s="43">
        <v>45427</v>
      </c>
      <c r="B139" s="42">
        <v>7862</v>
      </c>
    </row>
    <row r="140" spans="1:2" x14ac:dyDescent="0.3">
      <c r="A140" s="43">
        <v>45428</v>
      </c>
      <c r="B140" s="42">
        <v>9137</v>
      </c>
    </row>
    <row r="141" spans="1:2" x14ac:dyDescent="0.3">
      <c r="A141" s="43">
        <v>45429</v>
      </c>
      <c r="B141" s="42">
        <v>11676</v>
      </c>
    </row>
    <row r="142" spans="1:2" x14ac:dyDescent="0.3">
      <c r="A142" s="43">
        <v>45430</v>
      </c>
      <c r="B142" s="42">
        <v>9346</v>
      </c>
    </row>
    <row r="143" spans="1:2" x14ac:dyDescent="0.3">
      <c r="A143" s="43">
        <v>45431</v>
      </c>
      <c r="B143" s="42">
        <v>9395</v>
      </c>
    </row>
    <row r="144" spans="1:2" x14ac:dyDescent="0.3">
      <c r="A144" s="43">
        <v>45432</v>
      </c>
      <c r="B144" s="42">
        <v>8968</v>
      </c>
    </row>
    <row r="145" spans="1:2" x14ac:dyDescent="0.3">
      <c r="A145" s="43">
        <v>45433</v>
      </c>
      <c r="B145" s="42">
        <v>7246</v>
      </c>
    </row>
    <row r="146" spans="1:2" x14ac:dyDescent="0.3">
      <c r="A146" s="43">
        <v>45434</v>
      </c>
      <c r="B146" s="42">
        <v>6171</v>
      </c>
    </row>
    <row r="147" spans="1:2" x14ac:dyDescent="0.3">
      <c r="A147" s="43">
        <v>45435</v>
      </c>
      <c r="B147" s="42">
        <v>8449</v>
      </c>
    </row>
    <row r="148" spans="1:2" x14ac:dyDescent="0.3">
      <c r="A148" s="43">
        <v>45436</v>
      </c>
      <c r="B148" s="42">
        <v>10175</v>
      </c>
    </row>
    <row r="149" spans="1:2" x14ac:dyDescent="0.3">
      <c r="A149" s="43">
        <v>45437</v>
      </c>
      <c r="B149" s="42">
        <v>10561</v>
      </c>
    </row>
    <row r="150" spans="1:2" x14ac:dyDescent="0.3">
      <c r="A150" s="43">
        <v>45438</v>
      </c>
      <c r="B150" s="42">
        <v>8719</v>
      </c>
    </row>
    <row r="151" spans="1:2" x14ac:dyDescent="0.3">
      <c r="A151" s="43">
        <v>45439</v>
      </c>
      <c r="B151" s="42">
        <v>10574</v>
      </c>
    </row>
    <row r="152" spans="1:2" x14ac:dyDescent="0.3">
      <c r="A152" s="43">
        <v>45440</v>
      </c>
      <c r="B152" s="42">
        <v>8785</v>
      </c>
    </row>
    <row r="153" spans="1:2" x14ac:dyDescent="0.3">
      <c r="A153" s="43">
        <v>45441</v>
      </c>
      <c r="B153" s="42">
        <v>7599</v>
      </c>
    </row>
    <row r="154" spans="1:2" x14ac:dyDescent="0.3">
      <c r="A154" s="43">
        <v>45442</v>
      </c>
      <c r="B154" s="42">
        <v>8408</v>
      </c>
    </row>
    <row r="155" spans="1:2" x14ac:dyDescent="0.3">
      <c r="A155" s="43">
        <v>45443</v>
      </c>
      <c r="B155" s="42">
        <v>8311</v>
      </c>
    </row>
    <row r="156" spans="1:2" x14ac:dyDescent="0.3">
      <c r="A156" s="43">
        <v>45444</v>
      </c>
      <c r="B156" s="42">
        <v>9567</v>
      </c>
    </row>
    <row r="157" spans="1:2" x14ac:dyDescent="0.3">
      <c r="A157" s="43">
        <v>45445</v>
      </c>
      <c r="B157" s="42">
        <v>12442</v>
      </c>
    </row>
    <row r="158" spans="1:2" x14ac:dyDescent="0.3">
      <c r="A158" s="43">
        <v>45446</v>
      </c>
      <c r="B158" s="42">
        <v>11811</v>
      </c>
    </row>
    <row r="159" spans="1:2" x14ac:dyDescent="0.3">
      <c r="A159" s="43">
        <v>45447</v>
      </c>
      <c r="B159" s="42">
        <v>11242</v>
      </c>
    </row>
    <row r="160" spans="1:2" x14ac:dyDescent="0.3">
      <c r="A160" s="43">
        <v>45448</v>
      </c>
      <c r="B160" s="42">
        <v>11757</v>
      </c>
    </row>
    <row r="161" spans="1:2" x14ac:dyDescent="0.3">
      <c r="A161" s="43">
        <v>45449</v>
      </c>
      <c r="B161" s="42">
        <v>11991</v>
      </c>
    </row>
    <row r="162" spans="1:2" x14ac:dyDescent="0.3">
      <c r="A162" s="43">
        <v>45450</v>
      </c>
      <c r="B162" s="42">
        <v>9871</v>
      </c>
    </row>
    <row r="163" spans="1:2" x14ac:dyDescent="0.3">
      <c r="A163" s="43">
        <v>45451</v>
      </c>
      <c r="B163" s="42">
        <v>6703</v>
      </c>
    </row>
    <row r="164" spans="1:2" x14ac:dyDescent="0.3">
      <c r="A164" s="43">
        <v>45452</v>
      </c>
      <c r="B164" s="42">
        <v>9777</v>
      </c>
    </row>
    <row r="165" spans="1:2" x14ac:dyDescent="0.3">
      <c r="A165" s="43">
        <v>45453</v>
      </c>
      <c r="B165" s="42">
        <v>11349</v>
      </c>
    </row>
    <row r="166" spans="1:2" x14ac:dyDescent="0.3">
      <c r="A166" s="43">
        <v>45454</v>
      </c>
      <c r="B166" s="42">
        <v>9980</v>
      </c>
    </row>
    <row r="167" spans="1:2" x14ac:dyDescent="0.3">
      <c r="A167" s="43">
        <v>45455</v>
      </c>
      <c r="B167" s="42">
        <v>9674</v>
      </c>
    </row>
    <row r="168" spans="1:2" x14ac:dyDescent="0.3">
      <c r="A168" s="43">
        <v>45456</v>
      </c>
      <c r="B168" s="42">
        <v>9643</v>
      </c>
    </row>
    <row r="169" spans="1:2" x14ac:dyDescent="0.3">
      <c r="A169" s="43">
        <v>45457</v>
      </c>
      <c r="B169" s="42">
        <v>7958</v>
      </c>
    </row>
    <row r="170" spans="1:2" x14ac:dyDescent="0.3">
      <c r="A170" s="43">
        <v>45458</v>
      </c>
      <c r="B170" s="42">
        <v>7296</v>
      </c>
    </row>
    <row r="171" spans="1:2" x14ac:dyDescent="0.3">
      <c r="A171" s="43">
        <v>45459</v>
      </c>
      <c r="B171" s="42">
        <v>6005</v>
      </c>
    </row>
    <row r="172" spans="1:2" x14ac:dyDescent="0.3">
      <c r="A172" s="43">
        <v>45460</v>
      </c>
      <c r="B172" s="42">
        <v>6778</v>
      </c>
    </row>
    <row r="173" spans="1:2" x14ac:dyDescent="0.3">
      <c r="A173" s="43">
        <v>45461</v>
      </c>
      <c r="B173" s="42">
        <v>9435</v>
      </c>
    </row>
    <row r="174" spans="1:2" x14ac:dyDescent="0.3">
      <c r="A174" s="43">
        <v>45462</v>
      </c>
      <c r="B174" s="42">
        <v>8811</v>
      </c>
    </row>
    <row r="175" spans="1:2" x14ac:dyDescent="0.3">
      <c r="A175" s="43">
        <v>45463</v>
      </c>
      <c r="B175" s="42">
        <v>9154</v>
      </c>
    </row>
    <row r="176" spans="1:2" x14ac:dyDescent="0.3">
      <c r="A176" s="43">
        <v>45464</v>
      </c>
      <c r="B176" s="42">
        <v>10565</v>
      </c>
    </row>
    <row r="177" spans="1:2" x14ac:dyDescent="0.3">
      <c r="A177" s="43">
        <v>45465</v>
      </c>
      <c r="B177" s="42">
        <v>10810</v>
      </c>
    </row>
    <row r="178" spans="1:2" x14ac:dyDescent="0.3">
      <c r="A178" s="43">
        <v>45466</v>
      </c>
      <c r="B178" s="42">
        <v>10660</v>
      </c>
    </row>
    <row r="179" spans="1:2" x14ac:dyDescent="0.3">
      <c r="A179" s="43">
        <v>45467</v>
      </c>
      <c r="B179" s="42">
        <v>8680</v>
      </c>
    </row>
    <row r="180" spans="1:2" x14ac:dyDescent="0.3">
      <c r="A180" s="43">
        <v>45468</v>
      </c>
      <c r="B180" s="42">
        <v>8739</v>
      </c>
    </row>
    <row r="181" spans="1:2" x14ac:dyDescent="0.3">
      <c r="A181" s="43">
        <v>45469</v>
      </c>
      <c r="B181" s="42">
        <v>9641</v>
      </c>
    </row>
    <row r="182" spans="1:2" x14ac:dyDescent="0.3">
      <c r="A182" s="43">
        <v>45470</v>
      </c>
      <c r="B182" s="42">
        <v>11438</v>
      </c>
    </row>
    <row r="183" spans="1:2" x14ac:dyDescent="0.3">
      <c r="A183" s="43">
        <v>45471</v>
      </c>
      <c r="B183" s="42">
        <v>11215</v>
      </c>
    </row>
    <row r="184" spans="1:2" x14ac:dyDescent="0.3">
      <c r="A184" s="43">
        <v>45472</v>
      </c>
      <c r="B184" s="42">
        <v>13369</v>
      </c>
    </row>
    <row r="185" spans="1:2" x14ac:dyDescent="0.3">
      <c r="A185" s="43">
        <v>45473</v>
      </c>
      <c r="B185" s="42">
        <v>13478</v>
      </c>
    </row>
    <row r="186" spans="1:2" x14ac:dyDescent="0.3">
      <c r="A186" s="43">
        <v>45474</v>
      </c>
      <c r="B186" s="42">
        <v>12781</v>
      </c>
    </row>
    <row r="187" spans="1:2" x14ac:dyDescent="0.3">
      <c r="A187" s="43">
        <v>45475</v>
      </c>
      <c r="B187" s="42">
        <v>11853</v>
      </c>
    </row>
    <row r="188" spans="1:2" x14ac:dyDescent="0.3">
      <c r="A188" s="43">
        <v>45476</v>
      </c>
      <c r="B188" s="42">
        <v>9903</v>
      </c>
    </row>
    <row r="189" spans="1:2" x14ac:dyDescent="0.3">
      <c r="A189" s="43">
        <v>45477</v>
      </c>
      <c r="B189" s="42">
        <v>10611</v>
      </c>
    </row>
    <row r="190" spans="1:2" x14ac:dyDescent="0.3">
      <c r="A190" s="43">
        <v>45478</v>
      </c>
      <c r="B190" s="42">
        <v>10119</v>
      </c>
    </row>
    <row r="191" spans="1:2" x14ac:dyDescent="0.3">
      <c r="A191" s="43">
        <v>45479</v>
      </c>
      <c r="B191" s="42">
        <v>9559</v>
      </c>
    </row>
    <row r="192" spans="1:2" x14ac:dyDescent="0.3">
      <c r="A192" s="43">
        <v>45480</v>
      </c>
      <c r="B192" s="42">
        <v>10540</v>
      </c>
    </row>
    <row r="193" spans="1:2" x14ac:dyDescent="0.3">
      <c r="A193" s="43">
        <v>45481</v>
      </c>
      <c r="B193" s="42">
        <v>10805</v>
      </c>
    </row>
    <row r="194" spans="1:2" x14ac:dyDescent="0.3">
      <c r="A194" s="43">
        <v>45482</v>
      </c>
      <c r="B194" s="42">
        <v>8998</v>
      </c>
    </row>
    <row r="195" spans="1:2" x14ac:dyDescent="0.3">
      <c r="A195" s="43">
        <v>45483</v>
      </c>
      <c r="B195" s="42">
        <v>10432</v>
      </c>
    </row>
    <row r="196" spans="1:2" x14ac:dyDescent="0.3">
      <c r="A196" s="43">
        <v>45484</v>
      </c>
      <c r="B196" s="42">
        <v>9793</v>
      </c>
    </row>
    <row r="197" spans="1:2" x14ac:dyDescent="0.3">
      <c r="A197" s="43">
        <v>45485</v>
      </c>
      <c r="B197" s="42">
        <v>11013</v>
      </c>
    </row>
    <row r="198" spans="1:2" x14ac:dyDescent="0.3">
      <c r="A198" s="43">
        <v>45486</v>
      </c>
      <c r="B198" s="42">
        <v>16238</v>
      </c>
    </row>
    <row r="199" spans="1:2" x14ac:dyDescent="0.3">
      <c r="A199" s="43">
        <v>45487</v>
      </c>
      <c r="B199" s="42">
        <v>15450</v>
      </c>
    </row>
    <row r="200" spans="1:2" x14ac:dyDescent="0.3">
      <c r="A200" s="43">
        <v>45488</v>
      </c>
      <c r="B200" s="42">
        <v>13245</v>
      </c>
    </row>
    <row r="201" spans="1:2" x14ac:dyDescent="0.3">
      <c r="A201" s="43">
        <v>45489</v>
      </c>
      <c r="B201" s="42">
        <v>13017</v>
      </c>
    </row>
    <row r="202" spans="1:2" x14ac:dyDescent="0.3">
      <c r="A202" s="43">
        <v>45490</v>
      </c>
      <c r="B202" s="42">
        <v>11132</v>
      </c>
    </row>
    <row r="203" spans="1:2" x14ac:dyDescent="0.3">
      <c r="A203" s="43">
        <v>45491</v>
      </c>
      <c r="B203" s="42">
        <v>11824</v>
      </c>
    </row>
    <row r="204" spans="1:2" x14ac:dyDescent="0.3">
      <c r="A204" s="43">
        <v>45492</v>
      </c>
      <c r="B204" s="42">
        <v>13318</v>
      </c>
    </row>
    <row r="205" spans="1:2" x14ac:dyDescent="0.3">
      <c r="A205" s="43">
        <v>45493</v>
      </c>
      <c r="B205" s="42">
        <v>13962</v>
      </c>
    </row>
    <row r="206" spans="1:2" x14ac:dyDescent="0.3">
      <c r="A206" s="43">
        <v>45494</v>
      </c>
      <c r="B206" s="42">
        <v>12616</v>
      </c>
    </row>
    <row r="207" spans="1:2" x14ac:dyDescent="0.3">
      <c r="A207" s="43">
        <v>45495</v>
      </c>
      <c r="B207" s="42">
        <v>11109</v>
      </c>
    </row>
    <row r="208" spans="1:2" x14ac:dyDescent="0.3">
      <c r="A208" s="43">
        <v>45496</v>
      </c>
      <c r="B208" s="42">
        <v>11777</v>
      </c>
    </row>
    <row r="209" spans="1:2" x14ac:dyDescent="0.3">
      <c r="A209" s="43">
        <v>45497</v>
      </c>
      <c r="B209" s="42">
        <v>10892</v>
      </c>
    </row>
    <row r="210" spans="1:2" x14ac:dyDescent="0.3">
      <c r="A210" s="43">
        <v>45498</v>
      </c>
      <c r="B210" s="42">
        <v>12051</v>
      </c>
    </row>
    <row r="211" spans="1:2" x14ac:dyDescent="0.3">
      <c r="A211" s="43">
        <v>45499</v>
      </c>
      <c r="B211" s="42">
        <v>12033</v>
      </c>
    </row>
    <row r="212" spans="1:2" x14ac:dyDescent="0.3">
      <c r="A212" s="43">
        <v>45500</v>
      </c>
      <c r="B212" s="42">
        <v>13168</v>
      </c>
    </row>
    <row r="213" spans="1:2" x14ac:dyDescent="0.3">
      <c r="A213" s="43">
        <v>45501</v>
      </c>
      <c r="B213" s="42">
        <v>15092</v>
      </c>
    </row>
    <row r="214" spans="1:2" x14ac:dyDescent="0.3">
      <c r="A214" s="43">
        <v>45502</v>
      </c>
      <c r="B214" s="42">
        <v>14266</v>
      </c>
    </row>
    <row r="215" spans="1:2" x14ac:dyDescent="0.3">
      <c r="A215" s="43">
        <v>45503</v>
      </c>
      <c r="B215" s="42">
        <v>12978</v>
      </c>
    </row>
    <row r="216" spans="1:2" x14ac:dyDescent="0.3">
      <c r="A216" s="43">
        <v>45504</v>
      </c>
      <c r="B216" s="42">
        <v>12456</v>
      </c>
    </row>
    <row r="217" spans="1:2" x14ac:dyDescent="0.3">
      <c r="A217" s="43">
        <v>45505</v>
      </c>
      <c r="B217" s="42">
        <v>11869</v>
      </c>
    </row>
    <row r="218" spans="1:2" x14ac:dyDescent="0.3">
      <c r="A218" s="43">
        <v>45506</v>
      </c>
      <c r="B218" s="42">
        <v>13749</v>
      </c>
    </row>
    <row r="219" spans="1:2" x14ac:dyDescent="0.3">
      <c r="A219" s="43">
        <v>45507</v>
      </c>
      <c r="B219" s="42">
        <v>13145</v>
      </c>
    </row>
    <row r="220" spans="1:2" x14ac:dyDescent="0.3">
      <c r="A220" s="43">
        <v>45508</v>
      </c>
      <c r="B220" s="42">
        <v>14171</v>
      </c>
    </row>
    <row r="221" spans="1:2" x14ac:dyDescent="0.3">
      <c r="A221" s="43">
        <v>45509</v>
      </c>
      <c r="B221" s="42">
        <v>14471</v>
      </c>
    </row>
    <row r="222" spans="1:2" x14ac:dyDescent="0.3">
      <c r="A222" s="43">
        <v>45510</v>
      </c>
      <c r="B222" s="42">
        <v>10966</v>
      </c>
    </row>
    <row r="223" spans="1:2" x14ac:dyDescent="0.3">
      <c r="A223" s="43">
        <v>45511</v>
      </c>
      <c r="B223" s="42">
        <v>13072</v>
      </c>
    </row>
    <row r="224" spans="1:2" x14ac:dyDescent="0.3">
      <c r="A224" s="43">
        <v>45512</v>
      </c>
      <c r="B224" s="42">
        <v>12034</v>
      </c>
    </row>
    <row r="225" spans="1:2" x14ac:dyDescent="0.3">
      <c r="A225" s="43">
        <v>45513</v>
      </c>
      <c r="B225" s="42">
        <v>13456</v>
      </c>
    </row>
    <row r="226" spans="1:2" x14ac:dyDescent="0.3">
      <c r="A226" s="43">
        <v>45514</v>
      </c>
      <c r="B226" s="42">
        <v>12965</v>
      </c>
    </row>
    <row r="227" spans="1:2" x14ac:dyDescent="0.3">
      <c r="A227" s="43">
        <v>45515</v>
      </c>
      <c r="B227" s="42">
        <v>14137</v>
      </c>
    </row>
    <row r="228" spans="1:2" x14ac:dyDescent="0.3">
      <c r="A228" s="43">
        <v>45516</v>
      </c>
      <c r="B228" s="42">
        <v>12616</v>
      </c>
    </row>
    <row r="229" spans="1:2" x14ac:dyDescent="0.3">
      <c r="A229" s="43">
        <v>45517</v>
      </c>
      <c r="B229" s="42">
        <v>11030</v>
      </c>
    </row>
    <row r="230" spans="1:2" x14ac:dyDescent="0.3">
      <c r="A230" s="43">
        <v>45518</v>
      </c>
      <c r="B230" s="42">
        <v>11243</v>
      </c>
    </row>
    <row r="231" spans="1:2" x14ac:dyDescent="0.3">
      <c r="A231" s="43">
        <v>45519</v>
      </c>
      <c r="B231" s="42">
        <v>11720</v>
      </c>
    </row>
    <row r="232" spans="1:2" x14ac:dyDescent="0.3">
      <c r="A232" s="43">
        <v>45520</v>
      </c>
      <c r="B232" s="42">
        <v>11573</v>
      </c>
    </row>
    <row r="233" spans="1:2" x14ac:dyDescent="0.3">
      <c r="A233" s="43">
        <v>45521</v>
      </c>
      <c r="B233" s="42">
        <v>12695</v>
      </c>
    </row>
    <row r="234" spans="1:2" x14ac:dyDescent="0.3">
      <c r="A234" s="43">
        <v>45522</v>
      </c>
      <c r="B234" s="42">
        <v>13101</v>
      </c>
    </row>
    <row r="235" spans="1:2" x14ac:dyDescent="0.3">
      <c r="A235" s="43">
        <v>45523</v>
      </c>
      <c r="B235" s="42">
        <v>10120</v>
      </c>
    </row>
    <row r="236" spans="1:2" x14ac:dyDescent="0.3">
      <c r="A236" s="43">
        <v>45524</v>
      </c>
      <c r="B236" s="42">
        <v>9925</v>
      </c>
    </row>
    <row r="237" spans="1:2" x14ac:dyDescent="0.3">
      <c r="A237" s="43">
        <v>45525</v>
      </c>
      <c r="B237" s="42">
        <v>11631</v>
      </c>
    </row>
    <row r="238" spans="1:2" x14ac:dyDescent="0.3">
      <c r="A238" s="43">
        <v>45526</v>
      </c>
      <c r="B238" s="42">
        <v>11828</v>
      </c>
    </row>
    <row r="239" spans="1:2" x14ac:dyDescent="0.3">
      <c r="A239" s="43">
        <v>45527</v>
      </c>
      <c r="B239" s="42">
        <v>13074</v>
      </c>
    </row>
    <row r="240" spans="1:2" x14ac:dyDescent="0.3">
      <c r="A240" s="43">
        <v>45528</v>
      </c>
      <c r="B240" s="42">
        <v>14131</v>
      </c>
    </row>
    <row r="241" spans="1:2" x14ac:dyDescent="0.3">
      <c r="A241" s="43">
        <v>45529</v>
      </c>
      <c r="B241" s="42">
        <v>13627</v>
      </c>
    </row>
    <row r="242" spans="1:2" x14ac:dyDescent="0.3">
      <c r="A242" s="43">
        <v>45530</v>
      </c>
      <c r="B242" s="42">
        <v>12211</v>
      </c>
    </row>
    <row r="243" spans="1:2" x14ac:dyDescent="0.3">
      <c r="A243" s="43">
        <v>45531</v>
      </c>
      <c r="B243" s="42">
        <v>11872</v>
      </c>
    </row>
    <row r="244" spans="1:2" x14ac:dyDescent="0.3">
      <c r="A244" s="43">
        <v>45532</v>
      </c>
      <c r="B244" s="42">
        <v>12875</v>
      </c>
    </row>
    <row r="245" spans="1:2" x14ac:dyDescent="0.3">
      <c r="A245" s="43">
        <v>45533</v>
      </c>
      <c r="B245" s="42">
        <v>13491</v>
      </c>
    </row>
    <row r="246" spans="1:2" x14ac:dyDescent="0.3">
      <c r="A246" s="43">
        <v>45534</v>
      </c>
      <c r="B246" s="42">
        <v>16100</v>
      </c>
    </row>
    <row r="247" spans="1:2" x14ac:dyDescent="0.3">
      <c r="A247" s="43">
        <v>45535</v>
      </c>
      <c r="B247" s="42">
        <v>13103</v>
      </c>
    </row>
    <row r="248" spans="1:2" x14ac:dyDescent="0.3">
      <c r="A248" s="43">
        <v>45536</v>
      </c>
      <c r="B248" s="42">
        <v>12956</v>
      </c>
    </row>
    <row r="249" spans="1:2" x14ac:dyDescent="0.3">
      <c r="A249" s="43">
        <v>45537</v>
      </c>
      <c r="B249" s="42">
        <v>14409</v>
      </c>
    </row>
    <row r="250" spans="1:2" x14ac:dyDescent="0.3">
      <c r="A250" s="43">
        <v>45538</v>
      </c>
      <c r="B250" s="42">
        <v>14400</v>
      </c>
    </row>
    <row r="251" spans="1:2" x14ac:dyDescent="0.3">
      <c r="A251" s="43">
        <v>45539</v>
      </c>
      <c r="B251" s="42">
        <v>14825</v>
      </c>
    </row>
    <row r="252" spans="1:2" x14ac:dyDescent="0.3">
      <c r="A252" s="43">
        <v>45540</v>
      </c>
      <c r="B252" s="42">
        <v>17555</v>
      </c>
    </row>
    <row r="253" spans="1:2" x14ac:dyDescent="0.3">
      <c r="A253" s="43">
        <v>45541</v>
      </c>
      <c r="B253" s="42">
        <v>14871</v>
      </c>
    </row>
    <row r="254" spans="1:2" x14ac:dyDescent="0.3">
      <c r="A254" s="43">
        <v>45542</v>
      </c>
      <c r="B254" s="42">
        <v>14563</v>
      </c>
    </row>
    <row r="255" spans="1:2" x14ac:dyDescent="0.3">
      <c r="A255" s="43">
        <v>45543</v>
      </c>
      <c r="B255" s="42">
        <v>14318</v>
      </c>
    </row>
    <row r="256" spans="1:2" x14ac:dyDescent="0.3">
      <c r="A256" s="43">
        <v>45544</v>
      </c>
      <c r="B256" s="42">
        <v>10200</v>
      </c>
    </row>
    <row r="257" spans="1:2" x14ac:dyDescent="0.3">
      <c r="A257" s="43">
        <v>45545</v>
      </c>
      <c r="B257" s="42">
        <v>10075</v>
      </c>
    </row>
    <row r="258" spans="1:2" x14ac:dyDescent="0.3">
      <c r="A258" s="43">
        <v>45546</v>
      </c>
      <c r="B258" s="42">
        <v>11096</v>
      </c>
    </row>
    <row r="259" spans="1:2" x14ac:dyDescent="0.3">
      <c r="A259" s="43">
        <v>45547</v>
      </c>
      <c r="B259" s="42">
        <v>10735</v>
      </c>
    </row>
    <row r="260" spans="1:2" x14ac:dyDescent="0.3">
      <c r="A260" s="43">
        <v>45548</v>
      </c>
      <c r="B260" s="42">
        <v>13410</v>
      </c>
    </row>
    <row r="261" spans="1:2" x14ac:dyDescent="0.3">
      <c r="A261" s="43">
        <v>45549</v>
      </c>
      <c r="B261" s="42">
        <v>11689</v>
      </c>
    </row>
    <row r="262" spans="1:2" x14ac:dyDescent="0.3">
      <c r="A262" s="43">
        <v>45550</v>
      </c>
      <c r="B262" s="42">
        <v>11743</v>
      </c>
    </row>
    <row r="263" spans="1:2" x14ac:dyDescent="0.3">
      <c r="A263" s="43">
        <v>45551</v>
      </c>
      <c r="B263" s="42">
        <v>11111</v>
      </c>
    </row>
    <row r="264" spans="1:2" x14ac:dyDescent="0.3">
      <c r="A264" s="43">
        <v>45552</v>
      </c>
      <c r="B264" s="42">
        <v>10746</v>
      </c>
    </row>
    <row r="265" spans="1:2" x14ac:dyDescent="0.3">
      <c r="A265" s="43">
        <v>45553</v>
      </c>
      <c r="B265" s="42">
        <v>10503</v>
      </c>
    </row>
    <row r="266" spans="1:2" x14ac:dyDescent="0.3">
      <c r="A266" s="43">
        <v>45554</v>
      </c>
      <c r="B266" s="42">
        <v>9668</v>
      </c>
    </row>
    <row r="267" spans="1:2" x14ac:dyDescent="0.3">
      <c r="A267" s="43">
        <v>45555</v>
      </c>
      <c r="B267" s="42">
        <v>11342</v>
      </c>
    </row>
    <row r="268" spans="1:2" x14ac:dyDescent="0.3">
      <c r="A268" s="43">
        <v>45556</v>
      </c>
      <c r="B268" s="42">
        <v>11452</v>
      </c>
    </row>
    <row r="269" spans="1:2" x14ac:dyDescent="0.3">
      <c r="A269" s="43">
        <v>45557</v>
      </c>
      <c r="B269" s="42">
        <v>11374</v>
      </c>
    </row>
    <row r="270" spans="1:2" x14ac:dyDescent="0.3">
      <c r="A270" s="43">
        <v>45558</v>
      </c>
      <c r="B270" s="42">
        <v>10580</v>
      </c>
    </row>
    <row r="271" spans="1:2" x14ac:dyDescent="0.3">
      <c r="A271" s="43">
        <v>45559</v>
      </c>
      <c r="B271" s="42">
        <v>11150</v>
      </c>
    </row>
    <row r="272" spans="1:2" x14ac:dyDescent="0.3">
      <c r="A272" s="43">
        <v>45560</v>
      </c>
      <c r="B272" s="42">
        <v>12375</v>
      </c>
    </row>
    <row r="273" spans="1:2" x14ac:dyDescent="0.3">
      <c r="A273" s="43">
        <v>45561</v>
      </c>
      <c r="B273" s="42">
        <v>12573</v>
      </c>
    </row>
    <row r="274" spans="1:2" x14ac:dyDescent="0.3">
      <c r="A274" s="43">
        <v>45562</v>
      </c>
      <c r="B274" s="42">
        <v>12638</v>
      </c>
    </row>
    <row r="275" spans="1:2" x14ac:dyDescent="0.3">
      <c r="A275" s="43">
        <v>45563</v>
      </c>
      <c r="B275" s="42">
        <v>14496</v>
      </c>
    </row>
    <row r="276" spans="1:2" x14ac:dyDescent="0.3">
      <c r="A276" s="43">
        <v>45564</v>
      </c>
      <c r="B276" s="42">
        <v>15175</v>
      </c>
    </row>
    <row r="277" spans="1:2" x14ac:dyDescent="0.3">
      <c r="A277" s="43">
        <v>45565</v>
      </c>
      <c r="B277" s="42">
        <v>13000</v>
      </c>
    </row>
    <row r="278" spans="1:2" x14ac:dyDescent="0.3">
      <c r="A278" s="43">
        <v>45566</v>
      </c>
      <c r="B278" s="42">
        <v>12945</v>
      </c>
    </row>
    <row r="279" spans="1:2" x14ac:dyDescent="0.3">
      <c r="A279" s="43">
        <v>45567</v>
      </c>
      <c r="B279" s="42">
        <v>11861</v>
      </c>
    </row>
    <row r="280" spans="1:2" x14ac:dyDescent="0.3">
      <c r="A280" s="43">
        <v>45568</v>
      </c>
      <c r="B280" s="42">
        <v>11887</v>
      </c>
    </row>
    <row r="281" spans="1:2" x14ac:dyDescent="0.3">
      <c r="A281" s="43">
        <v>45569</v>
      </c>
      <c r="B281" s="42">
        <v>12957</v>
      </c>
    </row>
    <row r="282" spans="1:2" x14ac:dyDescent="0.3">
      <c r="A282" s="43">
        <v>45570</v>
      </c>
      <c r="B282" s="42">
        <v>13305</v>
      </c>
    </row>
    <row r="283" spans="1:2" x14ac:dyDescent="0.3">
      <c r="A283" s="43">
        <v>45571</v>
      </c>
      <c r="B283" s="42">
        <v>13408</v>
      </c>
    </row>
    <row r="284" spans="1:2" x14ac:dyDescent="0.3">
      <c r="A284" s="43">
        <v>45572</v>
      </c>
      <c r="B284" s="42">
        <v>12362</v>
      </c>
    </row>
    <row r="285" spans="1:2" x14ac:dyDescent="0.3">
      <c r="A285" s="43">
        <v>45573</v>
      </c>
      <c r="B285" s="42">
        <v>10681</v>
      </c>
    </row>
    <row r="286" spans="1:2" x14ac:dyDescent="0.3">
      <c r="A286" s="43">
        <v>45574</v>
      </c>
      <c r="B286" s="42">
        <v>11454</v>
      </c>
    </row>
    <row r="287" spans="1:2" x14ac:dyDescent="0.3">
      <c r="A287" s="43">
        <v>45575</v>
      </c>
      <c r="B287" s="42">
        <v>10692</v>
      </c>
    </row>
    <row r="288" spans="1:2" x14ac:dyDescent="0.3">
      <c r="A288" s="43">
        <v>45576</v>
      </c>
      <c r="B288" s="42">
        <v>12898</v>
      </c>
    </row>
    <row r="289" spans="1:2" x14ac:dyDescent="0.3">
      <c r="A289" s="43">
        <v>45577</v>
      </c>
      <c r="B289" s="42">
        <v>12040</v>
      </c>
    </row>
    <row r="290" spans="1:2" x14ac:dyDescent="0.3">
      <c r="A290" s="43">
        <v>45578</v>
      </c>
      <c r="B290" s="42">
        <v>13503</v>
      </c>
    </row>
    <row r="291" spans="1:2" x14ac:dyDescent="0.3">
      <c r="A291" s="43">
        <v>45579</v>
      </c>
      <c r="B291" s="42">
        <v>12574</v>
      </c>
    </row>
    <row r="292" spans="1:2" x14ac:dyDescent="0.3">
      <c r="A292" s="43">
        <v>45580</v>
      </c>
      <c r="B292" s="42">
        <v>10488</v>
      </c>
    </row>
    <row r="293" spans="1:2" x14ac:dyDescent="0.3">
      <c r="A293" s="43">
        <v>45581</v>
      </c>
      <c r="B293" s="42">
        <v>10123</v>
      </c>
    </row>
    <row r="294" spans="1:2" x14ac:dyDescent="0.3">
      <c r="A294" s="43">
        <v>45582</v>
      </c>
      <c r="B294" s="42">
        <v>11912</v>
      </c>
    </row>
    <row r="295" spans="1:2" x14ac:dyDescent="0.3">
      <c r="A295" s="43">
        <v>45583</v>
      </c>
      <c r="B295" s="42">
        <v>12680</v>
      </c>
    </row>
    <row r="296" spans="1:2" x14ac:dyDescent="0.3">
      <c r="A296" s="43">
        <v>45584</v>
      </c>
      <c r="B296" s="42">
        <v>13020</v>
      </c>
    </row>
    <row r="297" spans="1:2" x14ac:dyDescent="0.3">
      <c r="A297" s="43">
        <v>45585</v>
      </c>
      <c r="B297" s="42">
        <v>14055</v>
      </c>
    </row>
    <row r="298" spans="1:2" x14ac:dyDescent="0.3">
      <c r="A298" s="43">
        <v>45586</v>
      </c>
      <c r="B298" s="42">
        <v>11200</v>
      </c>
    </row>
    <row r="299" spans="1:2" x14ac:dyDescent="0.3">
      <c r="A299" s="43">
        <v>45587</v>
      </c>
      <c r="B299" s="42">
        <v>11458</v>
      </c>
    </row>
    <row r="300" spans="1:2" x14ac:dyDescent="0.3">
      <c r="A300" s="43">
        <v>45588</v>
      </c>
      <c r="B300" s="42">
        <v>10356</v>
      </c>
    </row>
    <row r="301" spans="1:2" x14ac:dyDescent="0.3">
      <c r="A301" s="43">
        <v>45589</v>
      </c>
      <c r="B301" s="42">
        <v>9064</v>
      </c>
    </row>
    <row r="302" spans="1:2" x14ac:dyDescent="0.3">
      <c r="A302" s="43">
        <v>45590</v>
      </c>
      <c r="B302" s="42">
        <v>10778</v>
      </c>
    </row>
    <row r="303" spans="1:2" x14ac:dyDescent="0.3">
      <c r="A303" s="43">
        <v>45591</v>
      </c>
      <c r="B303" s="42">
        <v>12953</v>
      </c>
    </row>
    <row r="304" spans="1:2" x14ac:dyDescent="0.3">
      <c r="A304" s="43">
        <v>45592</v>
      </c>
      <c r="B304" s="42">
        <v>16157</v>
      </c>
    </row>
    <row r="305" spans="1:2" x14ac:dyDescent="0.3">
      <c r="A305" s="43">
        <v>45593</v>
      </c>
      <c r="B305" s="42">
        <v>9958</v>
      </c>
    </row>
    <row r="306" spans="1:2" x14ac:dyDescent="0.3">
      <c r="A306" s="43">
        <v>45594</v>
      </c>
      <c r="B306" s="42">
        <v>10985</v>
      </c>
    </row>
    <row r="307" spans="1:2" x14ac:dyDescent="0.3">
      <c r="A307" s="43">
        <v>45595</v>
      </c>
      <c r="B307" s="42">
        <v>12331</v>
      </c>
    </row>
    <row r="308" spans="1:2" x14ac:dyDescent="0.3">
      <c r="A308" s="43">
        <v>45596</v>
      </c>
      <c r="B308" s="42">
        <v>15404</v>
      </c>
    </row>
    <row r="309" spans="1:2" x14ac:dyDescent="0.3">
      <c r="A309" s="43">
        <v>45597</v>
      </c>
      <c r="B309" s="42">
        <v>19812</v>
      </c>
    </row>
    <row r="310" spans="1:2" x14ac:dyDescent="0.3">
      <c r="A310" s="43">
        <v>45598</v>
      </c>
      <c r="B310" s="42">
        <v>15386</v>
      </c>
    </row>
    <row r="311" spans="1:2" x14ac:dyDescent="0.3">
      <c r="A311" s="43">
        <v>45599</v>
      </c>
      <c r="B311" s="42">
        <v>16554</v>
      </c>
    </row>
    <row r="312" spans="1:2" x14ac:dyDescent="0.3">
      <c r="A312" s="43">
        <v>45600</v>
      </c>
      <c r="B312" s="42">
        <v>12481</v>
      </c>
    </row>
    <row r="313" spans="1:2" x14ac:dyDescent="0.3">
      <c r="A313" s="43">
        <v>45601</v>
      </c>
      <c r="B313" s="42">
        <v>11731</v>
      </c>
    </row>
    <row r="314" spans="1:2" x14ac:dyDescent="0.3">
      <c r="A314" s="43">
        <v>45602</v>
      </c>
      <c r="B314" s="42">
        <v>12671</v>
      </c>
    </row>
    <row r="315" spans="1:2" x14ac:dyDescent="0.3">
      <c r="A315" s="43">
        <v>45603</v>
      </c>
      <c r="B315" s="42">
        <v>15703</v>
      </c>
    </row>
    <row r="316" spans="1:2" x14ac:dyDescent="0.3">
      <c r="A316" s="43">
        <v>45604</v>
      </c>
      <c r="B316" s="42">
        <v>16958</v>
      </c>
    </row>
    <row r="317" spans="1:2" x14ac:dyDescent="0.3">
      <c r="A317" s="43">
        <v>45605</v>
      </c>
      <c r="B317" s="42">
        <v>15511</v>
      </c>
    </row>
    <row r="318" spans="1:2" x14ac:dyDescent="0.3">
      <c r="A318" s="43">
        <v>45606</v>
      </c>
      <c r="B318" s="42">
        <v>12697</v>
      </c>
    </row>
    <row r="319" spans="1:2" x14ac:dyDescent="0.3">
      <c r="A319" s="43">
        <v>45607</v>
      </c>
      <c r="B319" s="42">
        <v>13342</v>
      </c>
    </row>
    <row r="320" spans="1:2" x14ac:dyDescent="0.3">
      <c r="A320" s="43">
        <v>45608</v>
      </c>
      <c r="B320" s="42">
        <v>11928</v>
      </c>
    </row>
    <row r="321" spans="1:2" x14ac:dyDescent="0.3">
      <c r="A321" s="43">
        <v>45609</v>
      </c>
      <c r="B321" s="42">
        <v>10728</v>
      </c>
    </row>
    <row r="322" spans="1:2" x14ac:dyDescent="0.3">
      <c r="A322" s="43">
        <v>45610</v>
      </c>
      <c r="B322" s="42">
        <v>12497</v>
      </c>
    </row>
    <row r="323" spans="1:2" x14ac:dyDescent="0.3">
      <c r="A323" s="43">
        <v>45611</v>
      </c>
      <c r="B323" s="42">
        <v>12509</v>
      </c>
    </row>
    <row r="324" spans="1:2" x14ac:dyDescent="0.3">
      <c r="A324" s="43">
        <v>45612</v>
      </c>
      <c r="B324" s="42">
        <v>18265</v>
      </c>
    </row>
    <row r="325" spans="1:2" x14ac:dyDescent="0.3">
      <c r="A325" s="43">
        <v>45613</v>
      </c>
      <c r="B325" s="42">
        <v>14741</v>
      </c>
    </row>
    <row r="326" spans="1:2" x14ac:dyDescent="0.3">
      <c r="A326" s="43">
        <v>45614</v>
      </c>
      <c r="B326" s="42">
        <v>13073</v>
      </c>
    </row>
    <row r="327" spans="1:2" x14ac:dyDescent="0.3">
      <c r="A327" s="43">
        <v>45615</v>
      </c>
      <c r="B327" s="42">
        <v>12139</v>
      </c>
    </row>
    <row r="328" spans="1:2" x14ac:dyDescent="0.3">
      <c r="A328" s="43">
        <v>45616</v>
      </c>
      <c r="B328" s="42">
        <v>12102</v>
      </c>
    </row>
    <row r="329" spans="1:2" x14ac:dyDescent="0.3">
      <c r="A329" s="43">
        <v>45617</v>
      </c>
      <c r="B329" s="42">
        <v>14994</v>
      </c>
    </row>
    <row r="330" spans="1:2" x14ac:dyDescent="0.3">
      <c r="A330" s="43">
        <v>45618</v>
      </c>
      <c r="B330" s="42">
        <v>16436</v>
      </c>
    </row>
    <row r="331" spans="1:2" x14ac:dyDescent="0.3">
      <c r="A331" s="43">
        <v>45619</v>
      </c>
      <c r="B331" s="42">
        <v>18228</v>
      </c>
    </row>
    <row r="332" spans="1:2" x14ac:dyDescent="0.3">
      <c r="A332" s="43">
        <v>45620</v>
      </c>
      <c r="B332" s="42">
        <v>15112</v>
      </c>
    </row>
    <row r="333" spans="1:2" x14ac:dyDescent="0.3">
      <c r="A333" s="43">
        <v>45621</v>
      </c>
      <c r="B333" s="42">
        <v>13370</v>
      </c>
    </row>
    <row r="334" spans="1:2" x14ac:dyDescent="0.3">
      <c r="A334" s="43">
        <v>45622</v>
      </c>
      <c r="B334" s="42">
        <v>13580</v>
      </c>
    </row>
    <row r="335" spans="1:2" x14ac:dyDescent="0.3">
      <c r="A335" s="43">
        <v>45623</v>
      </c>
      <c r="B335" s="42">
        <v>13649</v>
      </c>
    </row>
    <row r="336" spans="1:2" x14ac:dyDescent="0.3">
      <c r="A336" s="43">
        <v>45624</v>
      </c>
      <c r="B336" s="42">
        <v>13204</v>
      </c>
    </row>
    <row r="337" spans="1:2" x14ac:dyDescent="0.3">
      <c r="A337" s="43">
        <v>45625</v>
      </c>
      <c r="B337" s="42">
        <v>9159</v>
      </c>
    </row>
    <row r="338" spans="1:2" x14ac:dyDescent="0.3">
      <c r="A338" s="43">
        <v>45626</v>
      </c>
      <c r="B338" s="42">
        <v>12062</v>
      </c>
    </row>
    <row r="339" spans="1:2" x14ac:dyDescent="0.3">
      <c r="A339" s="43">
        <v>45627</v>
      </c>
      <c r="B339" s="42">
        <v>15405</v>
      </c>
    </row>
    <row r="340" spans="1:2" x14ac:dyDescent="0.3">
      <c r="A340" s="43">
        <v>45628</v>
      </c>
      <c r="B340" s="42">
        <v>16501</v>
      </c>
    </row>
    <row r="341" spans="1:2" x14ac:dyDescent="0.3">
      <c r="A341" s="43">
        <v>45629</v>
      </c>
      <c r="B341" s="42">
        <v>13151</v>
      </c>
    </row>
    <row r="342" spans="1:2" x14ac:dyDescent="0.3">
      <c r="A342" s="43">
        <v>45630</v>
      </c>
      <c r="B342" s="42">
        <v>14848</v>
      </c>
    </row>
    <row r="343" spans="1:2" x14ac:dyDescent="0.3">
      <c r="A343" s="43">
        <v>45631</v>
      </c>
      <c r="B343" s="42">
        <v>16045</v>
      </c>
    </row>
    <row r="344" spans="1:2" x14ac:dyDescent="0.3">
      <c r="A344" s="43">
        <v>45632</v>
      </c>
      <c r="B344" s="42">
        <v>15570</v>
      </c>
    </row>
    <row r="345" spans="1:2" x14ac:dyDescent="0.3">
      <c r="A345" s="43">
        <v>45633</v>
      </c>
      <c r="B345" s="42">
        <v>16918</v>
      </c>
    </row>
    <row r="346" spans="1:2" x14ac:dyDescent="0.3">
      <c r="A346" s="43">
        <v>45634</v>
      </c>
      <c r="B346" s="42">
        <v>15718</v>
      </c>
    </row>
    <row r="347" spans="1:2" x14ac:dyDescent="0.3">
      <c r="A347" s="43">
        <v>45635</v>
      </c>
      <c r="B347" s="42">
        <v>12035</v>
      </c>
    </row>
    <row r="348" spans="1:2" x14ac:dyDescent="0.3">
      <c r="A348" s="43">
        <v>45636</v>
      </c>
      <c r="B348" s="42">
        <v>11205</v>
      </c>
    </row>
    <row r="349" spans="1:2" x14ac:dyDescent="0.3">
      <c r="A349" s="43">
        <v>45637</v>
      </c>
      <c r="B349" s="42">
        <v>11359</v>
      </c>
    </row>
    <row r="350" spans="1:2" x14ac:dyDescent="0.3">
      <c r="A350" s="43">
        <v>45638</v>
      </c>
      <c r="B350" s="42">
        <v>12668</v>
      </c>
    </row>
    <row r="351" spans="1:2" x14ac:dyDescent="0.3">
      <c r="A351" s="43">
        <v>45639</v>
      </c>
      <c r="B351" s="42">
        <v>14116</v>
      </c>
    </row>
    <row r="352" spans="1:2" x14ac:dyDescent="0.3">
      <c r="A352" s="43">
        <v>45640</v>
      </c>
      <c r="B352" s="42">
        <v>15697</v>
      </c>
    </row>
    <row r="353" spans="1:2" x14ac:dyDescent="0.3">
      <c r="A353" s="43">
        <v>45641</v>
      </c>
      <c r="B353" s="42">
        <v>15323</v>
      </c>
    </row>
    <row r="354" spans="1:2" x14ac:dyDescent="0.3">
      <c r="A354" s="43">
        <v>45642</v>
      </c>
      <c r="B354" s="42">
        <v>12037</v>
      </c>
    </row>
    <row r="355" spans="1:2" x14ac:dyDescent="0.3">
      <c r="A355" s="43">
        <v>45643</v>
      </c>
      <c r="B355" s="42">
        <v>7979</v>
      </c>
    </row>
    <row r="356" spans="1:2" x14ac:dyDescent="0.3">
      <c r="A356" s="43">
        <v>45644</v>
      </c>
      <c r="B356" s="42">
        <v>9653</v>
      </c>
    </row>
    <row r="357" spans="1:2" x14ac:dyDescent="0.3">
      <c r="A357" s="43">
        <v>45645</v>
      </c>
      <c r="B357" s="42">
        <v>10755</v>
      </c>
    </row>
    <row r="358" spans="1:2" x14ac:dyDescent="0.3">
      <c r="A358" s="43">
        <v>45646</v>
      </c>
      <c r="B358" s="42">
        <v>12369</v>
      </c>
    </row>
    <row r="359" spans="1:2" x14ac:dyDescent="0.3">
      <c r="A359" s="43">
        <v>45647</v>
      </c>
      <c r="B359" s="42">
        <v>12988</v>
      </c>
    </row>
    <row r="360" spans="1:2" x14ac:dyDescent="0.3">
      <c r="A360" s="43">
        <v>45648</v>
      </c>
      <c r="B360" s="42">
        <v>14232</v>
      </c>
    </row>
    <row r="361" spans="1:2" x14ac:dyDescent="0.3">
      <c r="A361" s="43">
        <v>45649</v>
      </c>
      <c r="B361" s="42">
        <v>5133</v>
      </c>
    </row>
    <row r="362" spans="1:2" x14ac:dyDescent="0.3">
      <c r="A362" s="43">
        <v>45650</v>
      </c>
      <c r="B362" s="42">
        <v>11812</v>
      </c>
    </row>
    <row r="363" spans="1:2" x14ac:dyDescent="0.3">
      <c r="A363" s="43">
        <v>45651</v>
      </c>
      <c r="B363" s="42">
        <v>14147</v>
      </c>
    </row>
    <row r="364" spans="1:2" x14ac:dyDescent="0.3">
      <c r="A364" s="43">
        <v>45652</v>
      </c>
      <c r="B364" s="42">
        <v>13507</v>
      </c>
    </row>
    <row r="365" spans="1:2" x14ac:dyDescent="0.3">
      <c r="A365" s="43">
        <v>45653</v>
      </c>
      <c r="B365" s="42">
        <v>13742</v>
      </c>
    </row>
    <row r="366" spans="1:2" x14ac:dyDescent="0.3">
      <c r="A366" s="43">
        <v>45654</v>
      </c>
      <c r="B366" s="42">
        <v>11899</v>
      </c>
    </row>
    <row r="367" spans="1:2" x14ac:dyDescent="0.3">
      <c r="A367" s="43">
        <v>45655</v>
      </c>
      <c r="B367" s="42">
        <v>12250</v>
      </c>
    </row>
    <row r="368" spans="1:2" x14ac:dyDescent="0.3">
      <c r="A368" s="43">
        <v>45656</v>
      </c>
      <c r="B368" s="42">
        <v>12999</v>
      </c>
    </row>
    <row r="369" spans="1:2" x14ac:dyDescent="0.3">
      <c r="A369" s="43">
        <v>45657</v>
      </c>
      <c r="B369" s="42">
        <v>13781</v>
      </c>
    </row>
    <row r="370" spans="1:2" x14ac:dyDescent="0.3">
      <c r="A370" s="43" t="s">
        <v>19</v>
      </c>
      <c r="B370" s="42">
        <v>4645890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Data Cleaning Steps</vt:lpstr>
      <vt:lpstr>CleanedData</vt:lpstr>
      <vt:lpstr>2024 Summary Metrics</vt:lpstr>
      <vt:lpstr>Charts 2024 </vt:lpstr>
      <vt:lpstr>2025 Forecast</vt:lpstr>
      <vt:lpstr>2025 Forecasted Metrics</vt:lpstr>
      <vt:lpstr>2025 Forecasted Call Data</vt:lpstr>
      <vt:lpstr>Forecast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Pallavi</dc:creator>
  <cp:lastModifiedBy>Singh, Pallavi</cp:lastModifiedBy>
  <dcterms:created xsi:type="dcterms:W3CDTF">2025-05-16T06:49:45Z</dcterms:created>
  <dcterms:modified xsi:type="dcterms:W3CDTF">2025-05-17T00:53:19Z</dcterms:modified>
</cp:coreProperties>
</file>